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i.wed\Desktop\IS files in SP\IS 2024\Add Works\2025\4.  Apr 2025\Revised\"/>
    </mc:Choice>
  </mc:AlternateContent>
  <xr:revisionPtr revIDLastSave="0" documentId="13_ncr:1_{026BB796-202A-4146-B8D6-34990AF59C6F}" xr6:coauthVersionLast="47" xr6:coauthVersionMax="47" xr10:uidLastSave="{00000000-0000-0000-0000-000000000000}"/>
  <bookViews>
    <workbookView xWindow="-120" yWindow="-120" windowWidth="29040" windowHeight="15720" tabRatio="866" activeTab="1" xr2:uid="{00000000-000D-0000-FFFF-FFFF00000000}"/>
  </bookViews>
  <sheets>
    <sheet name="Summary" sheetId="24" r:id="rId1"/>
    <sheet name="units overall" sheetId="25" r:id="rId2"/>
    <sheet name="HT Split up" sheetId="29" r:id="rId3"/>
    <sheet name="Machines Pump &amp; inj" sheetId="36" r:id="rId4"/>
    <sheet name="HFO" sheetId="26" r:id="rId5"/>
    <sheet name="HSD" sheetId="27" r:id="rId6"/>
    <sheet name="DG Usage" sheetId="28" r:id="rId7"/>
    <sheet name="Graph" sheetId="31" r:id="rId8"/>
    <sheet name="Other Areas" sheetId="32" r:id="rId9"/>
    <sheet name="CRNHB split up" sheetId="33" r:id="rId10"/>
    <sheet name="Inline split up" sheetId="35" r:id="rId11"/>
    <sheet name="HT insourcing" sheetId="37" r:id="rId12"/>
    <sheet name="CTA" sheetId="38" r:id="rId13"/>
  </sheets>
  <definedNames>
    <definedName name="_xlnm.Print_Area" localSheetId="9">'CRNHB split up'!$B$4:$J$22</definedName>
    <definedName name="_xlnm.Print_Area" localSheetId="12">CTA!$B$4:$G$22</definedName>
    <definedName name="_xlnm.Print_Area" localSheetId="6">'DG Usage'!$B$3:$O$37</definedName>
    <definedName name="_xlnm.Print_Area" localSheetId="4">HFO!$B$4:$G$37</definedName>
    <definedName name="_xlnm.Print_Area" localSheetId="11">'HT insourcing'!$B$4:$F$22</definedName>
    <definedName name="_xlnm.Print_Area" localSheetId="2">'HT Split up'!$B$2:$AI$36</definedName>
    <definedName name="_xlnm.Print_Area" localSheetId="10">'Inline split up'!$B$4:$H$22</definedName>
    <definedName name="_xlnm.Print_Area" localSheetId="3">'Machines Pump &amp; inj'!$C$4:$Y$38</definedName>
    <definedName name="_xlnm.Print_Area" localSheetId="0">Summary!$B$4:$N$32</definedName>
    <definedName name="_xlnm.Print_Area" localSheetId="1">'units overall'!$B$3:$V$40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7" i="25" l="1"/>
  <c r="R47" i="25"/>
  <c r="Q48" i="25"/>
  <c r="Q47" i="25"/>
  <c r="J37" i="25"/>
  <c r="E37" i="25"/>
  <c r="P5" i="25" l="1"/>
  <c r="V5" i="25" s="1"/>
  <c r="P6" i="25"/>
  <c r="V6" i="25" s="1"/>
  <c r="G37" i="35" l="1"/>
  <c r="H7" i="35"/>
  <c r="H8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6" i="35"/>
  <c r="S15" i="24" l="1"/>
  <c r="S16" i="24"/>
  <c r="F37" i="38"/>
  <c r="L6" i="38"/>
  <c r="O5" i="24" l="1"/>
  <c r="P5" i="24"/>
  <c r="Q5" i="24"/>
  <c r="S5" i="24"/>
  <c r="X35" i="25"/>
  <c r="Z35" i="25"/>
  <c r="S33" i="24"/>
  <c r="S34" i="24"/>
  <c r="S35" i="24"/>
  <c r="T35" i="24"/>
  <c r="D35" i="24" s="1"/>
  <c r="F36" i="37"/>
  <c r="H36" i="35"/>
  <c r="J36" i="33"/>
  <c r="W37" i="36"/>
  <c r="X37" i="36"/>
  <c r="Y37" i="36" s="1"/>
  <c r="Z37" i="36" s="1"/>
  <c r="R37" i="36"/>
  <c r="N35" i="32"/>
  <c r="M35" i="32" s="1"/>
  <c r="S36" i="25"/>
  <c r="R36" i="25"/>
  <c r="D36" i="25" l="1"/>
  <c r="E36" i="25"/>
  <c r="F36" i="25"/>
  <c r="G36" i="25"/>
  <c r="H36" i="25"/>
  <c r="I36" i="25"/>
  <c r="S18" i="24" l="1"/>
  <c r="S19" i="24"/>
  <c r="S20" i="24"/>
  <c r="S21" i="24"/>
  <c r="S22" i="24"/>
  <c r="S23" i="24"/>
  <c r="S24" i="24"/>
  <c r="S25" i="24"/>
  <c r="S26" i="24"/>
  <c r="S27" i="24"/>
  <c r="S28" i="24"/>
  <c r="S29" i="24"/>
  <c r="S30" i="24"/>
  <c r="S31" i="24"/>
  <c r="S32" i="24"/>
  <c r="S6" i="24"/>
  <c r="S7" i="24"/>
  <c r="S8" i="24"/>
  <c r="S9" i="24"/>
  <c r="S10" i="24"/>
  <c r="S11" i="24"/>
  <c r="S12" i="24"/>
  <c r="S13" i="24"/>
  <c r="S14" i="24"/>
  <c r="S17" i="24"/>
  <c r="K38" i="24" l="1"/>
  <c r="K45" i="25"/>
  <c r="F6" i="37" l="1"/>
  <c r="G11" i="38" l="1"/>
  <c r="G10" i="38"/>
  <c r="G9" i="38"/>
  <c r="L7" i="38"/>
  <c r="L8" i="38"/>
  <c r="L9" i="38"/>
  <c r="L10" i="38"/>
  <c r="L11" i="38"/>
  <c r="L12" i="38"/>
  <c r="L13" i="38"/>
  <c r="L14" i="38"/>
  <c r="G7" i="38"/>
  <c r="G8" i="38"/>
  <c r="G12" i="38"/>
  <c r="G13" i="38"/>
  <c r="G14" i="38"/>
  <c r="G15" i="38"/>
  <c r="G16" i="38"/>
  <c r="G17" i="38"/>
  <c r="G18" i="38"/>
  <c r="G19" i="38"/>
  <c r="G20" i="38"/>
  <c r="G21" i="38"/>
  <c r="G22" i="38"/>
  <c r="G23" i="38"/>
  <c r="G24" i="38"/>
  <c r="G25" i="38"/>
  <c r="G26" i="38"/>
  <c r="G27" i="38"/>
  <c r="G28" i="38"/>
  <c r="G29" i="38"/>
  <c r="G30" i="38"/>
  <c r="G31" i="38"/>
  <c r="G32" i="38"/>
  <c r="G33" i="38"/>
  <c r="G34" i="38"/>
  <c r="G35" i="38"/>
  <c r="G36" i="38"/>
  <c r="G6" i="38"/>
  <c r="E36" i="24"/>
  <c r="AE35" i="29"/>
  <c r="AI35" i="29" s="1"/>
  <c r="P16" i="25"/>
  <c r="T6" i="24"/>
  <c r="P7" i="25"/>
  <c r="V7" i="25" s="1"/>
  <c r="T7" i="24" s="1"/>
  <c r="P8" i="25"/>
  <c r="V8" i="25" s="1"/>
  <c r="T8" i="24" s="1"/>
  <c r="P9" i="25"/>
  <c r="P10" i="25"/>
  <c r="P11" i="25"/>
  <c r="P12" i="25"/>
  <c r="P13" i="25"/>
  <c r="P14" i="25"/>
  <c r="P15" i="25"/>
  <c r="P17" i="25"/>
  <c r="P18" i="25"/>
  <c r="P19" i="25"/>
  <c r="P20" i="25"/>
  <c r="P21" i="25"/>
  <c r="P22" i="25"/>
  <c r="P23" i="25"/>
  <c r="P24" i="25"/>
  <c r="P25" i="25"/>
  <c r="G37" i="38" l="1"/>
  <c r="G39" i="38" s="1"/>
  <c r="D8" i="24"/>
  <c r="K8" i="24" s="1"/>
  <c r="X8" i="25" s="1"/>
  <c r="Z8" i="25" s="1"/>
  <c r="D6" i="24"/>
  <c r="K6" i="24" s="1"/>
  <c r="X6" i="25" s="1"/>
  <c r="Z6" i="25" s="1"/>
  <c r="D7" i="24"/>
  <c r="K7" i="24" s="1"/>
  <c r="X7" i="25" s="1"/>
  <c r="Z7" i="25" s="1"/>
  <c r="Q10" i="24"/>
  <c r="F11" i="37" l="1"/>
  <c r="F8" i="37"/>
  <c r="Q8" i="24"/>
  <c r="K35" i="24" l="1"/>
  <c r="O35" i="24"/>
  <c r="P35" i="24"/>
  <c r="Q35" i="24"/>
  <c r="P35" i="25"/>
  <c r="V35" i="25"/>
  <c r="E37" i="38"/>
  <c r="D37" i="38"/>
  <c r="E37" i="37"/>
  <c r="D37" i="37"/>
  <c r="F35" i="37"/>
  <c r="F34" i="37"/>
  <c r="F33" i="37"/>
  <c r="F32" i="37"/>
  <c r="F31" i="37"/>
  <c r="F30" i="37"/>
  <c r="F29" i="37"/>
  <c r="F28" i="37"/>
  <c r="F27" i="37"/>
  <c r="F26" i="37"/>
  <c r="F25" i="37"/>
  <c r="F24" i="37"/>
  <c r="F23" i="37"/>
  <c r="F22" i="37"/>
  <c r="F21" i="37"/>
  <c r="F20" i="37"/>
  <c r="F19" i="37"/>
  <c r="F18" i="37"/>
  <c r="F17" i="37"/>
  <c r="F16" i="37"/>
  <c r="F15" i="37"/>
  <c r="F14" i="37"/>
  <c r="F13" i="37"/>
  <c r="F12" i="37"/>
  <c r="F10" i="37"/>
  <c r="F9" i="37"/>
  <c r="F7" i="37"/>
  <c r="T5" i="24"/>
  <c r="D5" i="24" s="1"/>
  <c r="K5" i="24" s="1"/>
  <c r="P26" i="25"/>
  <c r="P27" i="25"/>
  <c r="P28" i="25"/>
  <c r="P29" i="25"/>
  <c r="P30" i="25"/>
  <c r="P31" i="25"/>
  <c r="P32" i="25"/>
  <c r="P33" i="25"/>
  <c r="P34" i="25"/>
  <c r="U36" i="25"/>
  <c r="F37" i="37" l="1"/>
  <c r="F39" i="37" s="1"/>
  <c r="N6" i="32"/>
  <c r="N7" i="32"/>
  <c r="N8" i="32"/>
  <c r="N9" i="32"/>
  <c r="N10" i="32"/>
  <c r="N11" i="32"/>
  <c r="N12" i="32"/>
  <c r="N13" i="32"/>
  <c r="N14" i="32"/>
  <c r="N15" i="32"/>
  <c r="N16" i="32"/>
  <c r="N17" i="32"/>
  <c r="N18" i="32"/>
  <c r="N19" i="32"/>
  <c r="N20" i="32"/>
  <c r="N21" i="32"/>
  <c r="N22" i="32"/>
  <c r="N23" i="32"/>
  <c r="N24" i="32"/>
  <c r="N25" i="32"/>
  <c r="N26" i="32"/>
  <c r="N27" i="32"/>
  <c r="N28" i="32"/>
  <c r="N29" i="32"/>
  <c r="N30" i="32"/>
  <c r="N31" i="32"/>
  <c r="N32" i="32"/>
  <c r="N33" i="32"/>
  <c r="N34" i="32"/>
  <c r="O33" i="24"/>
  <c r="R7" i="36"/>
  <c r="W7" i="36"/>
  <c r="X7" i="36" s="1"/>
  <c r="R8" i="36"/>
  <c r="W8" i="36"/>
  <c r="X8" i="36" s="1"/>
  <c r="R9" i="36"/>
  <c r="W9" i="36"/>
  <c r="X9" i="36" s="1"/>
  <c r="R10" i="36"/>
  <c r="W10" i="36"/>
  <c r="X10" i="36" s="1"/>
  <c r="Q33" i="24"/>
  <c r="Y10" i="36" l="1"/>
  <c r="Z10" i="36" s="1"/>
  <c r="Y8" i="36"/>
  <c r="Z8" i="36" s="1"/>
  <c r="Y9" i="36"/>
  <c r="Z9" i="36" s="1"/>
  <c r="Y7" i="36"/>
  <c r="Z7" i="36" s="1"/>
  <c r="O26" i="24"/>
  <c r="Q26" i="24"/>
  <c r="O19" i="24" l="1"/>
  <c r="Q19" i="24"/>
  <c r="AE6" i="29" l="1"/>
  <c r="AI6" i="29" s="1"/>
  <c r="AE7" i="29"/>
  <c r="AI7" i="29" s="1"/>
  <c r="AE8" i="29"/>
  <c r="AI8" i="29" s="1"/>
  <c r="AE9" i="29"/>
  <c r="AI9" i="29" s="1"/>
  <c r="AE10" i="29"/>
  <c r="AI10" i="29" s="1"/>
  <c r="AE11" i="29"/>
  <c r="AI11" i="29" s="1"/>
  <c r="AE12" i="29"/>
  <c r="AI12" i="29" s="1"/>
  <c r="AE13" i="29"/>
  <c r="AI13" i="29" s="1"/>
  <c r="AE14" i="29"/>
  <c r="AI14" i="29" s="1"/>
  <c r="AE15" i="29"/>
  <c r="AI15" i="29" s="1"/>
  <c r="AE16" i="29"/>
  <c r="AI16" i="29" s="1"/>
  <c r="AE17" i="29"/>
  <c r="AI17" i="29" s="1"/>
  <c r="AE18" i="29"/>
  <c r="AI18" i="29" s="1"/>
  <c r="AE19" i="29"/>
  <c r="AI19" i="29" s="1"/>
  <c r="AE20" i="29"/>
  <c r="AI20" i="29" s="1"/>
  <c r="AE21" i="29"/>
  <c r="AI21" i="29" s="1"/>
  <c r="AE22" i="29"/>
  <c r="AI22" i="29" s="1"/>
  <c r="AE23" i="29"/>
  <c r="AI23" i="29" s="1"/>
  <c r="AE24" i="29"/>
  <c r="AI24" i="29" s="1"/>
  <c r="AE25" i="29"/>
  <c r="AI25" i="29" s="1"/>
  <c r="AE26" i="29"/>
  <c r="AI26" i="29" s="1"/>
  <c r="AE27" i="29"/>
  <c r="AI27" i="29" s="1"/>
  <c r="AE28" i="29"/>
  <c r="AI28" i="29" s="1"/>
  <c r="AE29" i="29"/>
  <c r="AI29" i="29" s="1"/>
  <c r="AE30" i="29"/>
  <c r="AI30" i="29" s="1"/>
  <c r="AE31" i="29"/>
  <c r="AI31" i="29" s="1"/>
  <c r="AE32" i="29"/>
  <c r="AI32" i="29" s="1"/>
  <c r="AE33" i="29"/>
  <c r="AI33" i="29" s="1"/>
  <c r="AE34" i="29"/>
  <c r="AI34" i="29" s="1"/>
  <c r="AE5" i="29"/>
  <c r="AI5" i="29" s="1"/>
  <c r="P34" i="24"/>
  <c r="O28" i="24"/>
  <c r="O29" i="24"/>
  <c r="O30" i="24"/>
  <c r="O31" i="24"/>
  <c r="O32" i="24"/>
  <c r="O21" i="24"/>
  <c r="O22" i="24"/>
  <c r="O23" i="24"/>
  <c r="O24" i="24"/>
  <c r="O25" i="24"/>
  <c r="O14" i="24"/>
  <c r="O15" i="24"/>
  <c r="O16" i="24"/>
  <c r="O17" i="24"/>
  <c r="O18" i="24"/>
  <c r="AI36" i="29" l="1"/>
  <c r="O12" i="24"/>
  <c r="Q12" i="24"/>
  <c r="I40" i="33" l="1"/>
  <c r="H40" i="33"/>
  <c r="N5" i="32" l="1"/>
  <c r="T36" i="25" l="1"/>
  <c r="N54" i="25" s="1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6" i="27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6" i="26"/>
  <c r="W11" i="36" l="1"/>
  <c r="W12" i="36"/>
  <c r="W13" i="36"/>
  <c r="W14" i="36"/>
  <c r="W15" i="36"/>
  <c r="W16" i="36"/>
  <c r="W17" i="36"/>
  <c r="W18" i="36"/>
  <c r="W19" i="36"/>
  <c r="W20" i="36"/>
  <c r="W21" i="36"/>
  <c r="W22" i="36"/>
  <c r="W23" i="36"/>
  <c r="W24" i="36"/>
  <c r="W25" i="36"/>
  <c r="W26" i="36"/>
  <c r="W27" i="36"/>
  <c r="W28" i="36"/>
  <c r="W29" i="36"/>
  <c r="W30" i="36"/>
  <c r="W31" i="36"/>
  <c r="W32" i="36"/>
  <c r="W33" i="36"/>
  <c r="W34" i="36"/>
  <c r="W35" i="36"/>
  <c r="W36" i="36"/>
  <c r="Q6" i="24"/>
  <c r="Q7" i="24"/>
  <c r="Q9" i="24"/>
  <c r="Q11" i="24"/>
  <c r="Q13" i="24"/>
  <c r="Q14" i="24"/>
  <c r="U30" i="24"/>
  <c r="F36" i="24" l="1"/>
  <c r="M37" i="28" l="1"/>
  <c r="M90" i="28"/>
  <c r="M92" i="28"/>
  <c r="K36" i="25" l="1"/>
  <c r="E37" i="27" l="1"/>
  <c r="V9" i="25" l="1"/>
  <c r="V10" i="25"/>
  <c r="V11" i="25"/>
  <c r="V12" i="25"/>
  <c r="V13" i="25"/>
  <c r="V14" i="25"/>
  <c r="V15" i="25"/>
  <c r="V16" i="25"/>
  <c r="T16" i="24" s="1"/>
  <c r="D16" i="24" l="1"/>
  <c r="K16" i="24" s="1"/>
  <c r="X16" i="25" s="1"/>
  <c r="Z16" i="25" s="1"/>
  <c r="T12" i="24"/>
  <c r="T15" i="24"/>
  <c r="T14" i="24"/>
  <c r="T13" i="24"/>
  <c r="T11" i="24"/>
  <c r="T10" i="24"/>
  <c r="T9" i="24"/>
  <c r="D36" i="29"/>
  <c r="D15" i="24" l="1"/>
  <c r="K15" i="24" s="1"/>
  <c r="X15" i="25" s="1"/>
  <c r="Z15" i="25" s="1"/>
  <c r="D9" i="24"/>
  <c r="K9" i="24" s="1"/>
  <c r="D10" i="24"/>
  <c r="K10" i="24" s="1"/>
  <c r="X10" i="25" s="1"/>
  <c r="Z10" i="25" s="1"/>
  <c r="D11" i="24"/>
  <c r="K11" i="24" s="1"/>
  <c r="X11" i="25" s="1"/>
  <c r="Z11" i="25" s="1"/>
  <c r="D13" i="24"/>
  <c r="K13" i="24" s="1"/>
  <c r="X13" i="25" s="1"/>
  <c r="Z13" i="25" s="1"/>
  <c r="D14" i="24"/>
  <c r="K14" i="24" s="1"/>
  <c r="X14" i="25" s="1"/>
  <c r="Z14" i="25" s="1"/>
  <c r="D12" i="24"/>
  <c r="K12" i="24" s="1"/>
  <c r="X12" i="25" s="1"/>
  <c r="Z12" i="25" s="1"/>
  <c r="I44" i="33"/>
  <c r="F47" i="33"/>
  <c r="X9" i="25" l="1"/>
  <c r="Z9" i="25" s="1"/>
  <c r="X21" i="36"/>
  <c r="X22" i="36"/>
  <c r="X23" i="36"/>
  <c r="X24" i="36"/>
  <c r="X25" i="36"/>
  <c r="X26" i="36"/>
  <c r="X27" i="36"/>
  <c r="X28" i="36"/>
  <c r="X29" i="36"/>
  <c r="X31" i="36"/>
  <c r="X32" i="36"/>
  <c r="X33" i="36"/>
  <c r="X35" i="36"/>
  <c r="X30" i="36"/>
  <c r="X34" i="36"/>
  <c r="X36" i="36"/>
  <c r="R21" i="36"/>
  <c r="R22" i="36"/>
  <c r="R23" i="36"/>
  <c r="R24" i="36"/>
  <c r="R25" i="36"/>
  <c r="R26" i="36"/>
  <c r="R27" i="36"/>
  <c r="R28" i="36"/>
  <c r="R29" i="36"/>
  <c r="R30" i="36"/>
  <c r="R31" i="36"/>
  <c r="R32" i="36"/>
  <c r="R33" i="36"/>
  <c r="R34" i="36"/>
  <c r="R35" i="36"/>
  <c r="R36" i="36"/>
  <c r="R11" i="36" l="1"/>
  <c r="R12" i="36"/>
  <c r="R13" i="36"/>
  <c r="R14" i="36"/>
  <c r="R15" i="36"/>
  <c r="R16" i="36"/>
  <c r="R17" i="36"/>
  <c r="R18" i="36"/>
  <c r="R19" i="36"/>
  <c r="R20" i="36"/>
  <c r="Y21" i="36"/>
  <c r="Z21" i="36" s="1"/>
  <c r="Y22" i="36"/>
  <c r="Z22" i="36" s="1"/>
  <c r="Y23" i="36"/>
  <c r="Z23" i="36" s="1"/>
  <c r="Y24" i="36"/>
  <c r="Z24" i="36" s="1"/>
  <c r="Y25" i="36"/>
  <c r="Z25" i="36" s="1"/>
  <c r="Y26" i="36"/>
  <c r="Z26" i="36" s="1"/>
  <c r="Y27" i="36"/>
  <c r="Z27" i="36" s="1"/>
  <c r="Y28" i="36"/>
  <c r="Z28" i="36" s="1"/>
  <c r="Y29" i="36"/>
  <c r="Z29" i="36" s="1"/>
  <c r="Y30" i="36"/>
  <c r="Z30" i="36" s="1"/>
  <c r="Y31" i="36"/>
  <c r="Z31" i="36" s="1"/>
  <c r="Y32" i="36"/>
  <c r="Z32" i="36" s="1"/>
  <c r="Y33" i="36"/>
  <c r="Z33" i="36" s="1"/>
  <c r="Y34" i="36"/>
  <c r="Z34" i="36" s="1"/>
  <c r="Y35" i="36"/>
  <c r="Z35" i="36" s="1"/>
  <c r="Y36" i="36"/>
  <c r="Z36" i="36" s="1"/>
  <c r="Q38" i="36"/>
  <c r="S38" i="36"/>
  <c r="T38" i="36"/>
  <c r="U38" i="36"/>
  <c r="V38" i="36"/>
  <c r="W38" i="36"/>
  <c r="X11" i="36"/>
  <c r="X12" i="36"/>
  <c r="X13" i="36"/>
  <c r="X14" i="36"/>
  <c r="X15" i="36"/>
  <c r="X16" i="36"/>
  <c r="X17" i="36"/>
  <c r="X18" i="36"/>
  <c r="X19" i="36"/>
  <c r="X20" i="36"/>
  <c r="P48" i="36"/>
  <c r="O48" i="36"/>
  <c r="N48" i="36"/>
  <c r="M48" i="36"/>
  <c r="L48" i="36"/>
  <c r="K48" i="36"/>
  <c r="J48" i="36"/>
  <c r="I48" i="36"/>
  <c r="H48" i="36"/>
  <c r="G48" i="36"/>
  <c r="F48" i="36"/>
  <c r="E48" i="36"/>
  <c r="R41" i="36"/>
  <c r="P41" i="36"/>
  <c r="O41" i="36"/>
  <c r="N41" i="36"/>
  <c r="M41" i="36"/>
  <c r="L41" i="36"/>
  <c r="K41" i="36"/>
  <c r="J41" i="36"/>
  <c r="I41" i="36"/>
  <c r="H41" i="36"/>
  <c r="G41" i="36"/>
  <c r="F41" i="36"/>
  <c r="E41" i="36"/>
  <c r="P38" i="36"/>
  <c r="O38" i="36"/>
  <c r="N38" i="36"/>
  <c r="M38" i="36"/>
  <c r="L38" i="36"/>
  <c r="K38" i="36"/>
  <c r="J38" i="36"/>
  <c r="I38" i="36"/>
  <c r="H38" i="36"/>
  <c r="G38" i="36"/>
  <c r="F38" i="36"/>
  <c r="E38" i="36"/>
  <c r="G2" i="36"/>
  <c r="Y11" i="36" l="1"/>
  <c r="Z11" i="36" s="1"/>
  <c r="Y12" i="36"/>
  <c r="Z12" i="36" s="1"/>
  <c r="Y18" i="36"/>
  <c r="Z18" i="36" s="1"/>
  <c r="Y19" i="36"/>
  <c r="Z19" i="36" s="1"/>
  <c r="Y16" i="36"/>
  <c r="Z16" i="36" s="1"/>
  <c r="Y14" i="36"/>
  <c r="Z14" i="36" s="1"/>
  <c r="Y20" i="36"/>
  <c r="Z20" i="36" s="1"/>
  <c r="Y15" i="36"/>
  <c r="Z15" i="36" s="1"/>
  <c r="X38" i="36"/>
  <c r="Y17" i="36"/>
  <c r="Z17" i="36" s="1"/>
  <c r="Y13" i="36"/>
  <c r="Z13" i="36" s="1"/>
  <c r="R38" i="36"/>
  <c r="R48" i="36"/>
  <c r="Y41" i="36"/>
  <c r="E36" i="29"/>
  <c r="Z38" i="36" l="1"/>
  <c r="Y38" i="36"/>
  <c r="M44" i="36" s="1"/>
  <c r="G44" i="36" l="1"/>
  <c r="L44" i="36"/>
  <c r="H44" i="36"/>
  <c r="F44" i="36"/>
  <c r="O44" i="36"/>
  <c r="R44" i="36"/>
  <c r="P44" i="36"/>
  <c r="J44" i="36"/>
  <c r="K44" i="36"/>
  <c r="N44" i="36"/>
  <c r="I44" i="36"/>
  <c r="Y44" i="36"/>
  <c r="E44" i="36"/>
  <c r="V34" i="25"/>
  <c r="T34" i="24" s="1"/>
  <c r="D34" i="24" s="1"/>
  <c r="K34" i="24" s="1"/>
  <c r="X34" i="25" s="1"/>
  <c r="Z34" i="25" s="1"/>
  <c r="J7" i="33" l="1"/>
  <c r="J8" i="33"/>
  <c r="J9" i="33"/>
  <c r="J10" i="33"/>
  <c r="J11" i="33"/>
  <c r="J12" i="33"/>
  <c r="J13" i="33"/>
  <c r="J14" i="33"/>
  <c r="J15" i="33"/>
  <c r="J16" i="33"/>
  <c r="J17" i="33"/>
  <c r="J18" i="33"/>
  <c r="J19" i="33"/>
  <c r="J20" i="33"/>
  <c r="J21" i="33"/>
  <c r="J22" i="33"/>
  <c r="J23" i="33"/>
  <c r="J24" i="33"/>
  <c r="J25" i="33"/>
  <c r="J26" i="33"/>
  <c r="J27" i="33"/>
  <c r="J28" i="33"/>
  <c r="J29" i="33"/>
  <c r="J30" i="33"/>
  <c r="J31" i="33"/>
  <c r="J32" i="33"/>
  <c r="J33" i="33"/>
  <c r="J34" i="33"/>
  <c r="J6" i="33"/>
  <c r="J40" i="33" l="1"/>
  <c r="AD39" i="29" l="1"/>
  <c r="AE36" i="29"/>
  <c r="AF36" i="29"/>
  <c r="AH36" i="29"/>
  <c r="AJ36" i="29"/>
  <c r="AK36" i="29"/>
  <c r="J36" i="25" l="1"/>
  <c r="L36" i="25"/>
  <c r="M36" i="25"/>
  <c r="N36" i="25"/>
  <c r="V22" i="25" l="1"/>
  <c r="T22" i="24" s="1"/>
  <c r="D22" i="24" l="1"/>
  <c r="K22" i="24" s="1"/>
  <c r="X22" i="25" s="1"/>
  <c r="Z22" i="25" s="1"/>
  <c r="D36" i="32"/>
  <c r="V24" i="25" l="1"/>
  <c r="T24" i="24" s="1"/>
  <c r="D24" i="24" l="1"/>
  <c r="K24" i="24" s="1"/>
  <c r="X24" i="25" s="1"/>
  <c r="Z24" i="25" s="1"/>
  <c r="P1" i="32"/>
  <c r="J35" i="33" l="1"/>
  <c r="J37" i="33" s="1"/>
  <c r="V18" i="25" l="1"/>
  <c r="T18" i="24" s="1"/>
  <c r="D18" i="24" s="1"/>
  <c r="K18" i="24" l="1"/>
  <c r="X18" i="25" s="1"/>
  <c r="Z18" i="25" s="1"/>
  <c r="X5" i="25" l="1"/>
  <c r="F36" i="29" l="1"/>
  <c r="G36" i="29"/>
  <c r="H36" i="29"/>
  <c r="I36" i="29"/>
  <c r="J36" i="29"/>
  <c r="K36" i="29"/>
  <c r="L36" i="29"/>
  <c r="M36" i="29"/>
  <c r="N36" i="29"/>
  <c r="O36" i="29"/>
  <c r="P36" i="29"/>
  <c r="Q36" i="29"/>
  <c r="R36" i="29"/>
  <c r="S36" i="29"/>
  <c r="T36" i="29"/>
  <c r="U36" i="29"/>
  <c r="V36" i="29"/>
  <c r="W36" i="29"/>
  <c r="X36" i="29"/>
  <c r="Y36" i="29"/>
  <c r="Z36" i="29"/>
  <c r="AA36" i="29"/>
  <c r="AB36" i="29"/>
  <c r="AC36" i="29"/>
  <c r="AD36" i="29"/>
  <c r="M33" i="32" l="1"/>
  <c r="M34" i="32"/>
  <c r="V33" i="25"/>
  <c r="T33" i="24" s="1"/>
  <c r="D33" i="24" s="1"/>
  <c r="K33" i="24" s="1"/>
  <c r="X33" i="25" s="1"/>
  <c r="Z33" i="25" s="1"/>
  <c r="O11" i="24" l="1"/>
  <c r="V20" i="25" l="1"/>
  <c r="T20" i="24" s="1"/>
  <c r="D20" i="24" l="1"/>
  <c r="K20" i="24" s="1"/>
  <c r="X20" i="25" s="1"/>
  <c r="Z20" i="25" s="1"/>
  <c r="AH37" i="28"/>
  <c r="AJ6" i="28"/>
  <c r="AK7" i="28"/>
  <c r="AK8" i="28"/>
  <c r="AK9" i="28"/>
  <c r="AK10" i="28"/>
  <c r="AK11" i="28"/>
  <c r="AK12" i="28"/>
  <c r="AK13" i="28"/>
  <c r="AK14" i="28"/>
  <c r="AK15" i="28"/>
  <c r="AK16" i="28"/>
  <c r="AK17" i="28"/>
  <c r="AK18" i="28"/>
  <c r="AK19" i="28"/>
  <c r="AK20" i="28"/>
  <c r="AK21" i="28"/>
  <c r="AK22" i="28"/>
  <c r="AK23" i="28"/>
  <c r="AK24" i="28"/>
  <c r="AK25" i="28"/>
  <c r="AK26" i="28"/>
  <c r="AK27" i="28"/>
  <c r="AK28" i="28"/>
  <c r="AK29" i="28"/>
  <c r="AK30" i="28"/>
  <c r="AK31" i="28"/>
  <c r="AK32" i="28"/>
  <c r="AK33" i="28"/>
  <c r="AK34" i="28"/>
  <c r="AK35" i="28"/>
  <c r="AK36" i="28"/>
  <c r="AK6" i="28"/>
  <c r="AR37" i="28"/>
  <c r="AO37" i="28"/>
  <c r="AL37" i="28"/>
  <c r="AI37" i="28"/>
  <c r="AI38" i="28" l="1"/>
  <c r="BC36" i="28"/>
  <c r="AS7" i="28"/>
  <c r="AS8" i="28"/>
  <c r="AS9" i="28"/>
  <c r="AS10" i="28"/>
  <c r="AS11" i="28"/>
  <c r="AS12" i="28"/>
  <c r="AS13" i="28"/>
  <c r="AS14" i="28"/>
  <c r="AS15" i="28"/>
  <c r="AS16" i="28"/>
  <c r="AS17" i="28"/>
  <c r="AS18" i="28"/>
  <c r="AS19" i="28"/>
  <c r="AS20" i="28"/>
  <c r="AS21" i="28"/>
  <c r="AS22" i="28"/>
  <c r="AS23" i="28"/>
  <c r="AS24" i="28"/>
  <c r="AS25" i="28"/>
  <c r="AS26" i="28"/>
  <c r="AS27" i="28"/>
  <c r="AS28" i="28"/>
  <c r="AS29" i="28"/>
  <c r="AS30" i="28"/>
  <c r="AS31" i="28"/>
  <c r="AS32" i="28"/>
  <c r="AS33" i="28"/>
  <c r="AS34" i="28"/>
  <c r="AS35" i="28"/>
  <c r="AS36" i="28"/>
  <c r="AS6" i="28"/>
  <c r="AP7" i="28"/>
  <c r="AP8" i="28"/>
  <c r="AP9" i="28"/>
  <c r="AP10" i="28"/>
  <c r="AP11" i="28"/>
  <c r="AP12" i="28"/>
  <c r="AP13" i="28"/>
  <c r="AP14" i="28"/>
  <c r="AP15" i="28"/>
  <c r="AP16" i="28"/>
  <c r="AP17" i="28"/>
  <c r="AP18" i="28"/>
  <c r="AP19" i="28"/>
  <c r="AP20" i="28"/>
  <c r="AP21" i="28"/>
  <c r="AP22" i="28"/>
  <c r="AP23" i="28"/>
  <c r="AP24" i="28"/>
  <c r="AP25" i="28"/>
  <c r="AP26" i="28"/>
  <c r="AP27" i="28"/>
  <c r="AP28" i="28"/>
  <c r="AP29" i="28"/>
  <c r="AP30" i="28"/>
  <c r="AP31" i="28"/>
  <c r="AP32" i="28"/>
  <c r="AP33" i="28"/>
  <c r="AP34" i="28"/>
  <c r="AP35" i="28"/>
  <c r="AP36" i="28"/>
  <c r="AP6" i="28"/>
  <c r="AM7" i="28"/>
  <c r="AM8" i="28"/>
  <c r="AM9" i="28"/>
  <c r="AM10" i="28"/>
  <c r="AM11" i="28"/>
  <c r="AM12" i="28"/>
  <c r="AM13" i="28"/>
  <c r="AM14" i="28"/>
  <c r="AM15" i="28"/>
  <c r="AM16" i="28"/>
  <c r="AM17" i="28"/>
  <c r="AM18" i="28"/>
  <c r="AM19" i="28"/>
  <c r="AM20" i="28"/>
  <c r="AM21" i="28"/>
  <c r="AM22" i="28"/>
  <c r="AM23" i="28"/>
  <c r="AM24" i="28"/>
  <c r="AM25" i="28"/>
  <c r="AM26" i="28"/>
  <c r="AM27" i="28"/>
  <c r="AM28" i="28"/>
  <c r="AM29" i="28"/>
  <c r="AM30" i="28"/>
  <c r="AM31" i="28"/>
  <c r="AM32" i="28"/>
  <c r="AM33" i="28"/>
  <c r="AM34" i="28"/>
  <c r="AM35" i="28"/>
  <c r="AM36" i="28"/>
  <c r="AM6" i="28"/>
  <c r="AJ7" i="28"/>
  <c r="AJ8" i="28"/>
  <c r="AJ9" i="28"/>
  <c r="AJ10" i="28"/>
  <c r="AJ11" i="28"/>
  <c r="AJ12" i="28"/>
  <c r="AJ13" i="28"/>
  <c r="AJ14" i="28"/>
  <c r="AJ15" i="28"/>
  <c r="AJ16" i="28"/>
  <c r="AJ17" i="28"/>
  <c r="AJ18" i="28"/>
  <c r="AJ19" i="28"/>
  <c r="AJ20" i="28"/>
  <c r="AJ21" i="28"/>
  <c r="AJ22" i="28"/>
  <c r="AJ23" i="28"/>
  <c r="AJ24" i="28"/>
  <c r="AJ25" i="28"/>
  <c r="AJ26" i="28"/>
  <c r="AJ27" i="28"/>
  <c r="AJ28" i="28"/>
  <c r="AJ29" i="28"/>
  <c r="AJ30" i="28"/>
  <c r="AJ31" i="28"/>
  <c r="AJ32" i="28"/>
  <c r="AJ33" i="28"/>
  <c r="AJ34" i="28"/>
  <c r="AJ35" i="28"/>
  <c r="AJ36" i="28"/>
  <c r="AJ37" i="28" l="1"/>
  <c r="AM37" i="28"/>
  <c r="AP37" i="28"/>
  <c r="AS37" i="28"/>
  <c r="BI15" i="28"/>
  <c r="AZ36" i="28"/>
  <c r="BU36" i="28"/>
  <c r="BS36" i="28"/>
  <c r="BU35" i="28"/>
  <c r="BS35" i="28"/>
  <c r="BU34" i="28"/>
  <c r="BS34" i="28"/>
  <c r="BU33" i="28"/>
  <c r="BS33" i="28"/>
  <c r="BU32" i="28"/>
  <c r="BS32" i="28"/>
  <c r="BU31" i="28"/>
  <c r="BS31" i="28"/>
  <c r="BU30" i="28"/>
  <c r="BS30" i="28"/>
  <c r="BU29" i="28"/>
  <c r="BS29" i="28"/>
  <c r="BU28" i="28"/>
  <c r="BS28" i="28"/>
  <c r="BU27" i="28"/>
  <c r="BS27" i="28"/>
  <c r="BU26" i="28"/>
  <c r="BS26" i="28"/>
  <c r="BU25" i="28"/>
  <c r="BS25" i="28"/>
  <c r="BU24" i="28"/>
  <c r="BS24" i="28"/>
  <c r="BU23" i="28"/>
  <c r="BS23" i="28"/>
  <c r="BU22" i="28"/>
  <c r="BS22" i="28"/>
  <c r="BU21" i="28"/>
  <c r="BS21" i="28"/>
  <c r="BU20" i="28"/>
  <c r="BS20" i="28"/>
  <c r="BU19" i="28"/>
  <c r="BS19" i="28"/>
  <c r="BU18" i="28"/>
  <c r="BS18" i="28"/>
  <c r="BU17" i="28"/>
  <c r="BS17" i="28"/>
  <c r="BU16" i="28"/>
  <c r="BS16" i="28"/>
  <c r="BU15" i="28"/>
  <c r="BS15" i="28"/>
  <c r="BU14" i="28"/>
  <c r="BS14" i="28"/>
  <c r="BU13" i="28"/>
  <c r="BS13" i="28"/>
  <c r="BU12" i="28"/>
  <c r="BS12" i="28"/>
  <c r="BU11" i="28"/>
  <c r="BS11" i="28"/>
  <c r="BU10" i="28"/>
  <c r="BS10" i="28"/>
  <c r="BU9" i="28"/>
  <c r="BS9" i="28"/>
  <c r="BU8" i="28"/>
  <c r="BS8" i="28"/>
  <c r="BU7" i="28"/>
  <c r="BS7" i="28"/>
  <c r="BU6" i="28"/>
  <c r="BS6" i="28"/>
  <c r="BN7" i="28"/>
  <c r="BN8" i="28"/>
  <c r="BN9" i="28"/>
  <c r="BN10" i="28"/>
  <c r="BN11" i="28"/>
  <c r="BN12" i="28"/>
  <c r="BN13" i="28"/>
  <c r="BN14" i="28"/>
  <c r="BN15" i="28"/>
  <c r="BN16" i="28"/>
  <c r="BN17" i="28"/>
  <c r="BN18" i="28"/>
  <c r="BN19" i="28"/>
  <c r="BN20" i="28"/>
  <c r="BN21" i="28"/>
  <c r="BN22" i="28"/>
  <c r="BN23" i="28"/>
  <c r="BN24" i="28"/>
  <c r="BN25" i="28"/>
  <c r="BN26" i="28"/>
  <c r="BN27" i="28"/>
  <c r="BN28" i="28"/>
  <c r="BN29" i="28"/>
  <c r="BN30" i="28"/>
  <c r="BN31" i="28"/>
  <c r="BN32" i="28"/>
  <c r="BN33" i="28"/>
  <c r="BN34" i="28"/>
  <c r="BN35" i="28"/>
  <c r="BN36" i="28"/>
  <c r="BN6" i="28"/>
  <c r="BP36" i="28"/>
  <c r="BP35" i="28"/>
  <c r="BP34" i="28"/>
  <c r="BP33" i="28"/>
  <c r="BP32" i="28"/>
  <c r="BP31" i="28"/>
  <c r="BP30" i="28"/>
  <c r="BP29" i="28"/>
  <c r="BP28" i="28"/>
  <c r="BP27" i="28"/>
  <c r="BP26" i="28"/>
  <c r="BP25" i="28"/>
  <c r="BP24" i="28"/>
  <c r="BP23" i="28"/>
  <c r="BP22" i="28"/>
  <c r="BP21" i="28"/>
  <c r="BP20" i="28"/>
  <c r="BP19" i="28"/>
  <c r="BP18" i="28"/>
  <c r="BP17" i="28"/>
  <c r="BP16" i="28"/>
  <c r="BP15" i="28"/>
  <c r="BP14" i="28"/>
  <c r="BP13" i="28"/>
  <c r="BP12" i="28"/>
  <c r="BP11" i="28"/>
  <c r="BP10" i="28"/>
  <c r="BP9" i="28"/>
  <c r="BP8" i="28"/>
  <c r="BP7" i="28"/>
  <c r="BP6" i="28"/>
  <c r="BI7" i="28"/>
  <c r="BI8" i="28"/>
  <c r="BI9" i="28"/>
  <c r="BI10" i="28"/>
  <c r="BI11" i="28"/>
  <c r="BI12" i="28"/>
  <c r="BI13" i="28"/>
  <c r="BI14" i="28"/>
  <c r="BI16" i="28"/>
  <c r="BI17" i="28"/>
  <c r="BI18" i="28"/>
  <c r="BI19" i="28"/>
  <c r="BI20" i="28"/>
  <c r="BI21" i="28"/>
  <c r="BI22" i="28"/>
  <c r="BI23" i="28"/>
  <c r="BI24" i="28"/>
  <c r="BI25" i="28"/>
  <c r="BI26" i="28"/>
  <c r="BI27" i="28"/>
  <c r="BI28" i="28"/>
  <c r="BI29" i="28"/>
  <c r="BI30" i="28"/>
  <c r="BI31" i="28"/>
  <c r="BI32" i="28"/>
  <c r="BI33" i="28"/>
  <c r="BI34" i="28"/>
  <c r="BI35" i="28"/>
  <c r="BI36" i="28"/>
  <c r="BI6" i="28"/>
  <c r="BK7" i="28"/>
  <c r="BK8" i="28"/>
  <c r="BK9" i="28"/>
  <c r="BK10" i="28"/>
  <c r="BK11" i="28"/>
  <c r="BK12" i="28"/>
  <c r="BK13" i="28"/>
  <c r="BK14" i="28"/>
  <c r="BK15" i="28"/>
  <c r="BK16" i="28"/>
  <c r="BK17" i="28"/>
  <c r="BK18" i="28"/>
  <c r="BK19" i="28"/>
  <c r="BK20" i="28"/>
  <c r="BK21" i="28"/>
  <c r="BK22" i="28"/>
  <c r="BK23" i="28"/>
  <c r="BK24" i="28"/>
  <c r="BK25" i="28"/>
  <c r="BK26" i="28"/>
  <c r="BK27" i="28"/>
  <c r="BK28" i="28"/>
  <c r="BK29" i="28"/>
  <c r="BK30" i="28"/>
  <c r="BK31" i="28"/>
  <c r="BK32" i="28"/>
  <c r="BK33" i="28"/>
  <c r="BK34" i="28"/>
  <c r="BK35" i="28"/>
  <c r="BK36" i="28"/>
  <c r="BK6" i="28"/>
  <c r="BC7" i="28" l="1"/>
  <c r="BE7" i="28" s="1"/>
  <c r="BC8" i="28"/>
  <c r="BE8" i="28" s="1"/>
  <c r="BC9" i="28"/>
  <c r="BE9" i="28" s="1"/>
  <c r="BC10" i="28"/>
  <c r="BE10" i="28" s="1"/>
  <c r="BC11" i="28"/>
  <c r="BE11" i="28" s="1"/>
  <c r="BC12" i="28"/>
  <c r="BE12" i="28" s="1"/>
  <c r="BC13" i="28"/>
  <c r="BE13" i="28" s="1"/>
  <c r="BC14" i="28"/>
  <c r="BE14" i="28" s="1"/>
  <c r="BC15" i="28"/>
  <c r="BE15" i="28" s="1"/>
  <c r="BC16" i="28"/>
  <c r="BE16" i="28" s="1"/>
  <c r="BC17" i="28"/>
  <c r="BE17" i="28" s="1"/>
  <c r="BC18" i="28"/>
  <c r="BE18" i="28" s="1"/>
  <c r="BC19" i="28"/>
  <c r="BE19" i="28" s="1"/>
  <c r="BC20" i="28"/>
  <c r="BE20" i="28" s="1"/>
  <c r="BC21" i="28"/>
  <c r="BE21" i="28" s="1"/>
  <c r="BC22" i="28"/>
  <c r="BE22" i="28" s="1"/>
  <c r="BC23" i="28"/>
  <c r="BE23" i="28" s="1"/>
  <c r="BC24" i="28"/>
  <c r="BE24" i="28" s="1"/>
  <c r="BC25" i="28"/>
  <c r="BE25" i="28" s="1"/>
  <c r="BC26" i="28"/>
  <c r="BE26" i="28" s="1"/>
  <c r="BC27" i="28"/>
  <c r="BE27" i="28" s="1"/>
  <c r="BC28" i="28"/>
  <c r="BE28" i="28" s="1"/>
  <c r="BC29" i="28"/>
  <c r="BE29" i="28" s="1"/>
  <c r="BC30" i="28"/>
  <c r="BE30" i="28" s="1"/>
  <c r="BC31" i="28"/>
  <c r="BE31" i="28" s="1"/>
  <c r="BC32" i="28"/>
  <c r="BE32" i="28" s="1"/>
  <c r="BC33" i="28"/>
  <c r="BE33" i="28" s="1"/>
  <c r="BC34" i="28"/>
  <c r="BE34" i="28" s="1"/>
  <c r="BC35" i="28"/>
  <c r="BE35" i="28" s="1"/>
  <c r="BC6" i="28"/>
  <c r="BE6" i="28" s="1"/>
  <c r="AZ7" i="28"/>
  <c r="AZ8" i="28"/>
  <c r="AZ9" i="28"/>
  <c r="AZ10" i="28"/>
  <c r="AZ11" i="28"/>
  <c r="AZ12" i="28"/>
  <c r="AZ13" i="28"/>
  <c r="AZ14" i="28"/>
  <c r="AZ15" i="28"/>
  <c r="AZ16" i="28"/>
  <c r="AZ17" i="28"/>
  <c r="AZ18" i="28"/>
  <c r="AZ19" i="28"/>
  <c r="AZ20" i="28"/>
  <c r="AZ21" i="28"/>
  <c r="AZ22" i="28"/>
  <c r="AZ23" i="28"/>
  <c r="AZ24" i="28"/>
  <c r="AZ25" i="28"/>
  <c r="AZ26" i="28"/>
  <c r="AZ27" i="28"/>
  <c r="AZ28" i="28"/>
  <c r="AZ29" i="28"/>
  <c r="AZ30" i="28"/>
  <c r="AZ31" i="28"/>
  <c r="AZ32" i="28"/>
  <c r="AZ33" i="28"/>
  <c r="AZ34" i="28"/>
  <c r="AZ35" i="28"/>
  <c r="AZ6" i="28"/>
  <c r="BE37" i="28" l="1"/>
  <c r="Q34" i="24"/>
  <c r="Q15" i="24" l="1"/>
  <c r="Q16" i="24"/>
  <c r="Q17" i="24"/>
  <c r="Q18" i="24"/>
  <c r="Q20" i="24"/>
  <c r="Q21" i="24"/>
  <c r="Q22" i="24"/>
  <c r="Q23" i="24"/>
  <c r="Q24" i="24"/>
  <c r="Q25" i="24"/>
  <c r="Q27" i="24"/>
  <c r="Q28" i="24"/>
  <c r="Q29" i="24"/>
  <c r="Q30" i="24"/>
  <c r="Q31" i="24"/>
  <c r="Q32" i="24"/>
  <c r="Q36" i="24" l="1"/>
  <c r="G40" i="33" l="1"/>
  <c r="F40" i="33"/>
  <c r="E40" i="33"/>
  <c r="D40" i="33"/>
  <c r="I37" i="33"/>
  <c r="H37" i="33"/>
  <c r="G37" i="33"/>
  <c r="F37" i="33"/>
  <c r="E37" i="33"/>
  <c r="D37" i="33"/>
  <c r="M36" i="24" l="1"/>
  <c r="L36" i="24"/>
  <c r="G36" i="24"/>
  <c r="H36" i="24"/>
  <c r="I36" i="24"/>
  <c r="J36" i="24"/>
  <c r="J38" i="24" l="1"/>
  <c r="J39" i="24" s="1"/>
  <c r="M32" i="32"/>
  <c r="V32" i="25"/>
  <c r="T32" i="24" s="1"/>
  <c r="D32" i="24" s="1"/>
  <c r="O6" i="24"/>
  <c r="O7" i="24"/>
  <c r="O8" i="24"/>
  <c r="O34" i="24"/>
  <c r="O27" i="24" l="1"/>
  <c r="P41" i="25" l="1"/>
  <c r="P40" i="25"/>
  <c r="O13" i="24" l="1"/>
  <c r="O20" i="24"/>
  <c r="O9" i="24"/>
  <c r="O10" i="24"/>
  <c r="O36" i="24" l="1"/>
  <c r="V27" i="25"/>
  <c r="T27" i="24" s="1"/>
  <c r="D27" i="24" s="1"/>
  <c r="M26" i="32" l="1"/>
  <c r="M36" i="32" l="1"/>
  <c r="L36" i="32"/>
  <c r="K36" i="32"/>
  <c r="J36" i="32"/>
  <c r="I36" i="32"/>
  <c r="H36" i="32"/>
  <c r="G36" i="32"/>
  <c r="F36" i="32"/>
  <c r="E36" i="32"/>
  <c r="N36" i="32" l="1"/>
  <c r="V17" i="25" l="1"/>
  <c r="T17" i="24" s="1"/>
  <c r="D17" i="24" s="1"/>
  <c r="V19" i="25"/>
  <c r="T19" i="24" s="1"/>
  <c r="V21" i="25"/>
  <c r="T21" i="24" s="1"/>
  <c r="V23" i="25"/>
  <c r="T23" i="24" s="1"/>
  <c r="V25" i="25"/>
  <c r="T25" i="24" s="1"/>
  <c r="V26" i="25"/>
  <c r="T26" i="24" s="1"/>
  <c r="V28" i="25"/>
  <c r="T28" i="24" s="1"/>
  <c r="D28" i="24" s="1"/>
  <c r="V29" i="25"/>
  <c r="T29" i="24" s="1"/>
  <c r="D29" i="24" s="1"/>
  <c r="V30" i="25"/>
  <c r="T30" i="24" s="1"/>
  <c r="D30" i="24" s="1"/>
  <c r="V31" i="25"/>
  <c r="T31" i="24" s="1"/>
  <c r="D31" i="24" s="1"/>
  <c r="K31" i="24" s="1"/>
  <c r="X31" i="25" s="1"/>
  <c r="Z31" i="25" s="1"/>
  <c r="D25" i="24" l="1"/>
  <c r="K25" i="24" s="1"/>
  <c r="X25" i="25" s="1"/>
  <c r="Z25" i="25" s="1"/>
  <c r="D23" i="24"/>
  <c r="K23" i="24" s="1"/>
  <c r="X23" i="25" s="1"/>
  <c r="Z23" i="25" s="1"/>
  <c r="D19" i="24"/>
  <c r="K19" i="24" s="1"/>
  <c r="X19" i="25" s="1"/>
  <c r="Z19" i="25" s="1"/>
  <c r="D26" i="24"/>
  <c r="K26" i="24" s="1"/>
  <c r="X26" i="25" s="1"/>
  <c r="Z26" i="25" s="1"/>
  <c r="D21" i="24"/>
  <c r="K21" i="24" s="1"/>
  <c r="X21" i="25" s="1"/>
  <c r="Z21" i="25" s="1"/>
  <c r="K17" i="24"/>
  <c r="V36" i="25"/>
  <c r="V42" i="25" s="1"/>
  <c r="P8" i="24"/>
  <c r="D36" i="24" l="1"/>
  <c r="X17" i="25"/>
  <c r="Z17" i="25" s="1"/>
  <c r="X39" i="25"/>
  <c r="V38" i="25"/>
  <c r="X36" i="25"/>
  <c r="K29" i="24" l="1"/>
  <c r="X29" i="25" s="1"/>
  <c r="Z29" i="25" s="1"/>
  <c r="K30" i="24"/>
  <c r="X30" i="25" s="1"/>
  <c r="Z30" i="25" s="1"/>
  <c r="P6" i="24" l="1"/>
  <c r="P7" i="24"/>
  <c r="P9" i="24"/>
  <c r="P10" i="24"/>
  <c r="P11" i="24"/>
  <c r="P13" i="24"/>
  <c r="P14" i="24"/>
  <c r="P15" i="24"/>
  <c r="P36" i="24" l="1"/>
  <c r="E37" i="26" l="1"/>
  <c r="DI37" i="28" l="1"/>
  <c r="DH37" i="28"/>
  <c r="DI36" i="28"/>
  <c r="DH36" i="28"/>
  <c r="DI32" i="28"/>
  <c r="DH32" i="28"/>
  <c r="DI31" i="28"/>
  <c r="DH31" i="28"/>
  <c r="DI30" i="28"/>
  <c r="DH30" i="28"/>
  <c r="DI29" i="28"/>
  <c r="DH29" i="28"/>
  <c r="DI28" i="28"/>
  <c r="DH28" i="28"/>
  <c r="DI27" i="28"/>
  <c r="DH27" i="28"/>
  <c r="DI26" i="28"/>
  <c r="DH26" i="28"/>
  <c r="DI25" i="28"/>
  <c r="DH25" i="28"/>
  <c r="DI24" i="28"/>
  <c r="DH24" i="28"/>
  <c r="DI23" i="28"/>
  <c r="DH23" i="28"/>
  <c r="DI22" i="28"/>
  <c r="DH22" i="28"/>
  <c r="DI21" i="28"/>
  <c r="DH21" i="28"/>
  <c r="DI20" i="28"/>
  <c r="DH20" i="28"/>
  <c r="DI19" i="28"/>
  <c r="DH19" i="28"/>
  <c r="DI18" i="28"/>
  <c r="DH18" i="28"/>
  <c r="DI17" i="28"/>
  <c r="DH17" i="28"/>
  <c r="DI16" i="28"/>
  <c r="DH16" i="28"/>
  <c r="DI15" i="28"/>
  <c r="DH15" i="28"/>
  <c r="DI14" i="28"/>
  <c r="DH14" i="28"/>
  <c r="DI13" i="28"/>
  <c r="DH13" i="28"/>
  <c r="DI12" i="28"/>
  <c r="DH12" i="28"/>
  <c r="DI11" i="28"/>
  <c r="DH11" i="28"/>
  <c r="DI10" i="28"/>
  <c r="DH10" i="28"/>
  <c r="DI9" i="28"/>
  <c r="DH9" i="28"/>
  <c r="DI8" i="28"/>
  <c r="DH8" i="28"/>
  <c r="DI7" i="28"/>
  <c r="DH7" i="28"/>
  <c r="DI6" i="28"/>
  <c r="DH6" i="28"/>
  <c r="N84" i="27" l="1"/>
  <c r="F37" i="26" l="1"/>
  <c r="G37" i="26"/>
  <c r="CJ6" i="28" l="1"/>
  <c r="DB6" i="28"/>
  <c r="CJ36" i="28"/>
  <c r="CK36" i="28"/>
  <c r="DB36" i="28"/>
  <c r="DC36" i="28"/>
  <c r="DB37" i="28"/>
  <c r="DC37" i="28"/>
  <c r="CK32" i="28"/>
  <c r="CJ32" i="28"/>
  <c r="CK31" i="28"/>
  <c r="CJ31" i="28"/>
  <c r="CK30" i="28"/>
  <c r="CJ30" i="28"/>
  <c r="CK29" i="28"/>
  <c r="CJ29" i="28"/>
  <c r="CK28" i="28"/>
  <c r="CJ28" i="28"/>
  <c r="CK27" i="28"/>
  <c r="CJ27" i="28"/>
  <c r="CK26" i="28"/>
  <c r="CJ26" i="28"/>
  <c r="CK25" i="28"/>
  <c r="CJ25" i="28"/>
  <c r="CK24" i="28"/>
  <c r="CJ24" i="28"/>
  <c r="CK23" i="28"/>
  <c r="CJ23" i="28"/>
  <c r="CK22" i="28"/>
  <c r="CJ22" i="28"/>
  <c r="CK21" i="28"/>
  <c r="CJ21" i="28"/>
  <c r="CK20" i="28"/>
  <c r="CJ20" i="28"/>
  <c r="CK19" i="28"/>
  <c r="CJ19" i="28"/>
  <c r="CK18" i="28"/>
  <c r="CJ18" i="28"/>
  <c r="CK17" i="28"/>
  <c r="CJ17" i="28"/>
  <c r="CK16" i="28"/>
  <c r="CJ16" i="28"/>
  <c r="CK15" i="28"/>
  <c r="CJ15" i="28"/>
  <c r="CK14" i="28"/>
  <c r="CJ14" i="28"/>
  <c r="CK13" i="28"/>
  <c r="CJ13" i="28"/>
  <c r="CK12" i="28"/>
  <c r="CJ12" i="28"/>
  <c r="CK11" i="28"/>
  <c r="CJ11" i="28"/>
  <c r="CJ10" i="28"/>
  <c r="CK9" i="28"/>
  <c r="CJ9" i="28"/>
  <c r="CK8" i="28"/>
  <c r="CJ8" i="28"/>
  <c r="CK7" i="28"/>
  <c r="CJ7" i="28"/>
  <c r="CK6" i="28"/>
  <c r="CD31" i="28"/>
  <c r="CE31" i="28"/>
  <c r="CD32" i="28"/>
  <c r="CE32" i="28"/>
  <c r="CD36" i="28"/>
  <c r="CE36" i="28"/>
  <c r="L37" i="28" l="1"/>
  <c r="E37" i="28"/>
  <c r="F37" i="28"/>
  <c r="G37" i="28"/>
  <c r="H37" i="28"/>
  <c r="I37" i="28"/>
  <c r="J37" i="28"/>
  <c r="K37" i="28"/>
  <c r="N37" i="28"/>
  <c r="O37" i="28"/>
  <c r="D37" i="28"/>
  <c r="O36" i="25"/>
  <c r="Q36" i="25"/>
  <c r="N52" i="25" s="1"/>
  <c r="N51" i="25"/>
  <c r="N53" i="25"/>
  <c r="D37" i="27" l="1"/>
  <c r="D37" i="26"/>
  <c r="DC32" i="28"/>
  <c r="DB32" i="28"/>
  <c r="DC31" i="28"/>
  <c r="DB31" i="28"/>
  <c r="DC30" i="28"/>
  <c r="DB30" i="28"/>
  <c r="DC29" i="28"/>
  <c r="DB29" i="28"/>
  <c r="DC28" i="28"/>
  <c r="DB28" i="28"/>
  <c r="DC27" i="28"/>
  <c r="DB27" i="28"/>
  <c r="DC26" i="28"/>
  <c r="DB26" i="28"/>
  <c r="DC25" i="28"/>
  <c r="DB25" i="28"/>
  <c r="DC24" i="28"/>
  <c r="DB24" i="28"/>
  <c r="DC23" i="28"/>
  <c r="DB23" i="28"/>
  <c r="DC22" i="28"/>
  <c r="DB22" i="28"/>
  <c r="DC21" i="28"/>
  <c r="DB21" i="28"/>
  <c r="DC20" i="28"/>
  <c r="DB20" i="28"/>
  <c r="DC19" i="28"/>
  <c r="DB19" i="28"/>
  <c r="DC18" i="28"/>
  <c r="DB18" i="28"/>
  <c r="DC17" i="28"/>
  <c r="DB17" i="28"/>
  <c r="DC16" i="28"/>
  <c r="DB16" i="28"/>
  <c r="DC15" i="28"/>
  <c r="DB15" i="28"/>
  <c r="DC14" i="28"/>
  <c r="DB14" i="28"/>
  <c r="DC13" i="28"/>
  <c r="DB13" i="28"/>
  <c r="DC12" i="28"/>
  <c r="DB12" i="28"/>
  <c r="DC11" i="28"/>
  <c r="DB11" i="28"/>
  <c r="DC10" i="28"/>
  <c r="DB10" i="28"/>
  <c r="DC9" i="28"/>
  <c r="DB9" i="28"/>
  <c r="DC8" i="28"/>
  <c r="DB8" i="28"/>
  <c r="DC7" i="28"/>
  <c r="DB7" i="28"/>
  <c r="DC6" i="28"/>
  <c r="CQ36" i="28" l="1"/>
  <c r="CP36" i="28"/>
  <c r="CQ32" i="28"/>
  <c r="CP32" i="28"/>
  <c r="CQ31" i="28"/>
  <c r="CP31" i="28"/>
  <c r="CQ30" i="28"/>
  <c r="CP30" i="28"/>
  <c r="CQ29" i="28"/>
  <c r="CP29" i="28"/>
  <c r="CQ28" i="28"/>
  <c r="CP28" i="28"/>
  <c r="CQ27" i="28"/>
  <c r="CP27" i="28"/>
  <c r="CQ26" i="28"/>
  <c r="CP26" i="28"/>
  <c r="CQ25" i="28"/>
  <c r="CP25" i="28"/>
  <c r="CQ24" i="28"/>
  <c r="CP24" i="28"/>
  <c r="CQ23" i="28"/>
  <c r="CP23" i="28"/>
  <c r="CQ22" i="28"/>
  <c r="CP22" i="28"/>
  <c r="CQ21" i="28"/>
  <c r="CP21" i="28"/>
  <c r="CQ20" i="28"/>
  <c r="CP20" i="28"/>
  <c r="CQ19" i="28"/>
  <c r="CP19" i="28"/>
  <c r="CQ18" i="28"/>
  <c r="CP18" i="28"/>
  <c r="CQ17" i="28"/>
  <c r="CP17" i="28"/>
  <c r="CQ16" i="28"/>
  <c r="CP16" i="28"/>
  <c r="CQ15" i="28"/>
  <c r="CP15" i="28"/>
  <c r="CQ14" i="28"/>
  <c r="CP14" i="28"/>
  <c r="CQ13" i="28"/>
  <c r="CP13" i="28"/>
  <c r="CQ12" i="28"/>
  <c r="CP12" i="28"/>
  <c r="CQ11" i="28"/>
  <c r="CP11" i="28"/>
  <c r="CQ10" i="28"/>
  <c r="CP10" i="28"/>
  <c r="CQ9" i="28"/>
  <c r="CP9" i="28"/>
  <c r="CQ8" i="28"/>
  <c r="CP8" i="28"/>
  <c r="CQ7" i="28"/>
  <c r="CP7" i="28"/>
  <c r="CQ6" i="28"/>
  <c r="CP6" i="28"/>
  <c r="CW8" i="28"/>
  <c r="CW9" i="28"/>
  <c r="CW10" i="28"/>
  <c r="CW11" i="28"/>
  <c r="CW12" i="28"/>
  <c r="CW13" i="28"/>
  <c r="CW14" i="28"/>
  <c r="CW15" i="28"/>
  <c r="CW16" i="28"/>
  <c r="CW17" i="28"/>
  <c r="CW18" i="28"/>
  <c r="CW19" i="28"/>
  <c r="CW20" i="28"/>
  <c r="CW21" i="28"/>
  <c r="CW22" i="28"/>
  <c r="CW23" i="28"/>
  <c r="CW24" i="28"/>
  <c r="CW25" i="28"/>
  <c r="CW26" i="28"/>
  <c r="CW27" i="28"/>
  <c r="CW28" i="28"/>
  <c r="CW29" i="28"/>
  <c r="CW30" i="28"/>
  <c r="CW31" i="28"/>
  <c r="CW32" i="28"/>
  <c r="CW36" i="28"/>
  <c r="CW6" i="28"/>
  <c r="CW7" i="28"/>
  <c r="CD30" i="28"/>
  <c r="CE30" i="28"/>
  <c r="CD7" i="28"/>
  <c r="CE7" i="28"/>
  <c r="CD8" i="28"/>
  <c r="CE8" i="28"/>
  <c r="CD9" i="28"/>
  <c r="CE9" i="28"/>
  <c r="CD10" i="28"/>
  <c r="CE10" i="28"/>
  <c r="CD11" i="28"/>
  <c r="CE11" i="28"/>
  <c r="CD12" i="28"/>
  <c r="CE12" i="28"/>
  <c r="CD13" i="28"/>
  <c r="CE13" i="28"/>
  <c r="CD14" i="28"/>
  <c r="CE14" i="28"/>
  <c r="CD15" i="28"/>
  <c r="CE15" i="28"/>
  <c r="CD16" i="28"/>
  <c r="CE16" i="28"/>
  <c r="CD17" i="28"/>
  <c r="CE17" i="28"/>
  <c r="CD18" i="28"/>
  <c r="CE18" i="28"/>
  <c r="CD19" i="28"/>
  <c r="CE19" i="28"/>
  <c r="CD20" i="28"/>
  <c r="CE20" i="28"/>
  <c r="CD21" i="28"/>
  <c r="CE21" i="28"/>
  <c r="CD22" i="28"/>
  <c r="CE22" i="28"/>
  <c r="CD23" i="28"/>
  <c r="CE23" i="28"/>
  <c r="CD24" i="28"/>
  <c r="CE24" i="28"/>
  <c r="CD25" i="28"/>
  <c r="CE25" i="28"/>
  <c r="CD26" i="28"/>
  <c r="CE26" i="28"/>
  <c r="CD27" i="28"/>
  <c r="CE27" i="28"/>
  <c r="CD28" i="28"/>
  <c r="CE28" i="28"/>
  <c r="CD29" i="28"/>
  <c r="CE29" i="28"/>
  <c r="CD6" i="28"/>
  <c r="CE6" i="28"/>
  <c r="I79" i="27" l="1"/>
  <c r="I81" i="27" s="1"/>
  <c r="CV7" i="28" l="1"/>
  <c r="CV8" i="28"/>
  <c r="CV9" i="28"/>
  <c r="CV10" i="28"/>
  <c r="CV11" i="28"/>
  <c r="CV12" i="28"/>
  <c r="CV13" i="28"/>
  <c r="CV14" i="28"/>
  <c r="CV15" i="28"/>
  <c r="CV16" i="28"/>
  <c r="CV17" i="28"/>
  <c r="CV18" i="28"/>
  <c r="CV19" i="28"/>
  <c r="CV20" i="28"/>
  <c r="CV21" i="28"/>
  <c r="CV22" i="28"/>
  <c r="CV23" i="28"/>
  <c r="CV24" i="28"/>
  <c r="CV25" i="28"/>
  <c r="CV26" i="28"/>
  <c r="CV27" i="28"/>
  <c r="CV28" i="28"/>
  <c r="CV29" i="28"/>
  <c r="CV30" i="28"/>
  <c r="CV31" i="28"/>
  <c r="CV32" i="28"/>
  <c r="CV36" i="28"/>
  <c r="CV6" i="28"/>
  <c r="CV37" i="28" l="1"/>
  <c r="K27" i="24" l="1"/>
  <c r="X27" i="25" l="1"/>
  <c r="Z27" i="25" s="1"/>
  <c r="K28" i="24"/>
  <c r="X28" i="25" s="1"/>
  <c r="Z28" i="25" s="1"/>
  <c r="J78" i="27" l="1"/>
  <c r="L98" i="28" l="1"/>
  <c r="L99" i="28" s="1"/>
  <c r="O93" i="28"/>
  <c r="L93" i="28"/>
  <c r="L94" i="28" s="1"/>
  <c r="L92" i="28"/>
  <c r="L90" i="28"/>
  <c r="I238" i="27"/>
  <c r="H238" i="27"/>
  <c r="H240" i="27" s="1"/>
  <c r="N87" i="27"/>
  <c r="N86" i="27"/>
  <c r="N85" i="27"/>
  <c r="I87" i="27"/>
  <c r="I91" i="27" s="1"/>
  <c r="K77" i="27"/>
  <c r="K32" i="24"/>
  <c r="X32" i="25" l="1"/>
  <c r="Z32" i="25" s="1"/>
  <c r="K36" i="24"/>
  <c r="P36" i="25"/>
  <c r="N50" i="25" l="1"/>
  <c r="N49" i="25" s="1"/>
  <c r="P42" i="25"/>
  <c r="D48" i="24"/>
  <c r="D47" i="24"/>
  <c r="K47" i="24"/>
  <c r="D39" i="25" l="1"/>
  <c r="D43" i="25" s="1"/>
  <c r="I38" i="25"/>
  <c r="F39" i="25"/>
  <c r="H39" i="25"/>
  <c r="H43" i="25" s="1"/>
  <c r="E39" i="25"/>
  <c r="G39" i="25"/>
  <c r="P39" i="25"/>
  <c r="K39" i="25"/>
  <c r="Q39" i="25"/>
  <c r="O39" i="25"/>
  <c r="L39" i="25"/>
  <c r="M39" i="25"/>
  <c r="M43" i="25" s="1"/>
  <c r="N38" i="25"/>
  <c r="J39" i="25"/>
  <c r="J43" i="25" l="1"/>
  <c r="E43" i="25"/>
  <c r="L43" i="25"/>
  <c r="O43" i="25"/>
  <c r="P43" i="25" l="1"/>
  <c r="H37" i="35" l="1"/>
  <c r="H39" i="35" s="1"/>
  <c r="E37" i="35"/>
  <c r="F37" i="35"/>
  <c r="D37" i="35"/>
  <c r="M42" i="33" l="1"/>
</calcChain>
</file>

<file path=xl/sharedStrings.xml><?xml version="1.0" encoding="utf-8"?>
<sst xmlns="http://schemas.openxmlformats.org/spreadsheetml/2006/main" count="742" uniqueCount="219">
  <si>
    <t>Date</t>
  </si>
  <si>
    <t>HFO</t>
  </si>
  <si>
    <t>HSD</t>
  </si>
  <si>
    <t>TOTAL</t>
  </si>
  <si>
    <t>EB Power Cut Minutes</t>
  </si>
  <si>
    <t>No. of  power interruptions</t>
  </si>
  <si>
    <t>Remarks</t>
  </si>
  <si>
    <t>Total</t>
  </si>
  <si>
    <t>Heat Trt</t>
  </si>
  <si>
    <t>MGC Cell AC units</t>
  </si>
  <si>
    <t>Lighting</t>
  </si>
  <si>
    <t>VHF-I &amp; II (Heater&amp; Quench Motor, SPM cell workshop)</t>
  </si>
  <si>
    <t>VHF-1,2,3(convection pump,vacuum pump, water pump &amp; Control supply)+, SQF 2 control supply</t>
  </si>
  <si>
    <t>SQF-2, Descaling Furnace, GNF-1 and Preheating (SQF-1&amp;2),SQF-1&amp;2 PDB (SQF1&amp;2 Hot to cold Sump motor's.)</t>
  </si>
  <si>
    <t>SPM Cell(Assembly section), TEM Washing – I, Tempering Furnace,</t>
  </si>
  <si>
    <t>Low Tempering, HTC LAB, Cooling Tower, Post Wash,Water cooling pump, Coolant Treatment Plant</t>
  </si>
  <si>
    <t>Near FBF PDB (GNF crane,) GNF - 2,Tempost wash - 2, ENDO staircase Near PDB (Parco oven,20bar washing, Gala - 02nos , HTC cell Roof Fans)</t>
  </si>
  <si>
    <t>Meter name</t>
  </si>
  <si>
    <t>STP</t>
  </si>
  <si>
    <t>SQF cell</t>
  </si>
  <si>
    <t>SQF-3 Furnace</t>
  </si>
  <si>
    <t>N2 Plant</t>
  </si>
  <si>
    <t>VHF- II</t>
  </si>
  <si>
    <t xml:space="preserve"> VHF-II control supply (550kVA UPS supply)</t>
  </si>
  <si>
    <t>HT-1</t>
  </si>
  <si>
    <t>HT-2</t>
  </si>
  <si>
    <t>HT-3</t>
  </si>
  <si>
    <t>HT-4</t>
  </si>
  <si>
    <t>SQF-3 Post Wash</t>
  </si>
  <si>
    <t>GNF-3</t>
  </si>
  <si>
    <t>GNF-4</t>
  </si>
  <si>
    <t>GNF-5</t>
  </si>
  <si>
    <t>GNF-6</t>
  </si>
  <si>
    <t>GNF-7</t>
  </si>
  <si>
    <t>Parco</t>
  </si>
  <si>
    <t>Endo-2</t>
  </si>
  <si>
    <t>Elva (550kVA UPS supply)</t>
  </si>
  <si>
    <t>TEM POST</t>
  </si>
  <si>
    <t>Endo-3</t>
  </si>
  <si>
    <t>Endo-1</t>
  </si>
  <si>
    <t xml:space="preserve">Insight washing </t>
  </si>
  <si>
    <t>High Tempering furnace</t>
  </si>
  <si>
    <t>VHF III</t>
  </si>
  <si>
    <t>Motor Load</t>
  </si>
  <si>
    <t>SQF-1</t>
  </si>
  <si>
    <t>Loads Connected</t>
  </si>
  <si>
    <t>Surface Treatment Plant (STP)</t>
  </si>
  <si>
    <t>SQF-3 Preheating, New Sub zero, Atlas Compressor * (stand by),  Multi stage Evaporator,Summit Air Drier(stand by)</t>
  </si>
  <si>
    <t>Nitrogen plant</t>
  </si>
  <si>
    <t>VHF-1,2,3(convection pump,vacuum pump, water pump &amp; Control supply)+, SQF control supply</t>
  </si>
  <si>
    <t>SQF-2, Descaling Furnace, GNF-1 and Preheating (SQF-1&amp;2)</t>
  </si>
  <si>
    <t>FBF-1, SPM Cell(Assembly section), TEM Washing – I, Tempering Furnace,PDB</t>
  </si>
  <si>
    <t>Low Tempering, ETP, Sub Zero(old), LAB, Cooling Tower, Post Wash, Coolant Treatment Plant</t>
  </si>
  <si>
    <t>FBF-2,3, Gala PDB, GNF-2         
VCO Tempering, ENDO Gas PDB, Pre-washing, 7 UVD machine</t>
  </si>
  <si>
    <t>GNF-7(Activation Furnace)</t>
  </si>
  <si>
    <t xml:space="preserve"> Elva Induction hardening</t>
  </si>
  <si>
    <t>TEM POST WASH</t>
  </si>
  <si>
    <t>VHF III (Heater &amp; Quench Motor)</t>
  </si>
  <si>
    <t>Motor Load (TEM-1 &amp; SQF-1,2 Alternate supply)</t>
  </si>
  <si>
    <t>Total Heat Treatment</t>
  </si>
  <si>
    <t>Sunday</t>
  </si>
  <si>
    <t>Main Building Split up</t>
  </si>
  <si>
    <t>Pump Assembly</t>
  </si>
  <si>
    <t>Sub assembly</t>
  </si>
  <si>
    <t>Aluminium Cell</t>
  </si>
  <si>
    <t>Injector assembly</t>
  </si>
  <si>
    <t>VCO</t>
  </si>
  <si>
    <t>NHB Hard Line</t>
  </si>
  <si>
    <t>CAM Roller Shoe</t>
  </si>
  <si>
    <t>Phase-4</t>
  </si>
  <si>
    <t>HFO units</t>
  </si>
  <si>
    <t>FUEL CONSUMPTION</t>
  </si>
  <si>
    <t>HFO Cons.</t>
  </si>
  <si>
    <t>HSD Cons.</t>
  </si>
  <si>
    <t>`</t>
  </si>
  <si>
    <t>HSD units</t>
  </si>
  <si>
    <t>stock based(dip rod)</t>
  </si>
  <si>
    <t>CANTEEN BOILER</t>
  </si>
  <si>
    <t>Received</t>
  </si>
  <si>
    <t>E&amp;D TESTING</t>
  </si>
  <si>
    <t>E&amp;D DG SET</t>
  </si>
  <si>
    <t>E.T.P</t>
  </si>
  <si>
    <t>Total consumption</t>
  </si>
  <si>
    <t>FORK LIFT</t>
  </si>
  <si>
    <t>Canteen</t>
  </si>
  <si>
    <t>Diesel issued to other departments</t>
  </si>
  <si>
    <t xml:space="preserve">E&amp;D Testing </t>
  </si>
  <si>
    <t>Area</t>
  </si>
  <si>
    <t>QTY</t>
  </si>
  <si>
    <t>Fork Lift</t>
  </si>
  <si>
    <t>ETP</t>
  </si>
  <si>
    <t>Others</t>
  </si>
  <si>
    <t>DG set Con</t>
  </si>
  <si>
    <t>From E&amp;D Tank for power house DG set</t>
  </si>
  <si>
    <t>Lube oil castrol</t>
  </si>
  <si>
    <t>From E&amp;D Tank for E&amp;D DG set</t>
  </si>
  <si>
    <t>Lube oil Shell</t>
  </si>
  <si>
    <t>hfo &amp; hsd tank stock day tank</t>
  </si>
  <si>
    <t>DG set Con.</t>
  </si>
  <si>
    <t xml:space="preserve"> </t>
  </si>
  <si>
    <t>DG Name</t>
  </si>
  <si>
    <t>1.9 MW</t>
  </si>
  <si>
    <t>1 MW</t>
  </si>
  <si>
    <t>DG - I 1000KVA</t>
  </si>
  <si>
    <t>RH</t>
  </si>
  <si>
    <t>Units</t>
  </si>
  <si>
    <t xml:space="preserve"> RH - Running hours in Minutes</t>
  </si>
  <si>
    <t>1st apr</t>
  </si>
  <si>
    <t>30th apr</t>
  </si>
  <si>
    <t>Ltrs</t>
  </si>
  <si>
    <t>kWh</t>
  </si>
  <si>
    <t>SQF-3 Preheating</t>
  </si>
  <si>
    <t>CAM Ring Cell</t>
  </si>
  <si>
    <t>Barrel Hard Stage</t>
  </si>
  <si>
    <t>Barrel Soft Sage</t>
  </si>
  <si>
    <t>Small Parts (Phase-3)</t>
  </si>
  <si>
    <t xml:space="preserve">Barrel Soft Washing Machine </t>
  </si>
  <si>
    <t>BDN Nozzle Hard</t>
  </si>
  <si>
    <t>1000 KVA-1</t>
  </si>
  <si>
    <t>1.9MW</t>
  </si>
  <si>
    <t>1st Jan-20</t>
  </si>
  <si>
    <t>1500 dg 2</t>
  </si>
  <si>
    <t>Source wise Units &amp; Power Interruptions</t>
  </si>
  <si>
    <t>TNEB + WIND+TPP+IEX in kWh</t>
  </si>
  <si>
    <t>SOLAR POWER (Inline) in kWh</t>
  </si>
  <si>
    <t>SOLAR POWER (E&amp;D) in kWh</t>
  </si>
  <si>
    <t>SOLAR POWER (CRNHB) in kWh</t>
  </si>
  <si>
    <t>SOLAR POWER       (Rotary) in kWh</t>
  </si>
  <si>
    <t>Split up Units</t>
  </si>
  <si>
    <t xml:space="preserve">Main building  
Compressor  </t>
  </si>
  <si>
    <t xml:space="preserve">Nozzle soft 
(Heat trt area) </t>
  </si>
  <si>
    <t>Canteen + HR 
+ Mrktng + Security + STP</t>
  </si>
  <si>
    <t>Inline</t>
  </si>
  <si>
    <t>CR NHB</t>
  </si>
  <si>
    <t>E&amp;D</t>
  </si>
  <si>
    <t>Rotary</t>
  </si>
  <si>
    <t>Main 
Building</t>
  </si>
  <si>
    <t>HFO 
Aux.</t>
  </si>
  <si>
    <t>Total 
(Rotary+E&amp;D+ CR NHB)</t>
  </si>
  <si>
    <t>CAT 
Compressor</t>
  </si>
  <si>
    <t>6th 
BAY</t>
  </si>
  <si>
    <t>Rotor 
cell</t>
  </si>
  <si>
    <t>Used Diesel utilized from E&amp;D</t>
  </si>
  <si>
    <t>* DG - II 1500KVA (New Rental DG - Modern )</t>
  </si>
  <si>
    <t>* 750 KVA 
(E&amp;D - Modern)</t>
  </si>
  <si>
    <t>HFO DG</t>
  </si>
  <si>
    <t>HSD DG</t>
  </si>
  <si>
    <t>AC
(Production)</t>
  </si>
  <si>
    <t>AC
(UPS room,
PC server,
Finance)</t>
  </si>
  <si>
    <t>Day</t>
  </si>
  <si>
    <t xml:space="preserve">Other
Areas </t>
  </si>
  <si>
    <t>Stipper
Plant</t>
  </si>
  <si>
    <t>Pump
House</t>
  </si>
  <si>
    <t>MSE office</t>
  </si>
  <si>
    <t>1500 kVA
coil cooler</t>
  </si>
  <si>
    <t>RO
plant</t>
  </si>
  <si>
    <t>4*500kVA Emerson UPS self consumption</t>
  </si>
  <si>
    <t>Transformers (3*1000kVA, 3*1250kVA, 
1500*1,6300*1) self consumption</t>
  </si>
  <si>
    <t>PH exhaust fan, cont. shed, server, few borewells
(Non measurables)</t>
  </si>
  <si>
    <t>Other
Areas</t>
  </si>
  <si>
    <t>NHB Hard 
Machines</t>
  </si>
  <si>
    <t>NHB Machines 
(Soft)</t>
  </si>
  <si>
    <t>NHB 
Compressor</t>
  </si>
  <si>
    <t>AC 
(Chillers &amp; AHU)</t>
  </si>
  <si>
    <t>CR NHB 
Phosphating</t>
  </si>
  <si>
    <t>Walter 
Machine</t>
  </si>
  <si>
    <t>CRNHB Split up</t>
  </si>
  <si>
    <t>Telephone
Exchange</t>
  </si>
  <si>
    <t>meter reading</t>
  </si>
  <si>
    <t>units</t>
  </si>
  <si>
    <t>*1500 KVA 
( Modern)</t>
  </si>
  <si>
    <t>*1500 KVA 
( Powerica)</t>
  </si>
  <si>
    <t xml:space="preserve">1000 KVA 
</t>
  </si>
  <si>
    <t>* 1500 KVA 
(Old Rental DG- Powerica)</t>
  </si>
  <si>
    <t>1500 M</t>
  </si>
  <si>
    <t>1500 P</t>
  </si>
  <si>
    <t>s</t>
  </si>
  <si>
    <t>s d</t>
  </si>
  <si>
    <t>11.15am to 12.30pm, 5.28pm to 5.35pm, 1.50am to 2.05am, 2.35am to 7.15am(continue next day)</t>
  </si>
  <si>
    <t xml:space="preserve">7.15am(continue from previous day) to 8.47am, 9.46am to 11.23am, 5.06 pm to 5.20 pm, 1.24am to 1.42am, 1.47am to 1.52am, 2.02am to 7.15am(continues to next day) </t>
  </si>
  <si>
    <t>7.15am(continue from previous day) to 9.15am, 9.25am to 6.28pm</t>
  </si>
  <si>
    <t>INLINE Split up</t>
  </si>
  <si>
    <t>Inline Machines</t>
  </si>
  <si>
    <t>Inline Compressor</t>
  </si>
  <si>
    <t xml:space="preserve">Inline Assy &amp; Testing AC </t>
  </si>
  <si>
    <t>Units of Inline machines in Rotary building</t>
  </si>
  <si>
    <t>Inline units Grand Total</t>
  </si>
  <si>
    <t>HT insourcing for CRNHB</t>
  </si>
  <si>
    <t>MFI</t>
  </si>
  <si>
    <t>CRNHB</t>
  </si>
  <si>
    <t>HT insource for CRNHB</t>
  </si>
  <si>
    <t>Units in Lacs Jan-24 upto 18th</t>
  </si>
  <si>
    <t>mon</t>
  </si>
  <si>
    <t>tue</t>
  </si>
  <si>
    <t>wed</t>
  </si>
  <si>
    <t>thu</t>
  </si>
  <si>
    <t>fri</t>
  </si>
  <si>
    <t>sat</t>
  </si>
  <si>
    <t>sun</t>
  </si>
  <si>
    <t>Pump Stream</t>
  </si>
  <si>
    <t>Main building only</t>
  </si>
  <si>
    <t>Injector Stream</t>
  </si>
  <si>
    <t xml:space="preserve">    </t>
  </si>
  <si>
    <t>Internal PC</t>
  </si>
  <si>
    <t>Solar Total</t>
  </si>
  <si>
    <t>No.Of Power cuts</t>
  </si>
  <si>
    <t>Filter 
cell, ID Stores, AM Ware House</t>
  </si>
  <si>
    <t>CTA</t>
  </si>
  <si>
    <t>HT insourcing Split up</t>
  </si>
  <si>
    <t>HTC furnace</t>
  </si>
  <si>
    <t>HTC Compressor</t>
  </si>
  <si>
    <t>CTA Split up</t>
  </si>
  <si>
    <t>CTA machines</t>
  </si>
  <si>
    <t>CTA Compressor</t>
  </si>
  <si>
    <t>HT insourcing for CRNHB+Air</t>
  </si>
  <si>
    <t>CTA Chiler-AHU</t>
  </si>
  <si>
    <t>CTA units Grand Total</t>
  </si>
  <si>
    <t>Inline HTC</t>
  </si>
  <si>
    <t>HT insourcing for CRNHB &amp; inline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</si>
</sst>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409]d\-mmm;@"/>
    <numFmt numFmtId="166" formatCode="0.0"/>
    <numFmt numFmtId="167" formatCode="[$-409]mmm\-yy;@"/>
    <numFmt numFmtId="168" formatCode="0.000"/>
    <numFmt numFmtId="169" formatCode="0;[Red]0"/>
    <numFmt numFmtId="170" formatCode="0.00000"/>
  </numFmts>
  <fonts count="9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4"/>
      <color indexed="8"/>
      <name val="Calibri"/>
      <family val="2"/>
    </font>
    <font>
      <sz val="14"/>
      <color indexed="8"/>
      <name val="Calibri"/>
      <family val="2"/>
      <scheme val="minor"/>
    </font>
    <font>
      <sz val="16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4"/>
      <color indexed="8"/>
      <name val="Arial Unicode MS"/>
      <family val="2"/>
    </font>
    <font>
      <sz val="11"/>
      <color indexed="8"/>
      <name val="Arial Unicode MS"/>
      <family val="2"/>
    </font>
    <font>
      <b/>
      <sz val="11"/>
      <color indexed="12"/>
      <name val="Calibri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8"/>
      <color theme="1"/>
      <name val="Calibri"/>
      <family val="2"/>
      <scheme val="minor"/>
    </font>
    <font>
      <sz val="18"/>
      <color indexed="8"/>
      <name val="Calibri"/>
      <family val="2"/>
    </font>
    <font>
      <b/>
      <sz val="18"/>
      <color indexed="8"/>
      <name val="Calibri"/>
      <family val="2"/>
    </font>
    <font>
      <sz val="18"/>
      <name val="Calibri"/>
      <family val="2"/>
    </font>
    <font>
      <b/>
      <sz val="18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rgb="FFFF0000"/>
      <name val="Calibri"/>
      <family val="2"/>
    </font>
    <font>
      <sz val="26"/>
      <color theme="1"/>
      <name val="Calibri"/>
      <family val="2"/>
      <scheme val="minor"/>
    </font>
    <font>
      <b/>
      <sz val="8"/>
      <name val="Calibri"/>
      <family val="2"/>
    </font>
    <font>
      <b/>
      <sz val="8"/>
      <color theme="1"/>
      <name val="Calibri"/>
      <family val="2"/>
      <scheme val="minor"/>
    </font>
    <font>
      <sz val="28"/>
      <color indexed="8"/>
      <name val="Calibri"/>
      <family val="2"/>
    </font>
    <font>
      <b/>
      <sz val="14"/>
      <name val="Verdana"/>
      <family val="2"/>
    </font>
    <font>
      <b/>
      <sz val="14"/>
      <color indexed="8"/>
      <name val="Verdana"/>
      <family val="2"/>
    </font>
    <font>
      <sz val="16"/>
      <name val="Calibri"/>
      <family val="2"/>
    </font>
    <font>
      <sz val="18"/>
      <name val="Calibri"/>
      <family val="2"/>
      <scheme val="minor"/>
    </font>
    <font>
      <b/>
      <sz val="20"/>
      <color indexed="8"/>
      <name val="Calibri"/>
      <family val="2"/>
    </font>
    <font>
      <b/>
      <sz val="18"/>
      <color rgb="FF0070C0"/>
      <name val="Calibri"/>
      <family val="2"/>
    </font>
    <font>
      <b/>
      <sz val="11"/>
      <color rgb="FF0070C0"/>
      <name val="Calibri"/>
      <family val="2"/>
    </font>
    <font>
      <b/>
      <sz val="16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sz val="18"/>
      <color rgb="FFC0000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2"/>
      <color theme="1"/>
      <name val="Cambria"/>
      <family val="1"/>
      <scheme val="major"/>
    </font>
    <font>
      <b/>
      <sz val="22"/>
      <color rgb="FFFF0000"/>
      <name val="Cambria"/>
      <family val="1"/>
      <scheme val="major"/>
    </font>
    <font>
      <b/>
      <sz val="20"/>
      <color rgb="FF0070C0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4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3" tint="0.3999755851924192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0">
    <xf numFmtId="0" fontId="0" fillId="0" borderId="0"/>
    <xf numFmtId="0" fontId="52" fillId="0" borderId="0"/>
    <xf numFmtId="0" fontId="13" fillId="0" borderId="0"/>
    <xf numFmtId="9" fontId="10" fillId="0" borderId="0" applyFont="0" applyFill="0" applyBorder="0" applyAlignment="0" applyProtection="0"/>
    <xf numFmtId="0" fontId="10" fillId="0" borderId="0"/>
    <xf numFmtId="0" fontId="74" fillId="0" borderId="0"/>
    <xf numFmtId="164" fontId="10" fillId="0" borderId="0" applyFont="0" applyFill="0" applyBorder="0" applyAlignment="0" applyProtection="0"/>
    <xf numFmtId="0" fontId="75" fillId="0" borderId="0"/>
    <xf numFmtId="0" fontId="76" fillId="0" borderId="0"/>
    <xf numFmtId="0" fontId="90" fillId="13" borderId="0" applyNumberFormat="0" applyBorder="0" applyAlignment="0" applyProtection="0"/>
  </cellStyleXfs>
  <cellXfs count="338">
    <xf numFmtId="0" fontId="0" fillId="0" borderId="0" xfId="0"/>
    <xf numFmtId="0" fontId="21" fillId="0" borderId="0" xfId="0" applyFont="1" applyAlignment="1">
      <alignment vertical="center" wrapText="1"/>
    </xf>
    <xf numFmtId="0" fontId="21" fillId="2" borderId="0" xfId="0" applyFont="1" applyFill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8" fillId="0" borderId="0" xfId="0" applyFont="1" applyAlignment="1">
      <alignment horizontal="center"/>
    </xf>
    <xf numFmtId="1" fontId="29" fillId="0" borderId="0" xfId="0" applyNumberFormat="1" applyFont="1" applyAlignment="1">
      <alignment horizontal="center"/>
    </xf>
    <xf numFmtId="1" fontId="21" fillId="0" borderId="0" xfId="0" applyNumberFormat="1" applyFont="1"/>
    <xf numFmtId="1" fontId="28" fillId="0" borderId="0" xfId="0" applyNumberFormat="1" applyFont="1" applyAlignment="1">
      <alignment horizontal="center"/>
    </xf>
    <xf numFmtId="2" fontId="21" fillId="0" borderId="0" xfId="0" applyNumberFormat="1" applyFont="1"/>
    <xf numFmtId="0" fontId="0" fillId="0" borderId="0" xfId="0" applyAlignment="1">
      <alignment horizontal="center" vertical="center" wrapText="1"/>
    </xf>
    <xf numFmtId="2" fontId="30" fillId="0" borderId="0" xfId="0" applyNumberFormat="1" applyFont="1"/>
    <xf numFmtId="1" fontId="30" fillId="0" borderId="0" xfId="0" applyNumberFormat="1" applyFont="1"/>
    <xf numFmtId="0" fontId="30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/>
    </xf>
    <xf numFmtId="1" fontId="0" fillId="2" borderId="3" xfId="0" applyNumberForma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3" fillId="0" borderId="0" xfId="0" applyFont="1"/>
    <xf numFmtId="166" fontId="0" fillId="0" borderId="0" xfId="0" applyNumberFormat="1"/>
    <xf numFmtId="14" fontId="0" fillId="0" borderId="0" xfId="0" applyNumberFormat="1"/>
    <xf numFmtId="0" fontId="0" fillId="0" borderId="3" xfId="0" applyBorder="1" applyAlignment="1">
      <alignment horizontal="center"/>
    </xf>
    <xf numFmtId="17" fontId="0" fillId="0" borderId="3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0" borderId="3" xfId="0" applyBorder="1"/>
    <xf numFmtId="0" fontId="0" fillId="3" borderId="3" xfId="0" applyFill="1" applyBorder="1"/>
    <xf numFmtId="0" fontId="32" fillId="5" borderId="3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wrapText="1"/>
    </xf>
    <xf numFmtId="17" fontId="32" fillId="5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3" borderId="3" xfId="0" applyFill="1" applyBorder="1" applyAlignment="1">
      <alignment horizontal="center"/>
    </xf>
    <xf numFmtId="0" fontId="35" fillId="0" borderId="0" xfId="0" applyFont="1"/>
    <xf numFmtId="0" fontId="36" fillId="0" borderId="0" xfId="0" applyFont="1"/>
    <xf numFmtId="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/>
    </xf>
    <xf numFmtId="1" fontId="0" fillId="0" borderId="0" xfId="0" applyNumberFormat="1"/>
    <xf numFmtId="1" fontId="0" fillId="2" borderId="0" xfId="0" applyNumberFormat="1" applyFill="1"/>
    <xf numFmtId="0" fontId="45" fillId="0" borderId="0" xfId="0" applyFont="1" applyAlignment="1">
      <alignment horizontal="center" vertical="center" wrapText="1"/>
    </xf>
    <xf numFmtId="0" fontId="46" fillId="2" borderId="0" xfId="0" applyFont="1" applyFill="1"/>
    <xf numFmtId="0" fontId="47" fillId="0" borderId="0" xfId="0" applyFont="1"/>
    <xf numFmtId="0" fontId="45" fillId="0" borderId="0" xfId="0" applyFont="1"/>
    <xf numFmtId="0" fontId="45" fillId="0" borderId="0" xfId="0" applyFont="1" applyAlignment="1">
      <alignment horizontal="center"/>
    </xf>
    <xf numFmtId="0" fontId="46" fillId="0" borderId="0" xfId="0" applyFont="1"/>
    <xf numFmtId="1" fontId="46" fillId="2" borderId="0" xfId="0" applyNumberFormat="1" applyFont="1" applyFill="1"/>
    <xf numFmtId="1" fontId="45" fillId="4" borderId="3" xfId="0" applyNumberFormat="1" applyFont="1" applyFill="1" applyBorder="1" applyAlignment="1">
      <alignment horizontal="center" vertical="center" wrapText="1"/>
    </xf>
    <xf numFmtId="0" fontId="50" fillId="0" borderId="0" xfId="0" applyFont="1"/>
    <xf numFmtId="1" fontId="45" fillId="0" borderId="0" xfId="0" applyNumberFormat="1" applyFont="1" applyAlignment="1">
      <alignment horizontal="center"/>
    </xf>
    <xf numFmtId="0" fontId="46" fillId="5" borderId="3" xfId="0" applyFont="1" applyFill="1" applyBorder="1" applyAlignment="1">
      <alignment horizontal="center" vertical="center" wrapText="1"/>
    </xf>
    <xf numFmtId="0" fontId="47" fillId="5" borderId="3" xfId="0" applyFont="1" applyFill="1" applyBorder="1"/>
    <xf numFmtId="165" fontId="32" fillId="2" borderId="3" xfId="0" applyNumberFormat="1" applyFont="1" applyFill="1" applyBorder="1" applyAlignment="1">
      <alignment horizontal="center" vertical="center" wrapText="1"/>
    </xf>
    <xf numFmtId="1" fontId="32" fillId="2" borderId="3" xfId="0" applyNumberFormat="1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167" fontId="51" fillId="0" borderId="0" xfId="0" applyNumberFormat="1" applyFont="1"/>
    <xf numFmtId="0" fontId="20" fillId="0" borderId="3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53" fillId="0" borderId="0" xfId="0" applyFont="1"/>
    <xf numFmtId="0" fontId="20" fillId="0" borderId="0" xfId="0" applyFont="1"/>
    <xf numFmtId="1" fontId="45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2" fontId="29" fillId="0" borderId="0" xfId="0" applyNumberFormat="1" applyFont="1" applyAlignment="1">
      <alignment horizontal="center"/>
    </xf>
    <xf numFmtId="0" fontId="54" fillId="0" borderId="0" xfId="0" applyFont="1"/>
    <xf numFmtId="0" fontId="19" fillId="0" borderId="0" xfId="0" applyFont="1" applyAlignment="1">
      <alignment horizontal="center"/>
    </xf>
    <xf numFmtId="0" fontId="18" fillId="0" borderId="0" xfId="0" applyFont="1"/>
    <xf numFmtId="0" fontId="27" fillId="0" borderId="0" xfId="0" applyFont="1"/>
    <xf numFmtId="1" fontId="46" fillId="0" borderId="0" xfId="0" applyNumberFormat="1" applyFont="1"/>
    <xf numFmtId="166" fontId="21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0" fontId="17" fillId="0" borderId="0" xfId="0" applyFont="1"/>
    <xf numFmtId="1" fontId="21" fillId="0" borderId="0" xfId="0" applyNumberFormat="1" applyFont="1" applyAlignment="1">
      <alignment horizontal="center"/>
    </xf>
    <xf numFmtId="0" fontId="31" fillId="0" borderId="0" xfId="0" applyFont="1" applyAlignment="1">
      <alignment horizontal="center" vertical="center" wrapText="1"/>
    </xf>
    <xf numFmtId="1" fontId="45" fillId="0" borderId="3" xfId="0" applyNumberFormat="1" applyFont="1" applyBorder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56" fillId="0" borderId="0" xfId="0" applyNumberFormat="1" applyFont="1" applyAlignment="1">
      <alignment horizontal="center"/>
    </xf>
    <xf numFmtId="0" fontId="21" fillId="0" borderId="3" xfId="0" applyFont="1" applyBorder="1"/>
    <xf numFmtId="0" fontId="21" fillId="0" borderId="3" xfId="0" applyFont="1" applyBorder="1" applyAlignment="1">
      <alignment horizontal="center"/>
    </xf>
    <xf numFmtId="0" fontId="55" fillId="0" borderId="3" xfId="0" applyFont="1" applyBorder="1"/>
    <xf numFmtId="0" fontId="55" fillId="0" borderId="3" xfId="0" applyFont="1" applyBorder="1" applyAlignment="1">
      <alignment horizontal="center"/>
    </xf>
    <xf numFmtId="0" fontId="21" fillId="0" borderId="3" xfId="0" applyFont="1" applyBorder="1" applyAlignment="1">
      <alignment vertical="center" wrapText="1"/>
    </xf>
    <xf numFmtId="1" fontId="21" fillId="0" borderId="3" xfId="0" applyNumberFormat="1" applyFont="1" applyBorder="1" applyAlignment="1">
      <alignment horizontal="center"/>
    </xf>
    <xf numFmtId="0" fontId="21" fillId="2" borderId="3" xfId="0" applyFont="1" applyFill="1" applyBorder="1"/>
    <xf numFmtId="0" fontId="16" fillId="0" borderId="0" xfId="0" applyFont="1"/>
    <xf numFmtId="0" fontId="21" fillId="0" borderId="3" xfId="0" applyFont="1" applyBorder="1" applyAlignment="1">
      <alignment horizontal="center" vertical="center"/>
    </xf>
    <xf numFmtId="0" fontId="15" fillId="0" borderId="0" xfId="0" applyFont="1"/>
    <xf numFmtId="165" fontId="23" fillId="2" borderId="3" xfId="0" applyNumberFormat="1" applyFont="1" applyFill="1" applyBorder="1" applyAlignment="1">
      <alignment horizontal="center" vertical="center" wrapText="1"/>
    </xf>
    <xf numFmtId="1" fontId="22" fillId="2" borderId="3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4" fillId="0" borderId="3" xfId="0" applyFont="1" applyBorder="1" applyAlignment="1">
      <alignment horizontal="center"/>
    </xf>
    <xf numFmtId="17" fontId="14" fillId="0" borderId="3" xfId="0" applyNumberFormat="1" applyFont="1" applyBorder="1" applyAlignment="1">
      <alignment horizontal="center"/>
    </xf>
    <xf numFmtId="0" fontId="14" fillId="0" borderId="3" xfId="0" applyFont="1" applyBorder="1"/>
    <xf numFmtId="0" fontId="14" fillId="0" borderId="0" xfId="0" applyFont="1" applyAlignment="1">
      <alignment wrapText="1"/>
    </xf>
    <xf numFmtId="165" fontId="48" fillId="2" borderId="3" xfId="0" applyNumberFormat="1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/>
    </xf>
    <xf numFmtId="1" fontId="45" fillId="0" borderId="0" xfId="0" applyNumberFormat="1" applyFont="1"/>
    <xf numFmtId="0" fontId="57" fillId="0" borderId="0" xfId="0" applyFont="1" applyAlignment="1">
      <alignment horizontal="center"/>
    </xf>
    <xf numFmtId="1" fontId="57" fillId="0" borderId="0" xfId="0" applyNumberFormat="1" applyFont="1" applyAlignment="1">
      <alignment horizontal="center"/>
    </xf>
    <xf numFmtId="1" fontId="39" fillId="2" borderId="3" xfId="0" applyNumberFormat="1" applyFont="1" applyFill="1" applyBorder="1" applyAlignment="1">
      <alignment horizontal="center" vertical="center" wrapText="1"/>
    </xf>
    <xf numFmtId="165" fontId="58" fillId="7" borderId="8" xfId="0" applyNumberFormat="1" applyFont="1" applyFill="1" applyBorder="1" applyAlignment="1">
      <alignment horizontal="center" vertical="center" wrapText="1"/>
    </xf>
    <xf numFmtId="0" fontId="59" fillId="7" borderId="1" xfId="0" applyFont="1" applyFill="1" applyBorder="1" applyAlignment="1">
      <alignment horizontal="center" vertical="center" wrapText="1"/>
    </xf>
    <xf numFmtId="0" fontId="59" fillId="7" borderId="3" xfId="0" applyFont="1" applyFill="1" applyBorder="1" applyAlignment="1">
      <alignment horizontal="center" vertical="center" wrapText="1"/>
    </xf>
    <xf numFmtId="165" fontId="43" fillId="7" borderId="3" xfId="0" applyNumberFormat="1" applyFont="1" applyFill="1" applyBorder="1" applyAlignment="1">
      <alignment horizontal="center" vertical="center" wrapText="1"/>
    </xf>
    <xf numFmtId="1" fontId="32" fillId="7" borderId="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165" fontId="61" fillId="7" borderId="3" xfId="0" applyNumberFormat="1" applyFont="1" applyFill="1" applyBorder="1" applyAlignment="1">
      <alignment horizontal="center" vertical="center" wrapText="1"/>
    </xf>
    <xf numFmtId="0" fontId="61" fillId="7" borderId="3" xfId="0" applyFont="1" applyFill="1" applyBorder="1" applyAlignment="1">
      <alignment horizontal="center" vertical="center" wrapText="1"/>
    </xf>
    <xf numFmtId="0" fontId="61" fillId="7" borderId="1" xfId="0" applyFont="1" applyFill="1" applyBorder="1" applyAlignment="1">
      <alignment horizontal="center" vertical="center" wrapText="1"/>
    </xf>
    <xf numFmtId="0" fontId="62" fillId="7" borderId="1" xfId="0" applyFont="1" applyFill="1" applyBorder="1" applyAlignment="1">
      <alignment horizontal="center" vertical="center" wrapText="1"/>
    </xf>
    <xf numFmtId="0" fontId="62" fillId="7" borderId="3" xfId="0" applyFont="1" applyFill="1" applyBorder="1" applyAlignment="1">
      <alignment horizontal="center" vertical="center" wrapText="1"/>
    </xf>
    <xf numFmtId="1" fontId="45" fillId="2" borderId="3" xfId="0" applyNumberFormat="1" applyFont="1" applyFill="1" applyBorder="1" applyAlignment="1">
      <alignment horizontal="center" vertical="center" wrapText="1"/>
    </xf>
    <xf numFmtId="1" fontId="46" fillId="2" borderId="3" xfId="0" applyNumberFormat="1" applyFont="1" applyFill="1" applyBorder="1" applyAlignment="1">
      <alignment horizontal="center"/>
    </xf>
    <xf numFmtId="165" fontId="49" fillId="7" borderId="3" xfId="0" applyNumberFormat="1" applyFont="1" applyFill="1" applyBorder="1" applyAlignment="1">
      <alignment horizontal="center" vertical="center" wrapText="1"/>
    </xf>
    <xf numFmtId="1" fontId="49" fillId="7" borderId="3" xfId="0" applyNumberFormat="1" applyFont="1" applyFill="1" applyBorder="1" applyAlignment="1">
      <alignment horizontal="center" vertical="center" wrapText="1"/>
    </xf>
    <xf numFmtId="0" fontId="44" fillId="7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43" fillId="7" borderId="3" xfId="0" applyFont="1" applyFill="1" applyBorder="1" applyAlignment="1">
      <alignment horizontal="center" vertical="center" wrapText="1"/>
    </xf>
    <xf numFmtId="1" fontId="22" fillId="7" borderId="3" xfId="0" applyNumberFormat="1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38" fillId="7" borderId="3" xfId="0" applyFont="1" applyFill="1" applyBorder="1" applyAlignment="1">
      <alignment horizontal="center" vertical="center" wrapText="1"/>
    </xf>
    <xf numFmtId="0" fontId="40" fillId="7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32" fillId="7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27" fillId="7" borderId="3" xfId="0" applyFont="1" applyFill="1" applyBorder="1" applyAlignment="1">
      <alignment horizontal="center" vertical="center"/>
    </xf>
    <xf numFmtId="1" fontId="27" fillId="7" borderId="3" xfId="0" applyNumberFormat="1" applyFont="1" applyFill="1" applyBorder="1" applyAlignment="1">
      <alignment horizontal="center" vertical="center"/>
    </xf>
    <xf numFmtId="1" fontId="26" fillId="7" borderId="3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/>
    </xf>
    <xf numFmtId="0" fontId="25" fillId="7" borderId="3" xfId="0" applyFont="1" applyFill="1" applyBorder="1" applyAlignment="1">
      <alignment horizontal="center"/>
    </xf>
    <xf numFmtId="16" fontId="64" fillId="7" borderId="3" xfId="0" applyNumberFormat="1" applyFont="1" applyFill="1" applyBorder="1" applyAlignment="1">
      <alignment horizontal="center" vertical="center"/>
    </xf>
    <xf numFmtId="0" fontId="23" fillId="7" borderId="9" xfId="0" applyFont="1" applyFill="1" applyBorder="1" applyAlignment="1">
      <alignment horizontal="center" vertical="center" wrapText="1"/>
    </xf>
    <xf numFmtId="1" fontId="66" fillId="2" borderId="3" xfId="0" applyNumberFormat="1" applyFont="1" applyFill="1" applyBorder="1" applyAlignment="1">
      <alignment horizontal="center" vertical="center" wrapText="1"/>
    </xf>
    <xf numFmtId="1" fontId="66" fillId="7" borderId="3" xfId="0" applyNumberFormat="1" applyFont="1" applyFill="1" applyBorder="1" applyAlignment="1">
      <alignment horizontal="center" vertical="center" wrapText="1"/>
    </xf>
    <xf numFmtId="1" fontId="67" fillId="2" borderId="3" xfId="0" applyNumberFormat="1" applyFont="1" applyFill="1" applyBorder="1" applyAlignment="1">
      <alignment horizontal="center" vertical="center" wrapText="1"/>
    </xf>
    <xf numFmtId="1" fontId="67" fillId="7" borderId="3" xfId="0" applyNumberFormat="1" applyFont="1" applyFill="1" applyBorder="1" applyAlignment="1">
      <alignment horizontal="center" vertical="center" wrapText="1"/>
    </xf>
    <xf numFmtId="1" fontId="69" fillId="2" borderId="3" xfId="0" applyNumberFormat="1" applyFont="1" applyFill="1" applyBorder="1" applyAlignment="1">
      <alignment horizontal="center" vertical="center" wrapText="1"/>
    </xf>
    <xf numFmtId="1" fontId="70" fillId="7" borderId="3" xfId="0" applyNumberFormat="1" applyFont="1" applyFill="1" applyBorder="1" applyAlignment="1">
      <alignment horizontal="center" vertical="center" wrapText="1"/>
    </xf>
    <xf numFmtId="1" fontId="71" fillId="8" borderId="3" xfId="0" applyNumberFormat="1" applyFont="1" applyFill="1" applyBorder="1" applyAlignment="1">
      <alignment horizontal="center" vertical="center"/>
    </xf>
    <xf numFmtId="1" fontId="71" fillId="9" borderId="3" xfId="0" applyNumberFormat="1" applyFont="1" applyFill="1" applyBorder="1" applyAlignment="1">
      <alignment horizontal="center" vertical="center"/>
    </xf>
    <xf numFmtId="1" fontId="72" fillId="8" borderId="3" xfId="0" applyNumberFormat="1" applyFont="1" applyFill="1" applyBorder="1" applyAlignment="1">
      <alignment horizontal="center" vertical="center"/>
    </xf>
    <xf numFmtId="1" fontId="72" fillId="9" borderId="3" xfId="0" applyNumberFormat="1" applyFont="1" applyFill="1" applyBorder="1" applyAlignment="1">
      <alignment horizontal="center" vertical="center"/>
    </xf>
    <xf numFmtId="0" fontId="0" fillId="10" borderId="11" xfId="0" applyFill="1" applyBorder="1"/>
    <xf numFmtId="0" fontId="0" fillId="2" borderId="3" xfId="0" applyFill="1" applyBorder="1" applyAlignment="1">
      <alignment horizontal="center" vertical="center" wrapText="1"/>
    </xf>
    <xf numFmtId="0" fontId="23" fillId="7" borderId="12" xfId="0" applyFont="1" applyFill="1" applyBorder="1" applyAlignment="1">
      <alignment horizontal="center" vertical="center" wrapText="1"/>
    </xf>
    <xf numFmtId="165" fontId="58" fillId="7" borderId="14" xfId="0" applyNumberFormat="1" applyFont="1" applyFill="1" applyBorder="1" applyAlignment="1">
      <alignment horizontal="center" vertical="center" wrapText="1"/>
    </xf>
    <xf numFmtId="1" fontId="73" fillId="2" borderId="3" xfId="0" applyNumberFormat="1" applyFont="1" applyFill="1" applyBorder="1" applyAlignment="1">
      <alignment horizontal="center" vertical="center" wrapText="1"/>
    </xf>
    <xf numFmtId="2" fontId="21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" fontId="22" fillId="0" borderId="0" xfId="0" applyNumberFormat="1" applyFont="1" applyAlignment="1">
      <alignment horizontal="center"/>
    </xf>
    <xf numFmtId="1" fontId="9" fillId="2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left" vertical="center"/>
    </xf>
    <xf numFmtId="1" fontId="31" fillId="0" borderId="0" xfId="0" applyNumberFormat="1" applyFont="1" applyAlignment="1">
      <alignment horizontal="center"/>
    </xf>
    <xf numFmtId="1" fontId="77" fillId="0" borderId="0" xfId="0" applyNumberFormat="1" applyFont="1" applyAlignment="1">
      <alignment horizontal="center"/>
    </xf>
    <xf numFmtId="0" fontId="77" fillId="0" borderId="0" xfId="0" applyFont="1"/>
    <xf numFmtId="0" fontId="77" fillId="0" borderId="0" xfId="0" applyFont="1" applyAlignment="1">
      <alignment horizontal="center" vertical="center"/>
    </xf>
    <xf numFmtId="1" fontId="77" fillId="3" borderId="3" xfId="4" applyNumberFormat="1" applyFont="1" applyFill="1" applyBorder="1" applyAlignment="1">
      <alignment horizontal="center" vertical="center"/>
    </xf>
    <xf numFmtId="1" fontId="78" fillId="0" borderId="0" xfId="4" applyNumberFormat="1" applyFont="1" applyAlignment="1">
      <alignment horizontal="center" vertical="center"/>
    </xf>
    <xf numFmtId="0" fontId="77" fillId="0" borderId="0" xfId="0" applyFont="1" applyAlignment="1">
      <alignment horizontal="center"/>
    </xf>
    <xf numFmtId="1" fontId="79" fillId="0" borderId="0" xfId="0" applyNumberFormat="1" applyFont="1" applyAlignment="1">
      <alignment horizontal="center"/>
    </xf>
    <xf numFmtId="1" fontId="77" fillId="0" borderId="0" xfId="0" applyNumberFormat="1" applyFont="1"/>
    <xf numFmtId="166" fontId="0" fillId="0" borderId="0" xfId="0" applyNumberFormat="1" applyAlignment="1">
      <alignment horizontal="center"/>
    </xf>
    <xf numFmtId="166" fontId="80" fillId="0" borderId="0" xfId="0" applyNumberFormat="1" applyFont="1" applyAlignment="1">
      <alignment horizontal="center"/>
    </xf>
    <xf numFmtId="166" fontId="81" fillId="0" borderId="0" xfId="0" applyNumberFormat="1" applyFont="1" applyAlignment="1">
      <alignment horizontal="center"/>
    </xf>
    <xf numFmtId="166" fontId="81" fillId="3" borderId="0" xfId="0" applyNumberFormat="1" applyFont="1" applyFill="1" applyAlignment="1">
      <alignment horizontal="center"/>
    </xf>
    <xf numFmtId="165" fontId="63" fillId="2" borderId="3" xfId="0" applyNumberFormat="1" applyFont="1" applyFill="1" applyBorder="1" applyAlignment="1">
      <alignment horizontal="center" vertical="center" wrapText="1"/>
    </xf>
    <xf numFmtId="1" fontId="21" fillId="2" borderId="3" xfId="0" applyNumberFormat="1" applyFont="1" applyFill="1" applyBorder="1" applyAlignment="1">
      <alignment horizontal="center" vertical="center" wrapText="1"/>
    </xf>
    <xf numFmtId="1" fontId="68" fillId="2" borderId="3" xfId="0" applyNumberFormat="1" applyFont="1" applyFill="1" applyBorder="1" applyAlignment="1">
      <alignment horizontal="center" vertical="center" wrapText="1"/>
    </xf>
    <xf numFmtId="1" fontId="82" fillId="11" borderId="3" xfId="0" applyNumberFormat="1" applyFont="1" applyFill="1" applyBorder="1" applyAlignment="1">
      <alignment horizontal="center"/>
    </xf>
    <xf numFmtId="1" fontId="27" fillId="0" borderId="3" xfId="0" applyNumberFormat="1" applyFont="1" applyBorder="1" applyAlignment="1">
      <alignment horizontal="center" vertical="center"/>
    </xf>
    <xf numFmtId="165" fontId="83" fillId="2" borderId="3" xfId="0" applyNumberFormat="1" applyFont="1" applyFill="1" applyBorder="1" applyAlignment="1">
      <alignment horizontal="center" vertical="center" wrapText="1"/>
    </xf>
    <xf numFmtId="0" fontId="84" fillId="2" borderId="3" xfId="0" applyFont="1" applyFill="1" applyBorder="1" applyAlignment="1">
      <alignment horizontal="center" vertical="center"/>
    </xf>
    <xf numFmtId="165" fontId="32" fillId="10" borderId="3" xfId="0" applyNumberFormat="1" applyFont="1" applyFill="1" applyBorder="1" applyAlignment="1">
      <alignment horizontal="center" vertical="center" wrapText="1"/>
    </xf>
    <xf numFmtId="1" fontId="32" fillId="10" borderId="3" xfId="0" applyNumberFormat="1" applyFont="1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 vertical="center" wrapText="1"/>
    </xf>
    <xf numFmtId="1" fontId="67" fillId="10" borderId="3" xfId="0" applyNumberFormat="1" applyFont="1" applyFill="1" applyBorder="1" applyAlignment="1">
      <alignment horizontal="center" vertical="center" wrapText="1"/>
    </xf>
    <xf numFmtId="165" fontId="48" fillId="10" borderId="3" xfId="0" applyNumberFormat="1" applyFont="1" applyFill="1" applyBorder="1" applyAlignment="1">
      <alignment horizontal="center" vertical="center" wrapText="1"/>
    </xf>
    <xf numFmtId="1" fontId="45" fillId="10" borderId="3" xfId="0" applyNumberFormat="1" applyFont="1" applyFill="1" applyBorder="1" applyAlignment="1">
      <alignment horizontal="center" vertical="center" wrapText="1"/>
    </xf>
    <xf numFmtId="1" fontId="66" fillId="10" borderId="3" xfId="0" applyNumberFormat="1" applyFont="1" applyFill="1" applyBorder="1" applyAlignment="1">
      <alignment horizontal="center" vertical="center" wrapText="1"/>
    </xf>
    <xf numFmtId="165" fontId="23" fillId="10" borderId="3" xfId="0" applyNumberFormat="1" applyFont="1" applyFill="1" applyBorder="1" applyAlignment="1">
      <alignment horizontal="center" vertical="center" wrapText="1"/>
    </xf>
    <xf numFmtId="1" fontId="22" fillId="10" borderId="3" xfId="0" applyNumberFormat="1" applyFont="1" applyFill="1" applyBorder="1" applyAlignment="1">
      <alignment horizontal="center" vertical="center" wrapText="1"/>
    </xf>
    <xf numFmtId="165" fontId="83" fillId="10" borderId="3" xfId="0" applyNumberFormat="1" applyFont="1" applyFill="1" applyBorder="1" applyAlignment="1">
      <alignment horizontal="center" vertical="center" wrapText="1"/>
    </xf>
    <xf numFmtId="0" fontId="84" fillId="10" borderId="3" xfId="0" applyFont="1" applyFill="1" applyBorder="1" applyAlignment="1">
      <alignment horizontal="center" vertical="center"/>
    </xf>
    <xf numFmtId="0" fontId="0" fillId="10" borderId="0" xfId="0" applyFill="1"/>
    <xf numFmtId="1" fontId="9" fillId="10" borderId="3" xfId="0" applyNumberFormat="1" applyFont="1" applyFill="1" applyBorder="1" applyAlignment="1">
      <alignment horizontal="center" vertical="center" wrapText="1"/>
    </xf>
    <xf numFmtId="1" fontId="69" fillId="10" borderId="3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45" fillId="0" borderId="3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 wrapText="1"/>
    </xf>
    <xf numFmtId="2" fontId="45" fillId="0" borderId="3" xfId="0" applyNumberFormat="1" applyFont="1" applyBorder="1" applyAlignment="1">
      <alignment horizontal="center" vertical="center"/>
    </xf>
    <xf numFmtId="2" fontId="86" fillId="0" borderId="0" xfId="0" applyNumberFormat="1" applyFont="1" applyAlignment="1">
      <alignment horizontal="center"/>
    </xf>
    <xf numFmtId="2" fontId="86" fillId="0" borderId="3" xfId="0" applyNumberFormat="1" applyFont="1" applyBorder="1" applyAlignment="1">
      <alignment horizontal="center" vertical="center"/>
    </xf>
    <xf numFmtId="0" fontId="86" fillId="0" borderId="3" xfId="0" applyFont="1" applyBorder="1" applyAlignment="1">
      <alignment horizontal="center" vertical="center"/>
    </xf>
    <xf numFmtId="1" fontId="49" fillId="2" borderId="3" xfId="0" applyNumberFormat="1" applyFont="1" applyFill="1" applyBorder="1" applyAlignment="1">
      <alignment horizontal="center" vertical="center" wrapText="1"/>
    </xf>
    <xf numFmtId="167" fontId="21" fillId="6" borderId="4" xfId="0" applyNumberFormat="1" applyFont="1" applyFill="1" applyBorder="1" applyAlignment="1">
      <alignment horizontal="center" vertical="center" wrapText="1"/>
    </xf>
    <xf numFmtId="165" fontId="32" fillId="2" borderId="1" xfId="0" applyNumberFormat="1" applyFont="1" applyFill="1" applyBorder="1" applyAlignment="1">
      <alignment horizontal="center" vertical="center" wrapText="1"/>
    </xf>
    <xf numFmtId="165" fontId="32" fillId="10" borderId="1" xfId="0" applyNumberFormat="1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38" fillId="7" borderId="20" xfId="0" applyFont="1" applyFill="1" applyBorder="1" applyAlignment="1">
      <alignment horizontal="center" vertical="center" wrapText="1"/>
    </xf>
    <xf numFmtId="0" fontId="38" fillId="7" borderId="21" xfId="0" applyFont="1" applyFill="1" applyBorder="1" applyAlignment="1">
      <alignment horizontal="center" vertical="center" wrapText="1"/>
    </xf>
    <xf numFmtId="1" fontId="9" fillId="2" borderId="20" xfId="0" applyNumberFormat="1" applyFont="1" applyFill="1" applyBorder="1" applyAlignment="1">
      <alignment horizontal="center" vertical="center" wrapText="1"/>
    </xf>
    <xf numFmtId="1" fontId="9" fillId="2" borderId="21" xfId="0" applyNumberFormat="1" applyFont="1" applyFill="1" applyBorder="1" applyAlignment="1">
      <alignment horizontal="center" vertical="center" wrapText="1"/>
    </xf>
    <xf numFmtId="1" fontId="9" fillId="10" borderId="20" xfId="0" applyNumberFormat="1" applyFont="1" applyFill="1" applyBorder="1" applyAlignment="1">
      <alignment horizontal="center" vertical="center" wrapText="1"/>
    </xf>
    <xf numFmtId="1" fontId="9" fillId="10" borderId="21" xfId="0" applyNumberFormat="1" applyFont="1" applyFill="1" applyBorder="1" applyAlignment="1">
      <alignment horizontal="center" vertical="center" wrapText="1"/>
    </xf>
    <xf numFmtId="1" fontId="22" fillId="7" borderId="22" xfId="0" applyNumberFormat="1" applyFont="1" applyFill="1" applyBorder="1" applyAlignment="1">
      <alignment horizontal="center" vertical="center" wrapText="1"/>
    </xf>
    <xf numFmtId="1" fontId="22" fillId="7" borderId="23" xfId="0" applyNumberFormat="1" applyFont="1" applyFill="1" applyBorder="1" applyAlignment="1">
      <alignment horizontal="center" vertical="center" wrapText="1"/>
    </xf>
    <xf numFmtId="1" fontId="22" fillId="7" borderId="24" xfId="0" applyNumberFormat="1" applyFont="1" applyFill="1" applyBorder="1" applyAlignment="1">
      <alignment horizontal="center" vertical="center" wrapText="1"/>
    </xf>
    <xf numFmtId="1" fontId="69" fillId="2" borderId="4" xfId="0" applyNumberFormat="1" applyFont="1" applyFill="1" applyBorder="1" applyAlignment="1">
      <alignment horizontal="center" vertical="center" wrapText="1"/>
    </xf>
    <xf numFmtId="1" fontId="69" fillId="10" borderId="4" xfId="0" applyNumberFormat="1" applyFont="1" applyFill="1" applyBorder="1" applyAlignment="1">
      <alignment horizontal="center" vertical="center" wrapText="1"/>
    </xf>
    <xf numFmtId="1" fontId="70" fillId="7" borderId="4" xfId="0" applyNumberFormat="1" applyFont="1" applyFill="1" applyBorder="1" applyAlignment="1">
      <alignment horizontal="center" vertical="center" wrapText="1"/>
    </xf>
    <xf numFmtId="0" fontId="87" fillId="10" borderId="3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1" fontId="89" fillId="2" borderId="21" xfId="0" applyNumberFormat="1" applyFont="1" applyFill="1" applyBorder="1" applyAlignment="1">
      <alignment horizontal="center" vertical="center" wrapText="1"/>
    </xf>
    <xf numFmtId="1" fontId="89" fillId="10" borderId="21" xfId="0" applyNumberFormat="1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center" vertical="center" wrapText="1"/>
    </xf>
    <xf numFmtId="0" fontId="88" fillId="12" borderId="3" xfId="0" applyFont="1" applyFill="1" applyBorder="1" applyAlignment="1">
      <alignment horizontal="center" vertical="center" wrapText="1"/>
    </xf>
    <xf numFmtId="0" fontId="90" fillId="2" borderId="0" xfId="9" applyFill="1"/>
    <xf numFmtId="1" fontId="45" fillId="0" borderId="1" xfId="0" applyNumberFormat="1" applyFont="1" applyBorder="1" applyAlignment="1">
      <alignment horizontal="center" vertical="center" wrapText="1"/>
    </xf>
    <xf numFmtId="1" fontId="45" fillId="4" borderId="1" xfId="0" applyNumberFormat="1" applyFont="1" applyFill="1" applyBorder="1" applyAlignment="1">
      <alignment horizontal="center" vertical="center" wrapText="1"/>
    </xf>
    <xf numFmtId="0" fontId="34" fillId="2" borderId="3" xfId="0" applyFont="1" applyFill="1" applyBorder="1"/>
    <xf numFmtId="0" fontId="2" fillId="0" borderId="0" xfId="0" applyFont="1"/>
    <xf numFmtId="0" fontId="31" fillId="0" borderId="27" xfId="0" applyFont="1" applyBorder="1"/>
    <xf numFmtId="0" fontId="0" fillId="0" borderId="27" xfId="0" applyBorder="1" applyAlignment="1">
      <alignment vertical="center" wrapText="1"/>
    </xf>
    <xf numFmtId="0" fontId="0" fillId="0" borderId="0" xfId="0" applyAlignment="1">
      <alignment vertical="center" wrapText="1"/>
    </xf>
    <xf numFmtId="167" fontId="21" fillId="6" borderId="15" xfId="0" applyNumberFormat="1" applyFont="1" applyFill="1" applyBorder="1" applyAlignment="1">
      <alignment horizontal="center" vertical="center" wrapText="1"/>
    </xf>
    <xf numFmtId="0" fontId="45" fillId="0" borderId="27" xfId="0" applyFont="1" applyBorder="1" applyAlignment="1">
      <alignment vertical="center" wrapText="1"/>
    </xf>
    <xf numFmtId="0" fontId="45" fillId="0" borderId="0" xfId="0" applyFont="1" applyAlignment="1">
      <alignment vertical="center" wrapText="1"/>
    </xf>
    <xf numFmtId="167" fontId="21" fillId="6" borderId="16" xfId="0" applyNumberFormat="1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wrapText="1"/>
    </xf>
    <xf numFmtId="1" fontId="92" fillId="2" borderId="21" xfId="0" applyNumberFormat="1" applyFont="1" applyFill="1" applyBorder="1" applyAlignment="1">
      <alignment horizontal="center" vertical="center" wrapText="1"/>
    </xf>
    <xf numFmtId="1" fontId="92" fillId="10" borderId="2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0" fontId="94" fillId="0" borderId="0" xfId="0" applyFont="1"/>
    <xf numFmtId="0" fontId="85" fillId="7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" fontId="21" fillId="10" borderId="3" xfId="0" applyNumberFormat="1" applyFont="1" applyFill="1" applyBorder="1" applyAlignment="1">
      <alignment horizontal="center" vertical="center"/>
    </xf>
    <xf numFmtId="1" fontId="0" fillId="10" borderId="3" xfId="0" applyNumberFormat="1" applyFill="1" applyBorder="1" applyAlignment="1">
      <alignment horizontal="center"/>
    </xf>
    <xf numFmtId="168" fontId="45" fillId="0" borderId="0" xfId="0" applyNumberFormat="1" applyFont="1" applyAlignment="1">
      <alignment vertical="center" wrapText="1"/>
    </xf>
    <xf numFmtId="1" fontId="0" fillId="2" borderId="3" xfId="0" applyNumberFormat="1" applyFill="1" applyBorder="1" applyAlignment="1">
      <alignment horizontal="center"/>
    </xf>
    <xf numFmtId="1" fontId="27" fillId="2" borderId="3" xfId="0" applyNumberFormat="1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7" fillId="2" borderId="3" xfId="0" applyFont="1" applyFill="1" applyBorder="1" applyAlignment="1">
      <alignment horizontal="center"/>
    </xf>
    <xf numFmtId="1" fontId="21" fillId="2" borderId="3" xfId="0" applyNumberFormat="1" applyFont="1" applyFill="1" applyBorder="1" applyAlignment="1">
      <alignment horizontal="center" vertical="center"/>
    </xf>
    <xf numFmtId="1" fontId="73" fillId="10" borderId="3" xfId="0" applyNumberFormat="1" applyFont="1" applyFill="1" applyBorder="1" applyAlignment="1">
      <alignment horizontal="center" vertical="center" wrapText="1"/>
    </xf>
    <xf numFmtId="1" fontId="85" fillId="2" borderId="3" xfId="0" applyNumberFormat="1" applyFont="1" applyFill="1" applyBorder="1" applyAlignment="1">
      <alignment horizontal="center" vertical="center"/>
    </xf>
    <xf numFmtId="1" fontId="85" fillId="10" borderId="3" xfId="0" applyNumberFormat="1" applyFont="1" applyFill="1" applyBorder="1" applyAlignment="1">
      <alignment horizontal="center" vertical="center"/>
    </xf>
    <xf numFmtId="0" fontId="94" fillId="14" borderId="9" xfId="0" applyFont="1" applyFill="1" applyBorder="1" applyAlignment="1">
      <alignment horizontal="center" vertical="center"/>
    </xf>
    <xf numFmtId="0" fontId="93" fillId="7" borderId="3" xfId="0" applyFont="1" applyFill="1" applyBorder="1" applyAlignment="1">
      <alignment horizontal="center" vertical="center" wrapText="1"/>
    </xf>
    <xf numFmtId="1" fontId="45" fillId="0" borderId="27" xfId="0" applyNumberFormat="1" applyFont="1" applyBorder="1" applyAlignment="1">
      <alignment vertical="center" wrapText="1"/>
    </xf>
    <xf numFmtId="0" fontId="61" fillId="10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1" fontId="70" fillId="2" borderId="3" xfId="0" applyNumberFormat="1" applyFont="1" applyFill="1" applyBorder="1" applyAlignment="1">
      <alignment horizontal="center" vertical="center" wrapText="1"/>
    </xf>
    <xf numFmtId="1" fontId="27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1" fontId="7" fillId="2" borderId="3" xfId="0" applyNumberFormat="1" applyFont="1" applyFill="1" applyBorder="1" applyAlignment="1">
      <alignment horizontal="center" vertical="center" wrapText="1"/>
    </xf>
    <xf numFmtId="1" fontId="27" fillId="10" borderId="3" xfId="0" applyNumberFormat="1" applyFont="1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27" fillId="10" borderId="3" xfId="0" applyFont="1" applyFill="1" applyBorder="1" applyAlignment="1">
      <alignment horizontal="center"/>
    </xf>
    <xf numFmtId="0" fontId="82" fillId="11" borderId="3" xfId="0" applyFont="1" applyFill="1" applyBorder="1" applyAlignment="1">
      <alignment horizontal="center"/>
    </xf>
    <xf numFmtId="0" fontId="27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" fontId="46" fillId="2" borderId="0" xfId="0" applyNumberFormat="1" applyFont="1" applyFill="1" applyAlignment="1">
      <alignment horizontal="center"/>
    </xf>
    <xf numFmtId="1" fontId="0" fillId="10" borderId="0" xfId="0" applyNumberFormat="1" applyFill="1"/>
    <xf numFmtId="1" fontId="0" fillId="2" borderId="0" xfId="0" applyNumberFormat="1" applyFill="1" applyAlignment="1">
      <alignment horizontal="center"/>
    </xf>
    <xf numFmtId="169" fontId="32" fillId="2" borderId="3" xfId="0" applyNumberFormat="1" applyFont="1" applyFill="1" applyBorder="1" applyAlignment="1">
      <alignment horizontal="center" vertical="center" wrapText="1"/>
    </xf>
    <xf numFmtId="169" fontId="32" fillId="10" borderId="3" xfId="0" applyNumberFormat="1" applyFont="1" applyFill="1" applyBorder="1" applyAlignment="1">
      <alignment horizontal="center" vertical="center" wrapText="1"/>
    </xf>
    <xf numFmtId="1" fontId="50" fillId="0" borderId="0" xfId="0" applyNumberFormat="1" applyFont="1" applyAlignment="1">
      <alignment horizontal="center" vertical="center" wrapText="1"/>
    </xf>
    <xf numFmtId="1" fontId="46" fillId="10" borderId="3" xfId="0" applyNumberFormat="1" applyFont="1" applyFill="1" applyBorder="1" applyAlignment="1">
      <alignment horizontal="center"/>
    </xf>
    <xf numFmtId="1" fontId="45" fillId="3" borderId="0" xfId="0" applyNumberFormat="1" applyFont="1" applyFill="1" applyAlignment="1">
      <alignment horizontal="center"/>
    </xf>
    <xf numFmtId="0" fontId="8" fillId="2" borderId="3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/>
    </xf>
    <xf numFmtId="1" fontId="21" fillId="2" borderId="3" xfId="0" applyNumberFormat="1" applyFont="1" applyFill="1" applyBorder="1" applyAlignment="1">
      <alignment horizontal="center"/>
    </xf>
    <xf numFmtId="1" fontId="21" fillId="10" borderId="3" xfId="0" applyNumberFormat="1" applyFont="1" applyFill="1" applyBorder="1" applyAlignment="1">
      <alignment horizontal="center"/>
    </xf>
    <xf numFmtId="170" fontId="45" fillId="0" borderId="0" xfId="0" applyNumberFormat="1" applyFont="1" applyAlignment="1">
      <alignment horizontal="center"/>
    </xf>
    <xf numFmtId="0" fontId="5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1" fillId="10" borderId="1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center" vertical="center"/>
    </xf>
    <xf numFmtId="0" fontId="60" fillId="6" borderId="1" xfId="0" applyFont="1" applyFill="1" applyBorder="1" applyAlignment="1">
      <alignment horizontal="center" vertical="center" wrapText="1"/>
    </xf>
    <xf numFmtId="0" fontId="60" fillId="6" borderId="2" xfId="0" applyFont="1" applyFill="1" applyBorder="1" applyAlignment="1">
      <alignment horizontal="center" vertical="center" wrapText="1"/>
    </xf>
    <xf numFmtId="0" fontId="60" fillId="6" borderId="4" xfId="0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center" wrapText="1"/>
    </xf>
    <xf numFmtId="167" fontId="21" fillId="6" borderId="14" xfId="0" applyNumberFormat="1" applyFont="1" applyFill="1" applyBorder="1" applyAlignment="1">
      <alignment horizontal="center" vertical="center" wrapText="1"/>
    </xf>
    <xf numFmtId="167" fontId="21" fillId="6" borderId="15" xfId="0" applyNumberFormat="1" applyFont="1" applyFill="1" applyBorder="1" applyAlignment="1">
      <alignment horizontal="center" vertical="center" wrapText="1"/>
    </xf>
    <xf numFmtId="167" fontId="21" fillId="6" borderId="26" xfId="0" applyNumberFormat="1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167" fontId="85" fillId="10" borderId="17" xfId="0" applyNumberFormat="1" applyFont="1" applyFill="1" applyBorder="1" applyAlignment="1">
      <alignment horizontal="center" vertical="center" wrapText="1"/>
    </xf>
    <xf numFmtId="167" fontId="85" fillId="10" borderId="18" xfId="0" applyNumberFormat="1" applyFont="1" applyFill="1" applyBorder="1" applyAlignment="1">
      <alignment horizontal="center" vertical="center" wrapText="1"/>
    </xf>
    <xf numFmtId="167" fontId="85" fillId="10" borderId="25" xfId="0" applyNumberFormat="1" applyFont="1" applyFill="1" applyBorder="1" applyAlignment="1">
      <alignment horizontal="center" vertical="center" wrapText="1"/>
    </xf>
    <xf numFmtId="167" fontId="85" fillId="10" borderId="19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31" fillId="7" borderId="4" xfId="0" applyFont="1" applyFill="1" applyBorder="1" applyAlignment="1">
      <alignment horizontal="center" vertical="center" wrapText="1"/>
    </xf>
    <xf numFmtId="0" fontId="32" fillId="7" borderId="8" xfId="0" applyFont="1" applyFill="1" applyBorder="1" applyAlignment="1">
      <alignment horizontal="center" vertical="center" wrapText="1"/>
    </xf>
    <xf numFmtId="0" fontId="32" fillId="7" borderId="9" xfId="0" applyFont="1" applyFill="1" applyBorder="1" applyAlignment="1">
      <alignment horizontal="center" vertical="center" wrapText="1"/>
    </xf>
    <xf numFmtId="0" fontId="41" fillId="7" borderId="8" xfId="0" applyFont="1" applyFill="1" applyBorder="1" applyAlignment="1">
      <alignment horizontal="center" vertical="center" wrapText="1"/>
    </xf>
    <xf numFmtId="0" fontId="41" fillId="7" borderId="9" xfId="0" applyFont="1" applyFill="1" applyBorder="1" applyAlignment="1">
      <alignment horizontal="center" vertical="center" wrapText="1"/>
    </xf>
    <xf numFmtId="0" fontId="41" fillId="7" borderId="3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0" fontId="23" fillId="7" borderId="9" xfId="0" applyFont="1" applyFill="1" applyBorder="1" applyAlignment="1">
      <alignment horizontal="center" vertical="center" wrapText="1"/>
    </xf>
    <xf numFmtId="0" fontId="65" fillId="7" borderId="5" xfId="0" applyFont="1" applyFill="1" applyBorder="1" applyAlignment="1">
      <alignment horizontal="center" vertical="center"/>
    </xf>
    <xf numFmtId="0" fontId="65" fillId="7" borderId="6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3" fillId="7" borderId="12" xfId="0" applyFont="1" applyFill="1" applyBorder="1" applyAlignment="1">
      <alignment horizontal="center" vertical="center" wrapText="1"/>
    </xf>
    <xf numFmtId="0" fontId="23" fillId="7" borderId="13" xfId="0" applyFont="1" applyFill="1" applyBorder="1" applyAlignment="1">
      <alignment horizontal="center" vertical="center" wrapText="1"/>
    </xf>
    <xf numFmtId="0" fontId="65" fillId="7" borderId="7" xfId="0" applyFont="1" applyFill="1" applyBorder="1" applyAlignment="1">
      <alignment horizontal="center" vertical="center"/>
    </xf>
    <xf numFmtId="167" fontId="21" fillId="6" borderId="1" xfId="0" applyNumberFormat="1" applyFont="1" applyFill="1" applyBorder="1" applyAlignment="1">
      <alignment horizontal="center" vertical="center" wrapText="1"/>
    </xf>
    <xf numFmtId="167" fontId="21" fillId="6" borderId="2" xfId="0" applyNumberFormat="1" applyFont="1" applyFill="1" applyBorder="1" applyAlignment="1">
      <alignment horizontal="center" vertical="center" wrapText="1"/>
    </xf>
    <xf numFmtId="167" fontId="21" fillId="6" borderId="4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7" fillId="2" borderId="3" xfId="0" applyFont="1" applyFill="1" applyBorder="1" applyAlignment="1">
      <alignment horizontal="center" vertical="center"/>
    </xf>
    <xf numFmtId="0" fontId="82" fillId="11" borderId="3" xfId="0" applyFont="1" applyFill="1" applyBorder="1" applyAlignment="1">
      <alignment horizontal="center"/>
    </xf>
    <xf numFmtId="0" fontId="27" fillId="0" borderId="3" xfId="0" applyFont="1" applyBorder="1" applyAlignment="1">
      <alignment horizontal="center" vertical="center"/>
    </xf>
  </cellXfs>
  <cellStyles count="10">
    <cellStyle name="Comma 2" xfId="6" xr:uid="{00000000-0005-0000-0000-000000000000}"/>
    <cellStyle name="Neutral" xfId="9" builtinId="28"/>
    <cellStyle name="Normal" xfId="0" builtinId="0"/>
    <cellStyle name="Normal 2" xfId="1" xr:uid="{00000000-0005-0000-0000-000002000000}"/>
    <cellStyle name="Normal 2 2" xfId="4" xr:uid="{00000000-0005-0000-0000-000003000000}"/>
    <cellStyle name="Normal 3" xfId="2" xr:uid="{00000000-0005-0000-0000-000004000000}"/>
    <cellStyle name="Normal 3 2" xfId="5" xr:uid="{00000000-0005-0000-0000-000005000000}"/>
    <cellStyle name="Normal 4" xfId="7" xr:uid="{00000000-0005-0000-0000-000006000000}"/>
    <cellStyle name="Normal 4 2" xfId="8" xr:uid="{00000000-0005-0000-0000-000007000000}"/>
    <cellStyle name="Percent 2" xfId="3" xr:uid="{00000000-0005-0000-0000-000008000000}"/>
  </cellStyles>
  <dxfs count="1">
    <dxf>
      <font>
        <color rgb="FF9C0006"/>
      </font>
    </dxf>
  </dxfs>
  <tableStyles count="0" defaultTableStyle="TableStyleMedium9" defaultPivotStyle="PivotStyleLight16"/>
  <colors>
    <mruColors>
      <color rgb="FFCCFFCC"/>
      <color rgb="FFFFCCFF"/>
      <color rgb="FFCCECFF"/>
      <color rgb="FFCCFF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Heat Treatment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'units overall'!$B$5:$B$35</c:f>
              <c:numCache>
                <c:formatCode>[$-409]d\-mmm;@</c:formatCode>
                <c:ptCount val="3"/>
                <c:pt idx="0">
                  <c:v>45776</c:v>
                </c:pt>
                <c:pt idx="1">
                  <c:v>45777</c:v>
                </c:pt>
              </c:numCache>
            </c:numRef>
          </c:cat>
          <c:val>
            <c:numRef>
              <c:f>'units overall'!$D$5:$D$35</c:f>
              <c:numCache>
                <c:formatCode>0</c:formatCode>
                <c:ptCount val="3"/>
                <c:pt idx="0">
                  <c:v>3761.673600000342</c:v>
                </c:pt>
                <c:pt idx="1">
                  <c:v>2677.1551999997359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8-40AC-8545-BFB554D1F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38208"/>
        <c:axId val="531437032"/>
      </c:barChart>
      <c:dateAx>
        <c:axId val="531438208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37032"/>
        <c:crosses val="autoZero"/>
        <c:auto val="1"/>
        <c:lblOffset val="100"/>
        <c:baseTimeUnit val="days"/>
      </c:dateAx>
      <c:valAx>
        <c:axId val="531437032"/>
        <c:scaling>
          <c:orientation val="minMax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3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</a:t>
            </a:r>
            <a:r>
              <a:rPr lang="en-US" baseline="0"/>
              <a:t> for Production only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'units overall'!$B$5:$B$35</c:f>
              <c:numCache>
                <c:formatCode>[$-409]d\-mmm;@</c:formatCode>
                <c:ptCount val="3"/>
                <c:pt idx="0">
                  <c:v>45776</c:v>
                </c:pt>
                <c:pt idx="1">
                  <c:v>45777</c:v>
                </c:pt>
              </c:numCache>
            </c:numRef>
          </c:cat>
          <c:val>
            <c:numRef>
              <c:f>'units overall'!$E$5:$E$35</c:f>
              <c:numCache>
                <c:formatCode>0</c:formatCode>
                <c:ptCount val="3"/>
                <c:pt idx="0">
                  <c:v>6299.0495999998338</c:v>
                </c:pt>
                <c:pt idx="1">
                  <c:v>5949.7823999998172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B-499B-986F-E4CD2519F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46048"/>
        <c:axId val="531438600"/>
      </c:barChart>
      <c:dateAx>
        <c:axId val="531446048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38600"/>
        <c:crosses val="autoZero"/>
        <c:auto val="1"/>
        <c:lblOffset val="100"/>
        <c:baseTimeUnit val="days"/>
      </c:dateAx>
      <c:valAx>
        <c:axId val="531438600"/>
        <c:scaling>
          <c:orientation val="minMax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4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MGC</a:t>
            </a:r>
            <a:r>
              <a:rPr lang="en-US" baseline="0"/>
              <a:t> AC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'units overall'!$B$5:$B$35</c:f>
              <c:numCache>
                <c:formatCode>[$-409]d\-mmm;@</c:formatCode>
                <c:ptCount val="3"/>
                <c:pt idx="0">
                  <c:v>45776</c:v>
                </c:pt>
                <c:pt idx="1">
                  <c:v>45777</c:v>
                </c:pt>
              </c:numCache>
            </c:numRef>
          </c:cat>
          <c:val>
            <c:numRef>
              <c:f>'units overall'!$F$5:$F$35</c:f>
              <c:numCache>
                <c:formatCode>0</c:formatCode>
                <c:ptCount val="3"/>
                <c:pt idx="0">
                  <c:v>618.75</c:v>
                </c:pt>
                <c:pt idx="1">
                  <c:v>193.12000000011176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7-4B56-BA21-1970CC777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38992"/>
        <c:axId val="531440168"/>
      </c:barChart>
      <c:dateAx>
        <c:axId val="531438992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40168"/>
        <c:crosses val="autoZero"/>
        <c:auto val="1"/>
        <c:lblOffset val="100"/>
        <c:baseTimeUnit val="days"/>
      </c:dateAx>
      <c:valAx>
        <c:axId val="531440168"/>
        <c:scaling>
          <c:orientation val="minMax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3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Nozzle</a:t>
            </a:r>
            <a:r>
              <a:rPr lang="en-US" baseline="0"/>
              <a:t> soft machines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'units overall'!$B$5:$B$35</c:f>
              <c:numCache>
                <c:formatCode>[$-409]d\-mmm;@</c:formatCode>
                <c:ptCount val="3"/>
                <c:pt idx="0">
                  <c:v>45776</c:v>
                </c:pt>
                <c:pt idx="1">
                  <c:v>45777</c:v>
                </c:pt>
              </c:numCache>
            </c:numRef>
          </c:cat>
          <c:val>
            <c:numRef>
              <c:f>'units overall'!$I$5:$I$34</c:f>
              <c:numCache>
                <c:formatCode>0</c:formatCode>
                <c:ptCount val="2"/>
                <c:pt idx="0">
                  <c:v>614.5</c:v>
                </c:pt>
                <c:pt idx="1">
                  <c:v>731.9800000000032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E-4C4F-9E29-27CDB8584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47224"/>
        <c:axId val="531440560"/>
      </c:barChart>
      <c:dateAx>
        <c:axId val="531447224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40560"/>
        <c:crosses val="autoZero"/>
        <c:auto val="1"/>
        <c:lblOffset val="100"/>
        <c:baseTimeUnit val="days"/>
      </c:dateAx>
      <c:valAx>
        <c:axId val="531440560"/>
        <c:scaling>
          <c:orientation val="minMax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47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</a:t>
            </a:r>
            <a:r>
              <a:rPr lang="en-US" baseline="0"/>
              <a:t> Building Compressor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'units overall'!$B$5:$B$35</c:f>
              <c:numCache>
                <c:formatCode>[$-409]d\-mmm;@</c:formatCode>
                <c:ptCount val="3"/>
                <c:pt idx="0">
                  <c:v>45776</c:v>
                </c:pt>
                <c:pt idx="1">
                  <c:v>45777</c:v>
                </c:pt>
              </c:numCache>
            </c:numRef>
          </c:cat>
          <c:val>
            <c:numRef>
              <c:f>'units overall'!$J$5:$J$35</c:f>
              <c:numCache>
                <c:formatCode>0</c:formatCode>
                <c:ptCount val="3"/>
                <c:pt idx="0">
                  <c:v>1584.9791999998695</c:v>
                </c:pt>
                <c:pt idx="1">
                  <c:v>1509.8976000000221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6-4F98-8FF2-A2F3C769F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40952"/>
        <c:axId val="531441344"/>
      </c:barChart>
      <c:dateAx>
        <c:axId val="531440952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41344"/>
        <c:crosses val="autoZero"/>
        <c:auto val="1"/>
        <c:lblOffset val="100"/>
        <c:baseTimeUnit val="days"/>
      </c:dateAx>
      <c:valAx>
        <c:axId val="531441344"/>
        <c:scaling>
          <c:orientation val="minMax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40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CAT Compressor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'units overall'!$B$5:$B$35</c:f>
              <c:numCache>
                <c:formatCode>[$-409]d\-mmm;@</c:formatCode>
                <c:ptCount val="3"/>
                <c:pt idx="0">
                  <c:v>45776</c:v>
                </c:pt>
                <c:pt idx="1">
                  <c:v>45777</c:v>
                </c:pt>
              </c:numCache>
            </c:numRef>
          </c:cat>
          <c:val>
            <c:numRef>
              <c:f>'units overall'!$K$5:$K$35</c:f>
              <c:numCache>
                <c:formatCode>0</c:formatCode>
                <c:ptCount val="3"/>
                <c:pt idx="0">
                  <c:v>2069.2783999998296</c:v>
                </c:pt>
                <c:pt idx="1">
                  <c:v>1971.2552000000289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A-4AFC-B8A9-7C491B236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41736"/>
        <c:axId val="531444088"/>
      </c:barChart>
      <c:dateAx>
        <c:axId val="531441736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44088"/>
        <c:crosses val="autoZero"/>
        <c:auto val="1"/>
        <c:lblOffset val="100"/>
        <c:baseTimeUnit val="days"/>
      </c:dateAx>
      <c:valAx>
        <c:axId val="531444088"/>
        <c:scaling>
          <c:orientation val="minMax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41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Main Building machines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'units overall'!$B$5:$B$35</c:f>
              <c:numCache>
                <c:formatCode>[$-409]d\-mmm;@</c:formatCode>
                <c:ptCount val="3"/>
                <c:pt idx="0">
                  <c:v>45776</c:v>
                </c:pt>
                <c:pt idx="1">
                  <c:v>45777</c:v>
                </c:pt>
              </c:numCache>
            </c:numRef>
          </c:cat>
          <c:val>
            <c:numRef>
              <c:f>'units overall'!$L$5:$L$35</c:f>
              <c:numCache>
                <c:formatCode>0</c:formatCode>
                <c:ptCount val="3"/>
                <c:pt idx="0">
                  <c:v>9555.4500000000698</c:v>
                </c:pt>
                <c:pt idx="1">
                  <c:v>8916.6800000000949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0-4D00-A94D-F58C6A331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45264"/>
        <c:axId val="531444480"/>
      </c:barChart>
      <c:dateAx>
        <c:axId val="531445264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44480"/>
        <c:crosses val="autoZero"/>
        <c:auto val="1"/>
        <c:lblOffset val="100"/>
        <c:baseTimeUnit val="days"/>
      </c:dateAx>
      <c:valAx>
        <c:axId val="531444480"/>
        <c:scaling>
          <c:orientation val="minMax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4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Main Building Lighting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'units overall'!$B$5:$B$35</c:f>
              <c:numCache>
                <c:formatCode>[$-409]d\-mmm;@</c:formatCode>
                <c:ptCount val="3"/>
                <c:pt idx="0">
                  <c:v>45776</c:v>
                </c:pt>
                <c:pt idx="1">
                  <c:v>45777</c:v>
                </c:pt>
              </c:numCache>
            </c:numRef>
          </c:cat>
          <c:val>
            <c:numRef>
              <c:f>'units overall'!$M$5:$M$35</c:f>
              <c:numCache>
                <c:formatCode>0</c:formatCode>
                <c:ptCount val="3"/>
                <c:pt idx="0">
                  <c:v>908.62999999988824</c:v>
                </c:pt>
                <c:pt idx="1">
                  <c:v>903.12000000011176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3-41A1-BD25-4C0B61E91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44872"/>
        <c:axId val="531445656"/>
      </c:barChart>
      <c:dateAx>
        <c:axId val="531444872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45656"/>
        <c:crosses val="autoZero"/>
        <c:auto val="1"/>
        <c:lblOffset val="100"/>
        <c:baseTimeUnit val="days"/>
      </c:dateAx>
      <c:valAx>
        <c:axId val="531445656"/>
        <c:scaling>
          <c:orientation val="minMax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44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Total Rotary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'units overall'!$B$5:$B$35</c:f>
              <c:numCache>
                <c:formatCode>[$-409]d\-mmm;@</c:formatCode>
                <c:ptCount val="3"/>
                <c:pt idx="0">
                  <c:v>45776</c:v>
                </c:pt>
                <c:pt idx="1">
                  <c:v>45777</c:v>
                </c:pt>
              </c:numCache>
            </c:numRef>
          </c:cat>
          <c:val>
            <c:numRef>
              <c:f>'units overall'!$P$5:$P$35</c:f>
              <c:numCache>
                <c:formatCode>0</c:formatCode>
                <c:ptCount val="3"/>
                <c:pt idx="0">
                  <c:v>30305.166099999791</c:v>
                </c:pt>
                <c:pt idx="1">
                  <c:v>27513.274599999735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B-41FA-BC9F-1D171B43A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35856"/>
        <c:axId val="531449968"/>
      </c:barChart>
      <c:dateAx>
        <c:axId val="531435856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49968"/>
        <c:crosses val="autoZero"/>
        <c:auto val="1"/>
        <c:lblOffset val="100"/>
        <c:baseTimeUnit val="days"/>
      </c:dateAx>
      <c:valAx>
        <c:axId val="531449968"/>
        <c:scaling>
          <c:orientation val="minMax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3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Pump Assy machine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4EA-4C48-9368-63C2C074F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43696"/>
        <c:axId val="531452320"/>
      </c:barChart>
      <c:catAx>
        <c:axId val="531443696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2320"/>
        <c:crosses val="autoZero"/>
        <c:auto val="1"/>
        <c:lblAlgn val="ctr"/>
        <c:lblOffset val="100"/>
        <c:noMultiLvlLbl val="1"/>
      </c:catAx>
      <c:valAx>
        <c:axId val="531452320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4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Barrel hard machine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E2A-46AA-BE80-76FC04A55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53104"/>
        <c:axId val="531454672"/>
      </c:barChart>
      <c:catAx>
        <c:axId val="531453104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4672"/>
        <c:crosses val="autoZero"/>
        <c:auto val="1"/>
        <c:lblAlgn val="ctr"/>
        <c:lblOffset val="100"/>
        <c:noMultiLvlLbl val="1"/>
      </c:catAx>
      <c:valAx>
        <c:axId val="531454672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Barrel soft machine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5D0-4F63-A400-074D51497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51144"/>
        <c:axId val="531451536"/>
      </c:barChart>
      <c:catAx>
        <c:axId val="531451144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1536"/>
        <c:crosses val="autoZero"/>
        <c:auto val="1"/>
        <c:lblAlgn val="ctr"/>
        <c:lblOffset val="100"/>
        <c:noMultiLvlLbl val="1"/>
      </c:catAx>
      <c:valAx>
        <c:axId val="531451536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1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Phase-3 machine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908-44F6-B5B3-B69FB9179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54280"/>
        <c:axId val="531451928"/>
      </c:barChart>
      <c:catAx>
        <c:axId val="531454280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1928"/>
        <c:crosses val="autoZero"/>
        <c:auto val="1"/>
        <c:lblAlgn val="ctr"/>
        <c:lblOffset val="100"/>
        <c:noMultiLvlLbl val="1"/>
      </c:catAx>
      <c:valAx>
        <c:axId val="531451928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4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Sub Assy machine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886-4A81-B66E-AD20AA67B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53496"/>
        <c:axId val="531450360"/>
      </c:barChart>
      <c:catAx>
        <c:axId val="531453496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0360"/>
        <c:crosses val="autoZero"/>
        <c:auto val="1"/>
        <c:lblAlgn val="ctr"/>
        <c:lblOffset val="100"/>
        <c:noMultiLvlLbl val="1"/>
      </c:catAx>
      <c:valAx>
        <c:axId val="531450360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3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Al. cell machine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FB8-4126-B42B-9B5A9A86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55848"/>
        <c:axId val="531456240"/>
      </c:barChart>
      <c:catAx>
        <c:axId val="531455848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6240"/>
        <c:crosses val="autoZero"/>
        <c:auto val="1"/>
        <c:lblAlgn val="ctr"/>
        <c:lblOffset val="100"/>
        <c:noMultiLvlLbl val="1"/>
      </c:catAx>
      <c:valAx>
        <c:axId val="531456240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5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Nozzle hard machine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F8E-47B0-B666-2B8983047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48792"/>
        <c:axId val="531458200"/>
      </c:barChart>
      <c:catAx>
        <c:axId val="531448792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8200"/>
        <c:crosses val="autoZero"/>
        <c:auto val="1"/>
        <c:lblAlgn val="ctr"/>
        <c:lblOffset val="100"/>
        <c:noMultiLvlLbl val="1"/>
      </c:catAx>
      <c:valAx>
        <c:axId val="531458200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48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Injector Assy machine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329-46AB-A935-97D4B1D5D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56632"/>
        <c:axId val="531457024"/>
      </c:barChart>
      <c:catAx>
        <c:axId val="531456632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7024"/>
        <c:crosses val="autoZero"/>
        <c:auto val="1"/>
        <c:lblAlgn val="ctr"/>
        <c:lblOffset val="100"/>
        <c:noMultiLvlLbl val="1"/>
      </c:catAx>
      <c:valAx>
        <c:axId val="531457024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6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CRC machine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6BF-42B3-B9FE-9B4A0B959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49576"/>
        <c:axId val="531458592"/>
      </c:barChart>
      <c:catAx>
        <c:axId val="531449576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8592"/>
        <c:crosses val="autoZero"/>
        <c:auto val="1"/>
        <c:lblAlgn val="ctr"/>
        <c:lblOffset val="100"/>
        <c:noMultiLvlLbl val="1"/>
      </c:catAx>
      <c:valAx>
        <c:axId val="531458592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49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Filter cell machine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B2D-47C6-A93D-EC087B28A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58984"/>
        <c:axId val="531459376"/>
      </c:barChart>
      <c:catAx>
        <c:axId val="531458984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9376"/>
        <c:crosses val="autoZero"/>
        <c:auto val="1"/>
        <c:lblAlgn val="ctr"/>
        <c:lblOffset val="100"/>
        <c:noMultiLvlLbl val="1"/>
      </c:catAx>
      <c:valAx>
        <c:axId val="531459376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58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Barrel soft washing machine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FA6-4C74-88CE-0D3E1D843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60160"/>
        <c:axId val="531466432"/>
      </c:barChart>
      <c:catAx>
        <c:axId val="531460160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66432"/>
        <c:crosses val="autoZero"/>
        <c:auto val="1"/>
        <c:lblAlgn val="ctr"/>
        <c:lblOffset val="100"/>
        <c:noMultiLvlLbl val="1"/>
      </c:catAx>
      <c:valAx>
        <c:axId val="531466432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6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VCO machine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D7C-4480-8F28-FFFB90D4A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71920"/>
        <c:axId val="531461728"/>
      </c:barChart>
      <c:catAx>
        <c:axId val="531471920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61728"/>
        <c:crosses val="autoZero"/>
        <c:auto val="1"/>
        <c:lblAlgn val="ctr"/>
        <c:lblOffset val="100"/>
        <c:noMultiLvlLbl val="1"/>
      </c:catAx>
      <c:valAx>
        <c:axId val="531461728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7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NHB hard line machine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A73-4BAA-BDDC-6B7A258A3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66040"/>
        <c:axId val="531460944"/>
      </c:barChart>
      <c:catAx>
        <c:axId val="531466040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60944"/>
        <c:crosses val="autoZero"/>
        <c:auto val="1"/>
        <c:lblAlgn val="ctr"/>
        <c:lblOffset val="100"/>
        <c:noMultiLvlLbl val="1"/>
      </c:catAx>
      <c:valAx>
        <c:axId val="531460944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66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CRS machine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F74-4F8B-AC7D-02C627C42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72704"/>
        <c:axId val="531471528"/>
      </c:barChart>
      <c:catAx>
        <c:axId val="531472704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71528"/>
        <c:crosses val="autoZero"/>
        <c:auto val="1"/>
        <c:lblAlgn val="ctr"/>
        <c:lblOffset val="100"/>
        <c:noMultiLvlLbl val="1"/>
      </c:catAx>
      <c:valAx>
        <c:axId val="531471528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7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Phase-4 machine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82C-4EDC-8B1D-17F897BDB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68392"/>
        <c:axId val="531466824"/>
      </c:barChart>
      <c:catAx>
        <c:axId val="531468392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66824"/>
        <c:crosses val="autoZero"/>
        <c:auto val="1"/>
        <c:lblAlgn val="ctr"/>
        <c:lblOffset val="100"/>
        <c:noMultiLvlLbl val="1"/>
      </c:catAx>
      <c:valAx>
        <c:axId val="531466824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68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Bay-6 machine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C92-4D1F-A9C9-304689B37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63296"/>
        <c:axId val="531472312"/>
      </c:barChart>
      <c:catAx>
        <c:axId val="531463296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72312"/>
        <c:crosses val="autoZero"/>
        <c:auto val="1"/>
        <c:lblAlgn val="ctr"/>
        <c:lblOffset val="100"/>
        <c:noMultiLvlLbl val="1"/>
      </c:catAx>
      <c:valAx>
        <c:axId val="531472312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6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Rotor cell machine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1D7-4BB1-8A5B-E1E69EEAF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67216"/>
        <c:axId val="531468784"/>
      </c:barChart>
      <c:catAx>
        <c:axId val="531467216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68784"/>
        <c:crosses val="autoZero"/>
        <c:auto val="1"/>
        <c:lblAlgn val="ctr"/>
        <c:lblOffset val="100"/>
        <c:noMultiLvlLbl val="1"/>
      </c:catAx>
      <c:valAx>
        <c:axId val="531468784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6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Total machine units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89A-4D88-B956-9C5C34DE4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469568"/>
        <c:axId val="531473096"/>
      </c:barChart>
      <c:catAx>
        <c:axId val="531469568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73096"/>
        <c:crosses val="autoZero"/>
        <c:auto val="1"/>
        <c:lblAlgn val="ctr"/>
        <c:lblOffset val="100"/>
        <c:noMultiLvlLbl val="1"/>
      </c:catAx>
      <c:valAx>
        <c:axId val="531473096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6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1</xdr:row>
      <xdr:rowOff>4762</xdr:rowOff>
    </xdr:from>
    <xdr:to>
      <xdr:col>18</xdr:col>
      <xdr:colOff>38100</xdr:colOff>
      <xdr:row>14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18</xdr:col>
      <xdr:colOff>9524</xdr:colOff>
      <xdr:row>28</xdr:row>
      <xdr:rowOff>14288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18</xdr:col>
      <xdr:colOff>0</xdr:colOff>
      <xdr:row>42</xdr:row>
      <xdr:rowOff>14288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17</xdr:col>
      <xdr:colOff>590550</xdr:colOff>
      <xdr:row>56</xdr:row>
      <xdr:rowOff>14288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18</xdr:col>
      <xdr:colOff>0</xdr:colOff>
      <xdr:row>70</xdr:row>
      <xdr:rowOff>14288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18</xdr:col>
      <xdr:colOff>9524</xdr:colOff>
      <xdr:row>84</xdr:row>
      <xdr:rowOff>14288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85</xdr:row>
      <xdr:rowOff>0</xdr:rowOff>
    </xdr:from>
    <xdr:to>
      <xdr:col>18</xdr:col>
      <xdr:colOff>0</xdr:colOff>
      <xdr:row>98</xdr:row>
      <xdr:rowOff>14288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99</xdr:row>
      <xdr:rowOff>0</xdr:rowOff>
    </xdr:from>
    <xdr:to>
      <xdr:col>17</xdr:col>
      <xdr:colOff>600074</xdr:colOff>
      <xdr:row>112</xdr:row>
      <xdr:rowOff>14288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113</xdr:row>
      <xdr:rowOff>0</xdr:rowOff>
    </xdr:from>
    <xdr:to>
      <xdr:col>17</xdr:col>
      <xdr:colOff>590550</xdr:colOff>
      <xdr:row>126</xdr:row>
      <xdr:rowOff>14288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127</xdr:row>
      <xdr:rowOff>0</xdr:rowOff>
    </xdr:from>
    <xdr:to>
      <xdr:col>17</xdr:col>
      <xdr:colOff>590550</xdr:colOff>
      <xdr:row>140</xdr:row>
      <xdr:rowOff>14288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141</xdr:row>
      <xdr:rowOff>0</xdr:rowOff>
    </xdr:from>
    <xdr:to>
      <xdr:col>17</xdr:col>
      <xdr:colOff>590550</xdr:colOff>
      <xdr:row>154</xdr:row>
      <xdr:rowOff>14288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155</xdr:row>
      <xdr:rowOff>0</xdr:rowOff>
    </xdr:from>
    <xdr:to>
      <xdr:col>17</xdr:col>
      <xdr:colOff>590550</xdr:colOff>
      <xdr:row>168</xdr:row>
      <xdr:rowOff>14288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169</xdr:row>
      <xdr:rowOff>0</xdr:rowOff>
    </xdr:from>
    <xdr:to>
      <xdr:col>17</xdr:col>
      <xdr:colOff>590550</xdr:colOff>
      <xdr:row>182</xdr:row>
      <xdr:rowOff>14288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183</xdr:row>
      <xdr:rowOff>0</xdr:rowOff>
    </xdr:from>
    <xdr:to>
      <xdr:col>17</xdr:col>
      <xdr:colOff>590550</xdr:colOff>
      <xdr:row>196</xdr:row>
      <xdr:rowOff>14288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197</xdr:row>
      <xdr:rowOff>0</xdr:rowOff>
    </xdr:from>
    <xdr:to>
      <xdr:col>17</xdr:col>
      <xdr:colOff>590550</xdr:colOff>
      <xdr:row>210</xdr:row>
      <xdr:rowOff>14288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211</xdr:row>
      <xdr:rowOff>0</xdr:rowOff>
    </xdr:from>
    <xdr:to>
      <xdr:col>17</xdr:col>
      <xdr:colOff>590550</xdr:colOff>
      <xdr:row>224</xdr:row>
      <xdr:rowOff>14288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225</xdr:row>
      <xdr:rowOff>0</xdr:rowOff>
    </xdr:from>
    <xdr:to>
      <xdr:col>17</xdr:col>
      <xdr:colOff>590550</xdr:colOff>
      <xdr:row>238</xdr:row>
      <xdr:rowOff>14288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239</xdr:row>
      <xdr:rowOff>0</xdr:rowOff>
    </xdr:from>
    <xdr:to>
      <xdr:col>17</xdr:col>
      <xdr:colOff>590550</xdr:colOff>
      <xdr:row>252</xdr:row>
      <xdr:rowOff>14288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253</xdr:row>
      <xdr:rowOff>0</xdr:rowOff>
    </xdr:from>
    <xdr:to>
      <xdr:col>17</xdr:col>
      <xdr:colOff>590550</xdr:colOff>
      <xdr:row>266</xdr:row>
      <xdr:rowOff>14288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267</xdr:row>
      <xdr:rowOff>0</xdr:rowOff>
    </xdr:from>
    <xdr:to>
      <xdr:col>17</xdr:col>
      <xdr:colOff>590550</xdr:colOff>
      <xdr:row>280</xdr:row>
      <xdr:rowOff>14288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281</xdr:row>
      <xdr:rowOff>0</xdr:rowOff>
    </xdr:from>
    <xdr:to>
      <xdr:col>17</xdr:col>
      <xdr:colOff>590550</xdr:colOff>
      <xdr:row>294</xdr:row>
      <xdr:rowOff>14288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295</xdr:row>
      <xdr:rowOff>0</xdr:rowOff>
    </xdr:from>
    <xdr:to>
      <xdr:col>17</xdr:col>
      <xdr:colOff>590550</xdr:colOff>
      <xdr:row>308</xdr:row>
      <xdr:rowOff>14288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0</xdr:colOff>
      <xdr:row>309</xdr:row>
      <xdr:rowOff>0</xdr:rowOff>
    </xdr:from>
    <xdr:to>
      <xdr:col>17</xdr:col>
      <xdr:colOff>590550</xdr:colOff>
      <xdr:row>322</xdr:row>
      <xdr:rowOff>14288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0</xdr:colOff>
      <xdr:row>323</xdr:row>
      <xdr:rowOff>0</xdr:rowOff>
    </xdr:from>
    <xdr:to>
      <xdr:col>17</xdr:col>
      <xdr:colOff>590550</xdr:colOff>
      <xdr:row>336</xdr:row>
      <xdr:rowOff>14288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337</xdr:row>
      <xdr:rowOff>0</xdr:rowOff>
    </xdr:from>
    <xdr:to>
      <xdr:col>17</xdr:col>
      <xdr:colOff>590550</xdr:colOff>
      <xdr:row>350</xdr:row>
      <xdr:rowOff>14288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351</xdr:row>
      <xdr:rowOff>0</xdr:rowOff>
    </xdr:from>
    <xdr:to>
      <xdr:col>17</xdr:col>
      <xdr:colOff>590550</xdr:colOff>
      <xdr:row>364</xdr:row>
      <xdr:rowOff>14288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0</xdr:colOff>
      <xdr:row>365</xdr:row>
      <xdr:rowOff>0</xdr:rowOff>
    </xdr:from>
    <xdr:to>
      <xdr:col>17</xdr:col>
      <xdr:colOff>590550</xdr:colOff>
      <xdr:row>378</xdr:row>
      <xdr:rowOff>14288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-0.249977111117893"/>
    <pageSetUpPr fitToPage="1"/>
  </sheetPr>
  <dimension ref="A3:V500"/>
  <sheetViews>
    <sheetView topLeftCell="A13" zoomScaleNormal="100" workbookViewId="0">
      <selection activeCell="J36" sqref="J36"/>
    </sheetView>
  </sheetViews>
  <sheetFormatPr defaultRowHeight="15.75"/>
  <cols>
    <col min="2" max="2" width="9.5703125" customWidth="1"/>
    <col min="3" max="3" width="7.5703125" customWidth="1"/>
    <col min="4" max="4" width="16.28515625" customWidth="1"/>
    <col min="5" max="5" width="13" customWidth="1"/>
    <col min="6" max="6" width="11.85546875" customWidth="1"/>
    <col min="7" max="8" width="11.7109375" customWidth="1"/>
    <col min="9" max="9" width="7.85546875" customWidth="1"/>
    <col min="10" max="10" width="7.7109375" customWidth="1"/>
    <col min="11" max="11" width="9" customWidth="1"/>
    <col min="12" max="12" width="12.42578125" style="17" customWidth="1"/>
    <col min="13" max="13" width="13.140625" customWidth="1"/>
    <col min="14" max="14" width="13.7109375" customWidth="1"/>
    <col min="15" max="15" width="13" customWidth="1"/>
    <col min="16" max="16" width="0" style="74" hidden="1" customWidth="1"/>
    <col min="17" max="17" width="9.28515625" customWidth="1"/>
    <col min="18" max="19" width="9.140625" customWidth="1"/>
    <col min="21" max="21" width="151.28515625" bestFit="1" customWidth="1"/>
  </cols>
  <sheetData>
    <row r="3" spans="1:22" ht="27" customHeight="1">
      <c r="B3" s="291" t="s">
        <v>122</v>
      </c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3"/>
    </row>
    <row r="4" spans="1:22" ht="24">
      <c r="B4" s="108" t="s">
        <v>0</v>
      </c>
      <c r="C4" s="154" t="s">
        <v>149</v>
      </c>
      <c r="D4" s="109" t="s">
        <v>123</v>
      </c>
      <c r="E4" s="109" t="s">
        <v>124</v>
      </c>
      <c r="F4" s="109" t="s">
        <v>125</v>
      </c>
      <c r="G4" s="109" t="s">
        <v>126</v>
      </c>
      <c r="H4" s="109" t="s">
        <v>127</v>
      </c>
      <c r="I4" s="109" t="s">
        <v>1</v>
      </c>
      <c r="J4" s="109" t="s">
        <v>2</v>
      </c>
      <c r="K4" s="109" t="s">
        <v>3</v>
      </c>
      <c r="L4" s="109" t="s">
        <v>4</v>
      </c>
      <c r="M4" s="110" t="s">
        <v>5</v>
      </c>
      <c r="N4" s="110" t="s">
        <v>6</v>
      </c>
      <c r="O4" s="260" t="s">
        <v>204</v>
      </c>
      <c r="P4" s="246"/>
      <c r="Q4" s="261" t="s">
        <v>205</v>
      </c>
    </row>
    <row r="5" spans="1:22" ht="15">
      <c r="A5" s="44"/>
      <c r="B5" s="58">
        <v>45748</v>
      </c>
      <c r="C5" s="58" t="s">
        <v>193</v>
      </c>
      <c r="D5" s="279">
        <f t="shared" ref="D5:D35" si="0">T5</f>
        <v>43821.181000000273</v>
      </c>
      <c r="E5" s="59">
        <v>266.94</v>
      </c>
      <c r="F5" s="20">
        <v>240.75</v>
      </c>
      <c r="G5" s="20">
        <v>1368</v>
      </c>
      <c r="H5" s="20">
        <v>1178.75</v>
      </c>
      <c r="I5" s="59">
        <v>0</v>
      </c>
      <c r="J5" s="59">
        <v>0</v>
      </c>
      <c r="K5" s="143">
        <f>SUM(D5:J5)</f>
        <v>46875.621000000276</v>
      </c>
      <c r="L5" s="152">
        <v>0</v>
      </c>
      <c r="M5" s="152">
        <v>0</v>
      </c>
      <c r="N5" s="268"/>
      <c r="O5" s="269">
        <f>E5+F5+G5+H5</f>
        <v>3054.44</v>
      </c>
      <c r="P5" s="268">
        <f>E5+F5+G5+H5</f>
        <v>3054.44</v>
      </c>
      <c r="Q5" s="268">
        <f t="shared" ref="Q5:Q13" si="1">M5/2</f>
        <v>0</v>
      </c>
      <c r="R5" s="17"/>
      <c r="S5" s="39">
        <f>SUM(E5:J5)</f>
        <v>3054.44</v>
      </c>
      <c r="T5" s="39">
        <f>'units overall'!V5-Summary!S5</f>
        <v>43821.181000000273</v>
      </c>
      <c r="U5" s="17"/>
      <c r="V5" s="17"/>
    </row>
    <row r="6" spans="1:22">
      <c r="A6" s="44"/>
      <c r="B6" s="58">
        <v>45749</v>
      </c>
      <c r="C6" s="58" t="s">
        <v>194</v>
      </c>
      <c r="D6" s="279">
        <f t="shared" si="0"/>
        <v>64029.285999999731</v>
      </c>
      <c r="E6" s="59">
        <v>259.52</v>
      </c>
      <c r="F6" s="20">
        <v>239.06</v>
      </c>
      <c r="G6" s="20">
        <v>1125.25</v>
      </c>
      <c r="H6" s="20">
        <v>1131.75</v>
      </c>
      <c r="I6" s="59">
        <v>0</v>
      </c>
      <c r="J6" s="59">
        <v>0</v>
      </c>
      <c r="K6" s="143">
        <f t="shared" ref="K6:K24" si="2">SUM(D6:J6)</f>
        <v>66784.865999999718</v>
      </c>
      <c r="L6" s="152">
        <v>0</v>
      </c>
      <c r="M6" s="152">
        <v>0</v>
      </c>
      <c r="N6" s="59"/>
      <c r="O6" s="252">
        <f t="shared" ref="O6:O8" si="3">E6+F6+G6+H6</f>
        <v>2755.58</v>
      </c>
      <c r="P6" s="253">
        <f t="shared" ref="P6:P15" si="4">E6+F6+G6+H6</f>
        <v>2755.58</v>
      </c>
      <c r="Q6" s="254">
        <f t="shared" si="1"/>
        <v>0</v>
      </c>
      <c r="R6" s="17"/>
      <c r="S6" s="39">
        <f t="shared" ref="S6:S32" si="5">SUM(E6:J6)</f>
        <v>2755.58</v>
      </c>
      <c r="T6" s="39">
        <f>'units overall'!V6-Summary!S6</f>
        <v>64029.285999999731</v>
      </c>
      <c r="U6" s="17"/>
      <c r="V6" s="17"/>
    </row>
    <row r="7" spans="1:22">
      <c r="A7" s="44"/>
      <c r="B7" s="58">
        <v>45750</v>
      </c>
      <c r="C7" s="58" t="s">
        <v>195</v>
      </c>
      <c r="D7" s="279">
        <f t="shared" si="0"/>
        <v>66512.297300000166</v>
      </c>
      <c r="E7" s="59">
        <v>162.75</v>
      </c>
      <c r="F7" s="20">
        <v>168.78</v>
      </c>
      <c r="G7" s="20">
        <v>802.5</v>
      </c>
      <c r="H7" s="20">
        <v>716.5</v>
      </c>
      <c r="I7" s="59">
        <v>0</v>
      </c>
      <c r="J7" s="59">
        <v>0</v>
      </c>
      <c r="K7" s="143">
        <f t="shared" si="2"/>
        <v>68362.827300000165</v>
      </c>
      <c r="L7" s="152">
        <v>0</v>
      </c>
      <c r="M7" s="152">
        <v>0</v>
      </c>
      <c r="N7" s="59"/>
      <c r="O7" s="252">
        <f t="shared" si="3"/>
        <v>1850.53</v>
      </c>
      <c r="P7" s="253">
        <f t="shared" si="4"/>
        <v>1850.53</v>
      </c>
      <c r="Q7" s="254">
        <f t="shared" si="1"/>
        <v>0</v>
      </c>
      <c r="R7" s="17"/>
      <c r="S7" s="39">
        <f t="shared" si="5"/>
        <v>1850.53</v>
      </c>
      <c r="T7" s="39">
        <f>'units overall'!V7-Summary!S7</f>
        <v>66512.297300000166</v>
      </c>
      <c r="U7" s="17"/>
      <c r="V7" s="17"/>
    </row>
    <row r="8" spans="1:22">
      <c r="A8" s="44"/>
      <c r="B8" s="58">
        <v>45751</v>
      </c>
      <c r="C8" s="58" t="s">
        <v>196</v>
      </c>
      <c r="D8" s="279">
        <f t="shared" si="0"/>
        <v>67330.756000000052</v>
      </c>
      <c r="E8" s="59">
        <v>256.77</v>
      </c>
      <c r="F8" s="20">
        <v>226.13</v>
      </c>
      <c r="G8" s="20">
        <v>992</v>
      </c>
      <c r="H8" s="20">
        <v>1085.5</v>
      </c>
      <c r="I8" s="59">
        <v>0</v>
      </c>
      <c r="J8" s="59">
        <v>0</v>
      </c>
      <c r="K8" s="143">
        <f t="shared" si="2"/>
        <v>69891.156000000061</v>
      </c>
      <c r="L8" s="152">
        <v>0</v>
      </c>
      <c r="M8" s="152">
        <v>0</v>
      </c>
      <c r="N8" s="59"/>
      <c r="O8" s="252">
        <f t="shared" si="3"/>
        <v>2560.4</v>
      </c>
      <c r="P8" s="253">
        <f t="shared" si="4"/>
        <v>2560.4</v>
      </c>
      <c r="Q8" s="254">
        <f>M8/2</f>
        <v>0</v>
      </c>
      <c r="R8" s="17"/>
      <c r="S8" s="39">
        <f t="shared" si="5"/>
        <v>2560.4</v>
      </c>
      <c r="T8" s="39">
        <f>'units overall'!V8-Summary!S8</f>
        <v>67330.756000000052</v>
      </c>
      <c r="U8" s="17"/>
      <c r="V8" s="17"/>
    </row>
    <row r="9" spans="1:22" ht="15" customHeight="1">
      <c r="A9" s="44"/>
      <c r="B9" s="58">
        <v>45752</v>
      </c>
      <c r="C9" s="58" t="s">
        <v>197</v>
      </c>
      <c r="D9" s="279">
        <f t="shared" si="0"/>
        <v>66795.893899999792</v>
      </c>
      <c r="E9" s="59">
        <v>241.34</v>
      </c>
      <c r="F9" s="20">
        <v>229.06</v>
      </c>
      <c r="G9" s="20">
        <v>986.75</v>
      </c>
      <c r="H9" s="20">
        <v>1099</v>
      </c>
      <c r="I9" s="59">
        <v>0</v>
      </c>
      <c r="J9" s="59">
        <v>0</v>
      </c>
      <c r="K9" s="143">
        <f t="shared" si="2"/>
        <v>69352.043899999786</v>
      </c>
      <c r="L9" s="152">
        <v>0</v>
      </c>
      <c r="M9" s="152">
        <v>0</v>
      </c>
      <c r="N9" s="59"/>
      <c r="O9" s="252">
        <f>E9+F9+G9+H9</f>
        <v>2556.15</v>
      </c>
      <c r="P9" s="253">
        <f t="shared" si="4"/>
        <v>2556.15</v>
      </c>
      <c r="Q9" s="254">
        <f t="shared" si="1"/>
        <v>0</v>
      </c>
      <c r="R9" s="17"/>
      <c r="S9" s="39">
        <f t="shared" si="5"/>
        <v>2556.15</v>
      </c>
      <c r="T9" s="39">
        <f>'units overall'!V9-Summary!S9</f>
        <v>66795.893899999792</v>
      </c>
      <c r="U9" s="17"/>
      <c r="V9" s="17"/>
    </row>
    <row r="10" spans="1:22" ht="15" customHeight="1">
      <c r="A10" s="44"/>
      <c r="B10" s="183">
        <v>45753</v>
      </c>
      <c r="C10" s="183" t="s">
        <v>198</v>
      </c>
      <c r="D10" s="280">
        <f t="shared" si="0"/>
        <v>32427.753400000089</v>
      </c>
      <c r="E10" s="184">
        <v>268.54000000000002</v>
      </c>
      <c r="F10" s="185">
        <v>247.53</v>
      </c>
      <c r="G10" s="185">
        <v>1099.25</v>
      </c>
      <c r="H10" s="185">
        <v>1200.75</v>
      </c>
      <c r="I10" s="184">
        <v>0</v>
      </c>
      <c r="J10" s="184">
        <v>0</v>
      </c>
      <c r="K10" s="186">
        <f t="shared" si="2"/>
        <v>35243.823400000088</v>
      </c>
      <c r="L10" s="184">
        <v>0</v>
      </c>
      <c r="M10" s="184">
        <v>0</v>
      </c>
      <c r="N10" s="184"/>
      <c r="O10" s="250">
        <f>E10+F10+G10+H10</f>
        <v>2816.07</v>
      </c>
      <c r="P10" s="270">
        <f t="shared" si="4"/>
        <v>2816.07</v>
      </c>
      <c r="Q10" s="271">
        <f>M10/2</f>
        <v>0</v>
      </c>
      <c r="R10" s="80"/>
      <c r="S10" s="39">
        <f t="shared" si="5"/>
        <v>2816.07</v>
      </c>
      <c r="T10" s="39">
        <f>'units overall'!V10-Summary!S10</f>
        <v>32427.753400000089</v>
      </c>
      <c r="U10" s="17"/>
      <c r="V10" s="17"/>
    </row>
    <row r="11" spans="1:22" ht="15" customHeight="1">
      <c r="A11" s="44"/>
      <c r="B11" s="58">
        <v>45754</v>
      </c>
      <c r="C11" s="58" t="s">
        <v>192</v>
      </c>
      <c r="D11" s="279">
        <f t="shared" si="0"/>
        <v>66835.107500000115</v>
      </c>
      <c r="E11" s="59">
        <v>299.01</v>
      </c>
      <c r="F11" s="20">
        <v>261.33999999999997</v>
      </c>
      <c r="G11" s="20">
        <v>1310</v>
      </c>
      <c r="H11" s="20">
        <v>1340</v>
      </c>
      <c r="I11" s="59">
        <v>0</v>
      </c>
      <c r="J11" s="59">
        <v>0</v>
      </c>
      <c r="K11" s="143">
        <f t="shared" si="2"/>
        <v>70045.457500000106</v>
      </c>
      <c r="L11" s="59">
        <v>0</v>
      </c>
      <c r="M11" s="59">
        <v>0</v>
      </c>
      <c r="N11" s="59"/>
      <c r="O11" s="252">
        <f t="shared" ref="O11:P34" si="6">E11+F11+G11+H11</f>
        <v>3210.35</v>
      </c>
      <c r="P11" s="253">
        <f t="shared" si="4"/>
        <v>3210.35</v>
      </c>
      <c r="Q11" s="254">
        <f t="shared" si="1"/>
        <v>0</v>
      </c>
      <c r="R11" s="80"/>
      <c r="S11" s="39">
        <f t="shared" si="5"/>
        <v>3210.35</v>
      </c>
      <c r="T11" s="39">
        <f>'units overall'!V11-Summary!S11</f>
        <v>66835.107500000115</v>
      </c>
      <c r="U11" s="17"/>
      <c r="V11" s="17"/>
    </row>
    <row r="12" spans="1:22" ht="15">
      <c r="A12" s="44"/>
      <c r="B12" s="58">
        <v>45755</v>
      </c>
      <c r="C12" s="58" t="s">
        <v>193</v>
      </c>
      <c r="D12" s="279">
        <f t="shared" si="0"/>
        <v>68431.062700000111</v>
      </c>
      <c r="E12" s="59">
        <v>297.98</v>
      </c>
      <c r="F12" s="59">
        <v>264.31</v>
      </c>
      <c r="G12" s="59">
        <v>1508</v>
      </c>
      <c r="H12" s="59">
        <v>1297.75</v>
      </c>
      <c r="I12" s="59">
        <v>254</v>
      </c>
      <c r="J12" s="59">
        <v>556</v>
      </c>
      <c r="K12" s="143">
        <f t="shared" si="2"/>
        <v>72609.102700000105</v>
      </c>
      <c r="L12" s="59">
        <v>10</v>
      </c>
      <c r="M12" s="59">
        <v>2</v>
      </c>
      <c r="N12" s="268"/>
      <c r="O12" s="269">
        <f>E12+F12+G12+H12</f>
        <v>3368.04</v>
      </c>
      <c r="P12" s="268"/>
      <c r="Q12" s="268">
        <f t="shared" si="1"/>
        <v>1</v>
      </c>
      <c r="R12" s="17"/>
      <c r="S12" s="39">
        <f t="shared" si="5"/>
        <v>4178.04</v>
      </c>
      <c r="T12" s="39">
        <f>'units overall'!V12-Summary!S12</f>
        <v>68431.062700000111</v>
      </c>
      <c r="U12" s="39"/>
      <c r="V12" s="17"/>
    </row>
    <row r="13" spans="1:22">
      <c r="A13" s="44"/>
      <c r="B13" s="58">
        <v>45756</v>
      </c>
      <c r="C13" s="58" t="s">
        <v>194</v>
      </c>
      <c r="D13" s="279">
        <f t="shared" si="0"/>
        <v>69257.704799999832</v>
      </c>
      <c r="E13" s="59">
        <v>295.55</v>
      </c>
      <c r="F13" s="59">
        <v>258.91000000000003</v>
      </c>
      <c r="G13" s="59">
        <v>1493.75</v>
      </c>
      <c r="H13" s="59">
        <v>1626.25</v>
      </c>
      <c r="I13" s="59">
        <v>0</v>
      </c>
      <c r="J13" s="59">
        <v>0</v>
      </c>
      <c r="K13" s="143">
        <f t="shared" si="2"/>
        <v>72932.164799999839</v>
      </c>
      <c r="L13" s="59">
        <v>0</v>
      </c>
      <c r="M13" s="59">
        <v>0</v>
      </c>
      <c r="N13" s="59"/>
      <c r="O13" s="252">
        <f t="shared" si="6"/>
        <v>3674.46</v>
      </c>
      <c r="P13" s="253">
        <f t="shared" si="4"/>
        <v>3674.46</v>
      </c>
      <c r="Q13" s="254">
        <f t="shared" si="1"/>
        <v>0</v>
      </c>
      <c r="R13" s="17"/>
      <c r="S13" s="39">
        <f t="shared" si="5"/>
        <v>3674.46</v>
      </c>
      <c r="T13" s="39">
        <f>'units overall'!V13-Summary!S13</f>
        <v>69257.704799999832</v>
      </c>
      <c r="U13" s="39"/>
      <c r="V13" s="17"/>
    </row>
    <row r="14" spans="1:22">
      <c r="A14" s="44"/>
      <c r="B14" s="58">
        <v>45757</v>
      </c>
      <c r="C14" s="58" t="s">
        <v>195</v>
      </c>
      <c r="D14" s="279">
        <f t="shared" si="0"/>
        <v>71372.180299999789</v>
      </c>
      <c r="E14" s="59">
        <v>299.33</v>
      </c>
      <c r="F14" s="59">
        <v>253.31</v>
      </c>
      <c r="G14" s="59">
        <v>1299.75</v>
      </c>
      <c r="H14" s="59">
        <v>1611.25</v>
      </c>
      <c r="I14" s="59">
        <v>110.75</v>
      </c>
      <c r="J14" s="59">
        <v>93.44</v>
      </c>
      <c r="K14" s="143">
        <f t="shared" si="2"/>
        <v>75040.010299999791</v>
      </c>
      <c r="L14" s="59">
        <v>10</v>
      </c>
      <c r="M14" s="59">
        <v>2</v>
      </c>
      <c r="N14" s="59"/>
      <c r="O14" s="252">
        <f t="shared" si="6"/>
        <v>3463.64</v>
      </c>
      <c r="P14" s="253">
        <f t="shared" si="4"/>
        <v>3463.64</v>
      </c>
      <c r="Q14" s="254">
        <f>M14/2</f>
        <v>1</v>
      </c>
      <c r="R14" s="17"/>
      <c r="S14" s="39">
        <f t="shared" si="5"/>
        <v>3667.83</v>
      </c>
      <c r="T14" s="39">
        <f>'units overall'!V14-Summary!S14</f>
        <v>71372.180299999789</v>
      </c>
      <c r="U14" s="39"/>
      <c r="V14" s="17"/>
    </row>
    <row r="15" spans="1:22">
      <c r="A15" s="44"/>
      <c r="B15" s="58">
        <v>45758</v>
      </c>
      <c r="C15" s="58" t="s">
        <v>196</v>
      </c>
      <c r="D15" s="279">
        <f t="shared" si="0"/>
        <v>39987.024100000199</v>
      </c>
      <c r="E15" s="59">
        <v>288.58</v>
      </c>
      <c r="F15" s="59">
        <v>248.53</v>
      </c>
      <c r="G15" s="59">
        <v>1445.75</v>
      </c>
      <c r="H15" s="59">
        <v>1484.5</v>
      </c>
      <c r="I15" s="59">
        <v>9766.75</v>
      </c>
      <c r="J15" s="59">
        <v>18265.13</v>
      </c>
      <c r="K15" s="143">
        <f t="shared" si="2"/>
        <v>71486.264100000204</v>
      </c>
      <c r="L15" s="59">
        <v>760</v>
      </c>
      <c r="M15" s="59">
        <v>2</v>
      </c>
      <c r="N15" s="59"/>
      <c r="O15" s="252">
        <f t="shared" si="6"/>
        <v>3467.36</v>
      </c>
      <c r="P15" s="253">
        <f t="shared" si="4"/>
        <v>3467.36</v>
      </c>
      <c r="Q15" s="254">
        <f t="shared" ref="Q15:Q34" si="7">M15/2</f>
        <v>1</v>
      </c>
      <c r="R15" s="17"/>
      <c r="S15" s="39">
        <f>SUM(E15:J15)</f>
        <v>31499.24</v>
      </c>
      <c r="T15" s="39">
        <f>'units overall'!V15-Summary!S15</f>
        <v>39987.024100000199</v>
      </c>
      <c r="U15" s="39"/>
      <c r="V15" s="17"/>
    </row>
    <row r="16" spans="1:22">
      <c r="A16" s="44"/>
      <c r="B16" s="58">
        <v>45759</v>
      </c>
      <c r="C16" s="58" t="s">
        <v>197</v>
      </c>
      <c r="D16" s="279">
        <f t="shared" si="0"/>
        <v>50900.75290000005</v>
      </c>
      <c r="E16" s="59">
        <v>293.89</v>
      </c>
      <c r="F16" s="59">
        <v>246.97</v>
      </c>
      <c r="G16" s="59">
        <v>1471.5</v>
      </c>
      <c r="H16" s="59">
        <v>835.5</v>
      </c>
      <c r="I16" s="59">
        <v>4515.25</v>
      </c>
      <c r="J16" s="59">
        <v>10702.27</v>
      </c>
      <c r="K16" s="143">
        <f t="shared" si="2"/>
        <v>68966.132900000055</v>
      </c>
      <c r="L16" s="59">
        <v>240</v>
      </c>
      <c r="M16" s="59">
        <v>2</v>
      </c>
      <c r="N16" s="59"/>
      <c r="O16" s="252">
        <f t="shared" si="6"/>
        <v>2847.86</v>
      </c>
      <c r="P16" s="255"/>
      <c r="Q16" s="254">
        <f t="shared" si="7"/>
        <v>1</v>
      </c>
      <c r="R16" s="17"/>
      <c r="S16" s="39">
        <f>SUM(E16:J16)</f>
        <v>18065.38</v>
      </c>
      <c r="T16" s="39">
        <f>'units overall'!V16-Summary!S16</f>
        <v>50900.75290000005</v>
      </c>
      <c r="U16" s="39"/>
      <c r="V16" s="17"/>
    </row>
    <row r="17" spans="1:22">
      <c r="A17" s="44"/>
      <c r="B17" s="183">
        <v>45760</v>
      </c>
      <c r="C17" s="183" t="s">
        <v>198</v>
      </c>
      <c r="D17" s="280">
        <f t="shared" si="0"/>
        <v>23202.88559999986</v>
      </c>
      <c r="E17" s="184">
        <v>279.42</v>
      </c>
      <c r="F17" s="184">
        <v>253.41</v>
      </c>
      <c r="G17" s="184">
        <v>1451.25</v>
      </c>
      <c r="H17" s="184">
        <v>1444.75</v>
      </c>
      <c r="I17" s="184">
        <v>398</v>
      </c>
      <c r="J17" s="184">
        <v>884.57999999999993</v>
      </c>
      <c r="K17" s="186">
        <f t="shared" si="2"/>
        <v>27914.295599999859</v>
      </c>
      <c r="L17" s="184">
        <v>60</v>
      </c>
      <c r="M17" s="184">
        <v>4</v>
      </c>
      <c r="N17" s="184"/>
      <c r="O17" s="250">
        <f t="shared" si="6"/>
        <v>3428.83</v>
      </c>
      <c r="P17" s="272"/>
      <c r="Q17" s="271">
        <f t="shared" si="7"/>
        <v>2</v>
      </c>
      <c r="R17" s="17"/>
      <c r="S17" s="39">
        <f t="shared" si="5"/>
        <v>4711.41</v>
      </c>
      <c r="T17" s="39">
        <f>'units overall'!V17-Summary!S17</f>
        <v>23202.88559999986</v>
      </c>
      <c r="U17" s="39"/>
      <c r="V17" s="17"/>
    </row>
    <row r="18" spans="1:22">
      <c r="A18" s="44"/>
      <c r="B18" s="58">
        <v>45761</v>
      </c>
      <c r="C18" s="58" t="s">
        <v>192</v>
      </c>
      <c r="D18" s="279">
        <f t="shared" si="0"/>
        <v>13728.765199999911</v>
      </c>
      <c r="E18" s="59">
        <v>102.4</v>
      </c>
      <c r="F18" s="59">
        <v>230.19</v>
      </c>
      <c r="G18" s="59">
        <v>1034</v>
      </c>
      <c r="H18" s="59">
        <v>1320</v>
      </c>
      <c r="I18" s="59">
        <v>0</v>
      </c>
      <c r="J18" s="59">
        <v>0</v>
      </c>
      <c r="K18" s="143">
        <f t="shared" si="2"/>
        <v>16415.355199999911</v>
      </c>
      <c r="L18" s="59">
        <v>0</v>
      </c>
      <c r="M18" s="59">
        <v>0</v>
      </c>
      <c r="N18" s="59"/>
      <c r="O18" s="252">
        <f t="shared" si="6"/>
        <v>2686.59</v>
      </c>
      <c r="P18" s="255"/>
      <c r="Q18" s="254">
        <f t="shared" si="7"/>
        <v>0</v>
      </c>
      <c r="R18" s="17"/>
      <c r="S18" s="39">
        <f t="shared" si="5"/>
        <v>2686.59</v>
      </c>
      <c r="T18" s="39">
        <f>'units overall'!V18-Summary!S18</f>
        <v>13728.765199999911</v>
      </c>
      <c r="U18" s="39"/>
      <c r="V18" s="17"/>
    </row>
    <row r="19" spans="1:22" ht="15">
      <c r="A19" s="44"/>
      <c r="B19" s="58">
        <v>45762</v>
      </c>
      <c r="C19" s="58" t="s">
        <v>193</v>
      </c>
      <c r="D19" s="279">
        <f t="shared" si="0"/>
        <v>66634.19980000041</v>
      </c>
      <c r="E19" s="59">
        <v>209.41</v>
      </c>
      <c r="F19" s="59">
        <v>225.31</v>
      </c>
      <c r="G19" s="59">
        <v>1210</v>
      </c>
      <c r="H19" s="59">
        <v>1306.75</v>
      </c>
      <c r="I19" s="59">
        <v>0</v>
      </c>
      <c r="J19" s="59">
        <v>0</v>
      </c>
      <c r="K19" s="143">
        <f t="shared" si="2"/>
        <v>69585.669800000411</v>
      </c>
      <c r="L19" s="59">
        <v>0</v>
      </c>
      <c r="M19" s="59">
        <v>0</v>
      </c>
      <c r="N19" s="59"/>
      <c r="O19" s="59">
        <f t="shared" si="6"/>
        <v>2951.4700000000003</v>
      </c>
      <c r="P19" s="59"/>
      <c r="Q19" s="59">
        <f t="shared" si="7"/>
        <v>0</v>
      </c>
      <c r="R19" s="17"/>
      <c r="S19" s="39">
        <f t="shared" si="5"/>
        <v>2951.4700000000003</v>
      </c>
      <c r="T19" s="39">
        <f>'units overall'!V19-Summary!S19</f>
        <v>66634.19980000041</v>
      </c>
      <c r="U19" s="161" t="s">
        <v>178</v>
      </c>
      <c r="V19" s="17"/>
    </row>
    <row r="20" spans="1:22">
      <c r="A20" s="44"/>
      <c r="B20" s="58">
        <v>45763</v>
      </c>
      <c r="C20" s="58" t="s">
        <v>194</v>
      </c>
      <c r="D20" s="279">
        <f t="shared" si="0"/>
        <v>54393.210399999312</v>
      </c>
      <c r="E20" s="59">
        <v>225.02</v>
      </c>
      <c r="F20" s="59">
        <v>213.13</v>
      </c>
      <c r="G20" s="59">
        <v>1139.75</v>
      </c>
      <c r="H20" s="59">
        <v>1217.75</v>
      </c>
      <c r="I20" s="59">
        <v>2903</v>
      </c>
      <c r="J20" s="59">
        <v>8740.7199999999993</v>
      </c>
      <c r="K20" s="143">
        <f t="shared" si="2"/>
        <v>68832.580399999308</v>
      </c>
      <c r="L20" s="59">
        <v>220</v>
      </c>
      <c r="M20" s="59">
        <v>2</v>
      </c>
      <c r="N20" s="284"/>
      <c r="O20" s="252">
        <f t="shared" si="6"/>
        <v>2795.65</v>
      </c>
      <c r="P20" s="255"/>
      <c r="Q20" s="254">
        <f t="shared" si="7"/>
        <v>1</v>
      </c>
      <c r="R20" s="17"/>
      <c r="S20" s="39">
        <f t="shared" si="5"/>
        <v>14439.369999999999</v>
      </c>
      <c r="T20" s="39">
        <f>'units overall'!V20-Summary!S20</f>
        <v>54393.210399999312</v>
      </c>
      <c r="U20" s="162" t="s">
        <v>179</v>
      </c>
      <c r="V20" s="17"/>
    </row>
    <row r="21" spans="1:22">
      <c r="A21" s="44"/>
      <c r="B21" s="58">
        <v>45764</v>
      </c>
      <c r="C21" s="58" t="s">
        <v>195</v>
      </c>
      <c r="D21" s="279">
        <f t="shared" si="0"/>
        <v>69428.62640000011</v>
      </c>
      <c r="E21" s="59">
        <v>287.23</v>
      </c>
      <c r="F21" s="59">
        <v>250.5</v>
      </c>
      <c r="G21" s="59">
        <v>1428</v>
      </c>
      <c r="H21" s="59">
        <v>1555.75</v>
      </c>
      <c r="I21" s="59">
        <v>0</v>
      </c>
      <c r="J21" s="59">
        <v>0</v>
      </c>
      <c r="K21" s="143">
        <f t="shared" si="2"/>
        <v>72950.106400000106</v>
      </c>
      <c r="L21" s="59">
        <v>0</v>
      </c>
      <c r="M21" s="59">
        <v>0</v>
      </c>
      <c r="N21" s="264"/>
      <c r="O21" s="252">
        <f t="shared" si="6"/>
        <v>3521.48</v>
      </c>
      <c r="P21" s="255"/>
      <c r="Q21" s="254">
        <f t="shared" si="7"/>
        <v>0</v>
      </c>
      <c r="R21" s="17"/>
      <c r="S21" s="39">
        <f t="shared" si="5"/>
        <v>3521.48</v>
      </c>
      <c r="T21" s="39">
        <f>'units overall'!V21-Summary!S21</f>
        <v>69428.62640000011</v>
      </c>
      <c r="U21" s="161" t="s">
        <v>180</v>
      </c>
      <c r="V21" s="17"/>
    </row>
    <row r="22" spans="1:22">
      <c r="A22" s="44"/>
      <c r="B22" s="58">
        <v>45765</v>
      </c>
      <c r="C22" s="58" t="s">
        <v>196</v>
      </c>
      <c r="D22" s="279">
        <f t="shared" si="0"/>
        <v>70483.476000000868</v>
      </c>
      <c r="E22" s="59">
        <v>255.81</v>
      </c>
      <c r="F22" s="59">
        <v>232.97</v>
      </c>
      <c r="G22" s="59">
        <v>1290.75</v>
      </c>
      <c r="H22" s="59">
        <v>1375.75</v>
      </c>
      <c r="I22" s="59">
        <v>0</v>
      </c>
      <c r="J22" s="59">
        <v>0</v>
      </c>
      <c r="K22" s="143">
        <f t="shared" si="2"/>
        <v>73638.756000000867</v>
      </c>
      <c r="L22" s="59">
        <v>0</v>
      </c>
      <c r="M22" s="59">
        <v>0</v>
      </c>
      <c r="N22" s="248"/>
      <c r="O22" s="252">
        <f t="shared" si="6"/>
        <v>3155.2799999999997</v>
      </c>
      <c r="P22" s="255"/>
      <c r="Q22" s="254">
        <f t="shared" si="7"/>
        <v>0</v>
      </c>
      <c r="R22" s="17"/>
      <c r="S22" s="39">
        <f t="shared" si="5"/>
        <v>3155.2799999999997</v>
      </c>
      <c r="T22" s="39">
        <f>'units overall'!V22-Summary!S22</f>
        <v>70483.476000000868</v>
      </c>
      <c r="U22" s="39"/>
      <c r="V22" s="17"/>
    </row>
    <row r="23" spans="1:22">
      <c r="A23" s="44"/>
      <c r="B23" s="58">
        <v>45766</v>
      </c>
      <c r="C23" s="58" t="s">
        <v>197</v>
      </c>
      <c r="D23" s="279">
        <f t="shared" si="0"/>
        <v>69004.077999999252</v>
      </c>
      <c r="E23" s="59">
        <v>288</v>
      </c>
      <c r="F23" s="59">
        <v>252.72</v>
      </c>
      <c r="G23" s="59">
        <v>1442.75</v>
      </c>
      <c r="H23" s="59">
        <v>1507.75</v>
      </c>
      <c r="I23" s="59">
        <v>0</v>
      </c>
      <c r="J23" s="59">
        <v>0</v>
      </c>
      <c r="K23" s="143">
        <f t="shared" si="2"/>
        <v>72495.297999999253</v>
      </c>
      <c r="L23" s="59">
        <v>0</v>
      </c>
      <c r="M23" s="59">
        <v>0</v>
      </c>
      <c r="N23" s="275"/>
      <c r="O23" s="252">
        <f t="shared" si="6"/>
        <v>3491.2200000000003</v>
      </c>
      <c r="P23" s="255"/>
      <c r="Q23" s="254">
        <f t="shared" si="7"/>
        <v>0</v>
      </c>
      <c r="R23" s="17"/>
      <c r="S23" s="39">
        <f t="shared" si="5"/>
        <v>3491.2200000000003</v>
      </c>
      <c r="T23" s="39">
        <f>'units overall'!V23-Summary!S23</f>
        <v>69004.077999999252</v>
      </c>
      <c r="U23" s="39"/>
      <c r="V23" s="17"/>
    </row>
    <row r="24" spans="1:22" ht="15.75" customHeight="1">
      <c r="A24" s="44"/>
      <c r="B24" s="183">
        <v>45767</v>
      </c>
      <c r="C24" s="183" t="s">
        <v>198</v>
      </c>
      <c r="D24" s="280">
        <f t="shared" si="0"/>
        <v>35875.342399999914</v>
      </c>
      <c r="E24" s="184">
        <v>291.26</v>
      </c>
      <c r="F24" s="184">
        <v>256.06</v>
      </c>
      <c r="G24" s="184">
        <v>1483.75</v>
      </c>
      <c r="H24" s="184">
        <v>1563.75</v>
      </c>
      <c r="I24" s="184">
        <v>0</v>
      </c>
      <c r="J24" s="184">
        <v>0</v>
      </c>
      <c r="K24" s="186">
        <f t="shared" si="2"/>
        <v>39470.162399999914</v>
      </c>
      <c r="L24" s="184">
        <v>0</v>
      </c>
      <c r="M24" s="184">
        <v>0</v>
      </c>
      <c r="N24" s="184"/>
      <c r="O24" s="250">
        <f t="shared" si="6"/>
        <v>3594.8199999999997</v>
      </c>
      <c r="P24" s="272"/>
      <c r="Q24" s="271">
        <f t="shared" si="7"/>
        <v>0</v>
      </c>
      <c r="R24" s="17"/>
      <c r="S24" s="39">
        <f t="shared" si="5"/>
        <v>3594.8199999999997</v>
      </c>
      <c r="T24" s="39">
        <f>'units overall'!V24-Summary!S24</f>
        <v>35875.342399999914</v>
      </c>
      <c r="U24" s="39"/>
      <c r="V24" s="17"/>
    </row>
    <row r="25" spans="1:22" ht="15.75" customHeight="1">
      <c r="A25" s="44"/>
      <c r="B25" s="58">
        <v>45768</v>
      </c>
      <c r="C25" s="58" t="s">
        <v>192</v>
      </c>
      <c r="D25" s="279">
        <f t="shared" si="0"/>
        <v>72261.340500000704</v>
      </c>
      <c r="E25" s="107">
        <v>264.89999999999998</v>
      </c>
      <c r="F25" s="107">
        <v>233.47</v>
      </c>
      <c r="G25" s="107">
        <v>1345.25</v>
      </c>
      <c r="H25" s="107">
        <v>1436.25</v>
      </c>
      <c r="I25" s="59">
        <v>0</v>
      </c>
      <c r="J25" s="59">
        <v>0</v>
      </c>
      <c r="K25" s="143">
        <f>SUM(D25:J25)</f>
        <v>75541.2105000007</v>
      </c>
      <c r="L25" s="152">
        <v>0</v>
      </c>
      <c r="M25" s="59">
        <v>0</v>
      </c>
      <c r="N25" s="59"/>
      <c r="O25" s="252">
        <f t="shared" si="6"/>
        <v>3279.87</v>
      </c>
      <c r="P25" s="255"/>
      <c r="Q25" s="254">
        <f t="shared" si="7"/>
        <v>0</v>
      </c>
      <c r="R25" s="17"/>
      <c r="S25" s="39">
        <f t="shared" si="5"/>
        <v>3279.87</v>
      </c>
      <c r="T25" s="39">
        <f>'units overall'!V25-Summary!S25</f>
        <v>72261.340500000704</v>
      </c>
      <c r="U25" s="39"/>
      <c r="V25" s="17"/>
    </row>
    <row r="26" spans="1:22" ht="15">
      <c r="A26" s="44"/>
      <c r="B26" s="58">
        <v>45769</v>
      </c>
      <c r="C26" s="58" t="s">
        <v>193</v>
      </c>
      <c r="D26" s="279">
        <f t="shared" si="0"/>
        <v>73931.752499999726</v>
      </c>
      <c r="E26" s="59">
        <v>275.14</v>
      </c>
      <c r="F26" s="59">
        <v>247.31</v>
      </c>
      <c r="G26" s="59">
        <v>1403.75</v>
      </c>
      <c r="H26" s="59">
        <v>1498.25</v>
      </c>
      <c r="I26" s="59">
        <v>0</v>
      </c>
      <c r="J26" s="59">
        <v>0</v>
      </c>
      <c r="K26" s="143">
        <f t="shared" ref="K26:K34" si="8">SUM(D26:J26)</f>
        <v>77356.202499999723</v>
      </c>
      <c r="L26" s="59">
        <v>0</v>
      </c>
      <c r="M26" s="59">
        <v>0</v>
      </c>
      <c r="N26" s="59"/>
      <c r="O26" s="252">
        <f t="shared" si="6"/>
        <v>3424.45</v>
      </c>
      <c r="P26" s="59"/>
      <c r="Q26" s="59">
        <f t="shared" si="7"/>
        <v>0</v>
      </c>
      <c r="R26" s="17"/>
      <c r="S26" s="39">
        <f t="shared" si="5"/>
        <v>3424.45</v>
      </c>
      <c r="T26" s="39">
        <f>'units overall'!V26-Summary!S26</f>
        <v>73931.752499999726</v>
      </c>
      <c r="U26" s="39"/>
      <c r="V26" s="17"/>
    </row>
    <row r="27" spans="1:22">
      <c r="A27" s="44"/>
      <c r="B27" s="58">
        <v>45770</v>
      </c>
      <c r="C27" s="58" t="s">
        <v>194</v>
      </c>
      <c r="D27" s="279">
        <f t="shared" si="0"/>
        <v>74138.468600000051</v>
      </c>
      <c r="E27" s="59">
        <v>306.43</v>
      </c>
      <c r="F27" s="59">
        <v>264</v>
      </c>
      <c r="G27" s="59">
        <v>1563.25</v>
      </c>
      <c r="H27" s="59">
        <v>1654.5</v>
      </c>
      <c r="I27" s="59">
        <v>0</v>
      </c>
      <c r="J27" s="59">
        <v>0</v>
      </c>
      <c r="K27" s="143">
        <f t="shared" si="8"/>
        <v>77926.648600000044</v>
      </c>
      <c r="L27" s="59">
        <v>0</v>
      </c>
      <c r="M27" s="59">
        <v>0</v>
      </c>
      <c r="N27" s="59"/>
      <c r="O27" s="252">
        <f t="shared" si="6"/>
        <v>3788.1800000000003</v>
      </c>
      <c r="P27" s="255"/>
      <c r="Q27" s="254">
        <f t="shared" si="7"/>
        <v>0</v>
      </c>
      <c r="R27" s="17"/>
      <c r="S27" s="39">
        <f t="shared" si="5"/>
        <v>3788.1800000000003</v>
      </c>
      <c r="T27" s="39">
        <f>'units overall'!V27-Summary!S27</f>
        <v>74138.468600000051</v>
      </c>
      <c r="U27" s="39"/>
      <c r="V27" s="17"/>
    </row>
    <row r="28" spans="1:22">
      <c r="A28" s="44"/>
      <c r="B28" s="58">
        <v>45771</v>
      </c>
      <c r="C28" s="58" t="s">
        <v>195</v>
      </c>
      <c r="D28" s="279">
        <f t="shared" si="0"/>
        <v>75844.448599999727</v>
      </c>
      <c r="E28" s="59">
        <v>307.45999999999998</v>
      </c>
      <c r="F28" s="59">
        <v>257.31</v>
      </c>
      <c r="G28" s="59">
        <v>1557</v>
      </c>
      <c r="H28" s="59">
        <v>1633</v>
      </c>
      <c r="I28" s="59">
        <v>0</v>
      </c>
      <c r="J28" s="59">
        <v>0</v>
      </c>
      <c r="K28" s="143">
        <f t="shared" si="8"/>
        <v>79599.218599999731</v>
      </c>
      <c r="L28" s="59">
        <v>0</v>
      </c>
      <c r="M28" s="59">
        <v>0</v>
      </c>
      <c r="N28" s="59"/>
      <c r="O28" s="252">
        <f t="shared" si="6"/>
        <v>3754.77</v>
      </c>
      <c r="P28" s="255"/>
      <c r="Q28" s="254">
        <f t="shared" si="7"/>
        <v>0</v>
      </c>
      <c r="R28" s="17"/>
      <c r="S28" s="39">
        <f t="shared" si="5"/>
        <v>3754.77</v>
      </c>
      <c r="T28" s="39">
        <f>'units overall'!V28-Summary!S28</f>
        <v>75844.448599999727</v>
      </c>
      <c r="U28" s="39"/>
      <c r="V28" s="17"/>
    </row>
    <row r="29" spans="1:22">
      <c r="A29" s="44"/>
      <c r="B29" s="58">
        <v>45772</v>
      </c>
      <c r="C29" s="58" t="s">
        <v>196</v>
      </c>
      <c r="D29" s="279">
        <f t="shared" si="0"/>
        <v>71528.021400000536</v>
      </c>
      <c r="E29" s="59">
        <v>284.29000000000002</v>
      </c>
      <c r="F29" s="59">
        <v>247.19</v>
      </c>
      <c r="G29" s="59">
        <v>1433.25</v>
      </c>
      <c r="H29" s="59">
        <v>1511.75</v>
      </c>
      <c r="I29" s="59">
        <v>669</v>
      </c>
      <c r="J29" s="59">
        <v>2317</v>
      </c>
      <c r="K29" s="143">
        <f t="shared" si="8"/>
        <v>77990.501400000532</v>
      </c>
      <c r="L29" s="59">
        <v>35</v>
      </c>
      <c r="M29" s="59">
        <v>2</v>
      </c>
      <c r="N29" s="152"/>
      <c r="O29" s="252">
        <f t="shared" si="6"/>
        <v>3476.48</v>
      </c>
      <c r="P29" s="255"/>
      <c r="Q29" s="254">
        <f t="shared" si="7"/>
        <v>1</v>
      </c>
      <c r="R29" s="17"/>
      <c r="S29" s="39">
        <f t="shared" si="5"/>
        <v>6462.48</v>
      </c>
      <c r="T29" s="39">
        <f>'units overall'!V29-Summary!S29</f>
        <v>71528.021400000536</v>
      </c>
      <c r="U29" s="39"/>
      <c r="V29" s="17"/>
    </row>
    <row r="30" spans="1:22">
      <c r="A30" s="44"/>
      <c r="B30" s="58">
        <v>45773</v>
      </c>
      <c r="C30" s="58" t="s">
        <v>197</v>
      </c>
      <c r="D30" s="279">
        <f t="shared" si="0"/>
        <v>69049.51979999934</v>
      </c>
      <c r="E30" s="59">
        <v>289.14999999999998</v>
      </c>
      <c r="F30" s="59">
        <v>237.22</v>
      </c>
      <c r="G30" s="59">
        <v>1371.25</v>
      </c>
      <c r="H30" s="59">
        <v>1493.25</v>
      </c>
      <c r="I30" s="59">
        <v>0</v>
      </c>
      <c r="J30" s="59">
        <v>1038.0899999999999</v>
      </c>
      <c r="K30" s="143">
        <f t="shared" si="8"/>
        <v>73478.479799999332</v>
      </c>
      <c r="L30" s="59">
        <v>0</v>
      </c>
      <c r="M30" s="59">
        <v>0</v>
      </c>
      <c r="N30" s="59"/>
      <c r="O30" s="252">
        <f t="shared" si="6"/>
        <v>3390.87</v>
      </c>
      <c r="P30" s="255"/>
      <c r="Q30" s="254">
        <f t="shared" si="7"/>
        <v>0</v>
      </c>
      <c r="R30" s="17"/>
      <c r="S30" s="39">
        <f t="shared" si="5"/>
        <v>4428.96</v>
      </c>
      <c r="T30" s="39">
        <f>'units overall'!V30-Summary!S30</f>
        <v>69049.51979999934</v>
      </c>
      <c r="U30" s="39">
        <f>53*5</f>
        <v>265</v>
      </c>
      <c r="V30" s="17"/>
    </row>
    <row r="31" spans="1:22">
      <c r="A31" s="44"/>
      <c r="B31" s="183">
        <v>45774</v>
      </c>
      <c r="C31" s="183" t="s">
        <v>198</v>
      </c>
      <c r="D31" s="280">
        <f t="shared" si="0"/>
        <v>18311.620699999989</v>
      </c>
      <c r="E31" s="184">
        <v>238.02</v>
      </c>
      <c r="F31" s="184">
        <v>191.56</v>
      </c>
      <c r="G31" s="184">
        <v>1199.75</v>
      </c>
      <c r="H31" s="184">
        <v>1224.5</v>
      </c>
      <c r="I31" s="184">
        <v>6504</v>
      </c>
      <c r="J31" s="184">
        <v>4070.69</v>
      </c>
      <c r="K31" s="186">
        <f t="shared" si="8"/>
        <v>31740.140699999989</v>
      </c>
      <c r="L31" s="184">
        <v>530</v>
      </c>
      <c r="M31" s="184">
        <v>2</v>
      </c>
      <c r="N31" s="184"/>
      <c r="O31" s="250">
        <f t="shared" si="6"/>
        <v>2853.83</v>
      </c>
      <c r="P31" s="272"/>
      <c r="Q31" s="271">
        <f t="shared" si="7"/>
        <v>1</v>
      </c>
      <c r="R31" s="17"/>
      <c r="S31" s="39">
        <f t="shared" si="5"/>
        <v>13428.52</v>
      </c>
      <c r="T31" s="39">
        <f>'units overall'!V31-Summary!S31</f>
        <v>18311.620699999989</v>
      </c>
      <c r="U31" s="39"/>
      <c r="V31" s="17"/>
    </row>
    <row r="32" spans="1:22">
      <c r="A32" s="44"/>
      <c r="B32" s="58">
        <v>45775</v>
      </c>
      <c r="C32" s="58" t="s">
        <v>192</v>
      </c>
      <c r="D32" s="279">
        <f t="shared" si="0"/>
        <v>71441.734400000365</v>
      </c>
      <c r="E32" s="59">
        <v>263.17</v>
      </c>
      <c r="F32" s="59">
        <v>241.94</v>
      </c>
      <c r="G32" s="59">
        <v>1373.5</v>
      </c>
      <c r="H32" s="59">
        <v>1372.25</v>
      </c>
      <c r="I32" s="59">
        <v>0</v>
      </c>
      <c r="J32" s="59">
        <v>0</v>
      </c>
      <c r="K32" s="143">
        <f t="shared" si="8"/>
        <v>74692.594400000366</v>
      </c>
      <c r="L32" s="152">
        <v>0</v>
      </c>
      <c r="M32" s="59">
        <v>0</v>
      </c>
      <c r="N32" s="59"/>
      <c r="O32" s="252">
        <f t="shared" si="6"/>
        <v>3250.86</v>
      </c>
      <c r="P32" s="255"/>
      <c r="Q32" s="254">
        <f t="shared" si="7"/>
        <v>0</v>
      </c>
      <c r="R32" s="17"/>
      <c r="S32" s="39">
        <f t="shared" si="5"/>
        <v>3250.86</v>
      </c>
      <c r="T32" s="39">
        <f>'units overall'!V32-Summary!S32</f>
        <v>71441.734400000365</v>
      </c>
      <c r="U32" s="39"/>
      <c r="V32" s="17"/>
    </row>
    <row r="33" spans="1:22" ht="15">
      <c r="A33" s="44"/>
      <c r="B33" s="58">
        <v>45776</v>
      </c>
      <c r="C33" s="58" t="s">
        <v>193</v>
      </c>
      <c r="D33" s="279">
        <f t="shared" si="0"/>
        <v>73596.770300000018</v>
      </c>
      <c r="E33" s="59">
        <v>284.35000000000002</v>
      </c>
      <c r="F33" s="59">
        <v>238.63</v>
      </c>
      <c r="G33" s="59">
        <v>1474.25</v>
      </c>
      <c r="H33" s="59">
        <v>1504</v>
      </c>
      <c r="I33" s="59">
        <v>0</v>
      </c>
      <c r="J33" s="59">
        <v>0</v>
      </c>
      <c r="K33" s="143">
        <f t="shared" si="8"/>
        <v>77098.000300000029</v>
      </c>
      <c r="L33" s="59">
        <v>0</v>
      </c>
      <c r="M33" s="59">
        <v>0</v>
      </c>
      <c r="N33" s="59"/>
      <c r="O33" s="252">
        <f t="shared" si="6"/>
        <v>3501.23</v>
      </c>
      <c r="P33" s="59"/>
      <c r="Q33" s="59">
        <f t="shared" si="7"/>
        <v>0</v>
      </c>
      <c r="R33" s="17"/>
      <c r="S33" s="39">
        <f t="shared" ref="S33:S35" si="9">SUM(E33:J33)</f>
        <v>3501.23</v>
      </c>
      <c r="T33" s="39">
        <f>'units overall'!V33-Summary!S33</f>
        <v>73596.770300000018</v>
      </c>
      <c r="U33" s="39"/>
      <c r="V33" s="17"/>
    </row>
    <row r="34" spans="1:22" ht="15">
      <c r="A34" s="44"/>
      <c r="B34" s="58">
        <v>45777</v>
      </c>
      <c r="C34" s="58" t="s">
        <v>194</v>
      </c>
      <c r="D34" s="279">
        <f t="shared" si="0"/>
        <v>68689.35919999957</v>
      </c>
      <c r="E34" s="59">
        <v>297.54000000000002</v>
      </c>
      <c r="F34" s="59">
        <v>253.75</v>
      </c>
      <c r="G34" s="59">
        <v>1502</v>
      </c>
      <c r="H34" s="59">
        <v>1539.75</v>
      </c>
      <c r="I34" s="59">
        <v>45</v>
      </c>
      <c r="J34" s="59">
        <v>13</v>
      </c>
      <c r="K34" s="143">
        <f t="shared" si="8"/>
        <v>72340.399199999563</v>
      </c>
      <c r="L34" s="59">
        <v>10</v>
      </c>
      <c r="M34" s="59">
        <v>2</v>
      </c>
      <c r="N34" s="59"/>
      <c r="O34" s="252">
        <f t="shared" si="6"/>
        <v>3593.04</v>
      </c>
      <c r="P34" s="252">
        <f t="shared" si="6"/>
        <v>3340.5</v>
      </c>
      <c r="Q34" s="254">
        <f t="shared" si="7"/>
        <v>1</v>
      </c>
      <c r="R34" s="17"/>
      <c r="S34" s="39">
        <f t="shared" si="9"/>
        <v>3651.04</v>
      </c>
      <c r="T34" s="39">
        <f>'units overall'!V34-Summary!S34</f>
        <v>68689.35919999957</v>
      </c>
      <c r="U34" s="39"/>
      <c r="V34" s="17"/>
    </row>
    <row r="35" spans="1:22" ht="15">
      <c r="A35" s="44"/>
      <c r="B35" s="58"/>
      <c r="C35" s="58"/>
      <c r="D35" s="279">
        <f t="shared" si="0"/>
        <v>0</v>
      </c>
      <c r="E35" s="59"/>
      <c r="F35" s="59"/>
      <c r="G35" s="59"/>
      <c r="H35" s="59"/>
      <c r="I35" s="59"/>
      <c r="J35" s="59"/>
      <c r="K35" s="143">
        <f t="shared" ref="K35" si="10">SUM(D35:J35)</f>
        <v>0</v>
      </c>
      <c r="L35" s="59"/>
      <c r="M35" s="59"/>
      <c r="N35" s="59"/>
      <c r="O35" s="252">
        <f t="shared" ref="O35" si="11">E35+F35+G35+H35</f>
        <v>0</v>
      </c>
      <c r="P35" s="252">
        <f t="shared" ref="P35" si="12">F35+G35+H35+I35</f>
        <v>0</v>
      </c>
      <c r="Q35" s="254">
        <f t="shared" ref="Q35" si="13">M35/2</f>
        <v>0</v>
      </c>
      <c r="R35" s="17"/>
      <c r="S35" s="39">
        <f t="shared" si="9"/>
        <v>0</v>
      </c>
      <c r="T35" s="39">
        <f>'units overall'!V35-Summary!S35</f>
        <v>0</v>
      </c>
      <c r="U35" s="39"/>
      <c r="V35" s="17"/>
    </row>
    <row r="36" spans="1:22" ht="24" customHeight="1">
      <c r="A36" s="44"/>
      <c r="B36" s="111" t="s">
        <v>7</v>
      </c>
      <c r="C36" s="111"/>
      <c r="D36" s="112">
        <f>SUM(D5:D35)</f>
        <v>1779244.6196999997</v>
      </c>
      <c r="E36" s="112">
        <f>SUM(E5:E35)</f>
        <v>7979.2000000000016</v>
      </c>
      <c r="F36" s="112">
        <f>SUM(F5:F35)</f>
        <v>7211.3500000000013</v>
      </c>
      <c r="G36" s="112">
        <f t="shared" ref="G36:J36" si="14">SUM(G5:G35)</f>
        <v>39606</v>
      </c>
      <c r="H36" s="112">
        <f t="shared" si="14"/>
        <v>40767.25</v>
      </c>
      <c r="I36" s="112">
        <f t="shared" si="14"/>
        <v>25165.75</v>
      </c>
      <c r="J36" s="112">
        <f t="shared" si="14"/>
        <v>46680.92</v>
      </c>
      <c r="K36" s="144">
        <f>SUM(K5:K35)</f>
        <v>1946655.0897000001</v>
      </c>
      <c r="L36" s="112">
        <f>SUM(L5:L35)</f>
        <v>1875</v>
      </c>
      <c r="M36" s="112">
        <f>SUM(M5:M35)</f>
        <v>20</v>
      </c>
      <c r="N36" s="112"/>
      <c r="O36" s="144">
        <f>SUM(O5:O35)</f>
        <v>95563.799999999988</v>
      </c>
      <c r="P36" s="144">
        <f t="shared" ref="P36:Q36" si="15">SUM(P5:P35)</f>
        <v>32749.48</v>
      </c>
      <c r="Q36" s="144">
        <f t="shared" si="15"/>
        <v>10</v>
      </c>
      <c r="R36" s="17"/>
      <c r="S36" s="17"/>
      <c r="T36" s="44"/>
      <c r="U36" s="44"/>
    </row>
    <row r="37" spans="1:22" ht="16.5" thickBot="1">
      <c r="A37" s="44"/>
      <c r="E37" s="17"/>
      <c r="F37" s="17"/>
      <c r="G37" s="17"/>
      <c r="H37" s="17"/>
      <c r="J37" s="17"/>
      <c r="L37"/>
      <c r="O37" s="44"/>
      <c r="R37" s="17"/>
      <c r="S37" s="17"/>
      <c r="T37" s="44"/>
      <c r="U37" s="44"/>
    </row>
    <row r="38" spans="1:22" ht="16.5" thickBot="1">
      <c r="A38" s="44"/>
      <c r="D38" s="151"/>
      <c r="E38" s="113" t="s">
        <v>60</v>
      </c>
      <c r="F38" s="17"/>
      <c r="G38" s="17"/>
      <c r="H38" s="17"/>
      <c r="J38" s="44">
        <f>I36+J36</f>
        <v>71846.67</v>
      </c>
      <c r="K38" s="44">
        <f>787318-784635</f>
        <v>2683</v>
      </c>
      <c r="L38"/>
      <c r="O38" s="44"/>
      <c r="R38" s="17"/>
      <c r="S38" s="17"/>
      <c r="T38" s="44"/>
      <c r="U38" s="44"/>
    </row>
    <row r="39" spans="1:22">
      <c r="A39" s="44"/>
      <c r="E39" s="17"/>
      <c r="F39" s="17"/>
      <c r="G39" s="17"/>
      <c r="H39" s="17"/>
      <c r="J39" s="44">
        <f>J38*0.1</f>
        <v>7184.6670000000004</v>
      </c>
      <c r="L39"/>
      <c r="O39" s="44"/>
      <c r="T39" s="44"/>
      <c r="U39" s="44"/>
    </row>
    <row r="40" spans="1:22">
      <c r="A40" s="44"/>
      <c r="F40" s="17"/>
      <c r="L40"/>
      <c r="O40" s="44"/>
      <c r="T40" s="44"/>
      <c r="U40" s="44"/>
    </row>
    <row r="41" spans="1:22">
      <c r="A41" s="44"/>
      <c r="F41" s="17"/>
      <c r="L41"/>
      <c r="O41" s="44"/>
      <c r="T41" s="44"/>
    </row>
    <row r="42" spans="1:22">
      <c r="A42" s="44"/>
      <c r="F42" s="17"/>
      <c r="O42" s="44"/>
    </row>
    <row r="43" spans="1:22">
      <c r="A43" s="44"/>
      <c r="D43" s="172"/>
      <c r="E43" s="172"/>
      <c r="F43" s="172"/>
      <c r="G43" s="172"/>
      <c r="H43" s="172"/>
      <c r="I43" s="172"/>
      <c r="J43" s="172"/>
      <c r="O43" s="44"/>
      <c r="T43" s="44"/>
    </row>
    <row r="44" spans="1:22">
      <c r="O44" s="44"/>
    </row>
    <row r="45" spans="1:22">
      <c r="L45" s="39"/>
      <c r="O45" s="11"/>
    </row>
    <row r="46" spans="1:22">
      <c r="O46" s="11"/>
    </row>
    <row r="47" spans="1:22">
      <c r="D47">
        <f>242369/K36</f>
        <v>0.12450536373002348</v>
      </c>
      <c r="K47" s="38">
        <f>393951/K36</f>
        <v>0.20237329256962103</v>
      </c>
      <c r="O47" s="11"/>
    </row>
    <row r="48" spans="1:22">
      <c r="D48">
        <f>393951/K36</f>
        <v>0.20237329256962103</v>
      </c>
      <c r="O48" s="11"/>
    </row>
    <row r="49" spans="10:15">
      <c r="O49" s="11"/>
    </row>
    <row r="50" spans="10:15">
      <c r="O50" s="60"/>
    </row>
    <row r="62" spans="10:15">
      <c r="K62" s="61"/>
      <c r="L62" s="61"/>
      <c r="M62" s="289"/>
      <c r="N62" s="289"/>
    </row>
    <row r="63" spans="10:15">
      <c r="J63" s="62"/>
      <c r="K63" s="17"/>
      <c r="M63" s="290"/>
      <c r="N63" s="290"/>
    </row>
    <row r="64" spans="10:15">
      <c r="J64" s="62"/>
      <c r="K64" s="17"/>
      <c r="M64" s="290"/>
      <c r="N64" s="290"/>
    </row>
    <row r="67" ht="60" customHeight="1"/>
    <row r="494" spans="8:11">
      <c r="H494" s="78"/>
      <c r="I494" s="78"/>
    </row>
    <row r="495" spans="8:11">
      <c r="K495" s="44"/>
    </row>
    <row r="496" spans="8:11">
      <c r="K496" s="44"/>
    </row>
    <row r="497" spans="10:11">
      <c r="K497" s="44"/>
    </row>
    <row r="498" spans="10:11">
      <c r="K498" s="44"/>
    </row>
    <row r="500" spans="10:11">
      <c r="J500" s="44"/>
    </row>
  </sheetData>
  <mergeCells count="4">
    <mergeCell ref="M62:N62"/>
    <mergeCell ref="M63:N63"/>
    <mergeCell ref="M64:N64"/>
    <mergeCell ref="B3:Q3"/>
  </mergeCells>
  <phoneticPr fontId="91" type="noConversion"/>
  <pageMargins left="0.75" right="0.75" top="1" bottom="1" header="0.5" footer="0.5"/>
  <pageSetup paperSize="9" scale="8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CFFFF"/>
    <pageSetUpPr fitToPage="1"/>
  </sheetPr>
  <dimension ref="A2:MDW94"/>
  <sheetViews>
    <sheetView tabSelected="1" zoomScale="60" zoomScaleNormal="60" workbookViewId="0">
      <pane ySplit="2" topLeftCell="A3" activePane="bottomLeft" state="frozen"/>
      <selection pane="bottomLeft" activeCell="S47" sqref="S47"/>
    </sheetView>
  </sheetViews>
  <sheetFormatPr defaultRowHeight="23.25"/>
  <cols>
    <col min="1" max="1" width="9.140625" style="49"/>
    <col min="2" max="2" width="16.42578125" style="49" customWidth="1"/>
    <col min="3" max="3" width="14.28515625" style="49" customWidth="1"/>
    <col min="4" max="4" width="17.42578125" style="49" customWidth="1"/>
    <col min="5" max="5" width="20.85546875" style="49" bestFit="1" customWidth="1"/>
    <col min="6" max="6" width="15.85546875" style="49" customWidth="1"/>
    <col min="7" max="7" width="20.85546875" style="49" bestFit="1" customWidth="1"/>
    <col min="8" max="8" width="25.28515625" style="49" bestFit="1" customWidth="1"/>
    <col min="9" max="9" width="22.7109375" style="49" customWidth="1"/>
    <col min="10" max="10" width="20.28515625" style="49" bestFit="1" customWidth="1"/>
    <col min="11" max="11" width="19.85546875" style="49" customWidth="1"/>
    <col min="12" max="12" width="14.5703125" style="49" bestFit="1" customWidth="1"/>
    <col min="13" max="13" width="14" style="49" bestFit="1" customWidth="1"/>
    <col min="14" max="14" width="11" style="49" bestFit="1" customWidth="1"/>
    <col min="15" max="15" width="12.7109375" style="49" bestFit="1" customWidth="1"/>
    <col min="16" max="16" width="18" style="50" bestFit="1" customWidth="1"/>
    <col min="17" max="17" width="15.42578125" style="50" bestFit="1" customWidth="1"/>
    <col min="18" max="18" width="21.28515625" style="50" bestFit="1" customWidth="1"/>
    <col min="19" max="19" width="10.85546875" style="50" bestFit="1" customWidth="1"/>
    <col min="20" max="20" width="18" style="50" bestFit="1" customWidth="1"/>
    <col min="21" max="21" width="13.7109375" style="50" customWidth="1"/>
    <col min="22" max="22" width="39.28515625" style="50" bestFit="1" customWidth="1"/>
    <col min="23" max="23" width="235" style="51" hidden="1" customWidth="1"/>
    <col min="24" max="24" width="23.85546875" style="49" customWidth="1"/>
    <col min="25" max="25" width="9.140625" style="49" customWidth="1"/>
    <col min="26" max="26" width="20.5703125" style="49" customWidth="1"/>
    <col min="27" max="16384" width="9.140625" style="49"/>
  </cols>
  <sheetData>
    <row r="2" spans="1:8915"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8915" s="46" customFormat="1" ht="35.25" customHeight="1">
      <c r="B3" s="294" t="s">
        <v>128</v>
      </c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6"/>
      <c r="W3" s="56"/>
      <c r="X3" s="238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39"/>
      <c r="BE3" s="239"/>
      <c r="BF3" s="239"/>
      <c r="BG3" s="239"/>
      <c r="BH3" s="239"/>
      <c r="BI3" s="239"/>
      <c r="BJ3" s="239"/>
      <c r="BK3" s="239"/>
      <c r="BL3" s="239"/>
      <c r="BM3" s="239"/>
      <c r="BN3" s="239"/>
      <c r="BO3" s="239"/>
      <c r="BP3" s="239"/>
      <c r="BQ3" s="239"/>
      <c r="BR3" s="239"/>
      <c r="BS3" s="239"/>
      <c r="BT3" s="239"/>
      <c r="BU3" s="239"/>
      <c r="BV3" s="239"/>
      <c r="BW3" s="239"/>
      <c r="BX3" s="239"/>
      <c r="BY3" s="239"/>
      <c r="BZ3" s="239"/>
      <c r="CA3" s="239"/>
      <c r="CB3" s="239"/>
      <c r="CC3" s="239"/>
      <c r="CD3" s="239"/>
      <c r="CE3" s="239"/>
      <c r="CF3" s="239"/>
      <c r="CG3" s="239"/>
      <c r="CH3" s="239"/>
      <c r="CI3" s="239"/>
      <c r="CJ3" s="239"/>
      <c r="CK3" s="239"/>
      <c r="CL3" s="239"/>
      <c r="CM3" s="239"/>
      <c r="CN3" s="239"/>
      <c r="CO3" s="239"/>
      <c r="CP3" s="239"/>
      <c r="CQ3" s="239"/>
      <c r="CR3" s="239"/>
      <c r="CS3" s="239"/>
      <c r="CT3" s="239"/>
      <c r="CU3" s="239"/>
      <c r="CV3" s="239"/>
      <c r="CW3" s="239"/>
      <c r="CX3" s="239"/>
      <c r="CY3" s="239"/>
      <c r="CZ3" s="239"/>
      <c r="DA3" s="239"/>
      <c r="DB3" s="239"/>
      <c r="DC3" s="239"/>
      <c r="DD3" s="239"/>
      <c r="DE3" s="239"/>
      <c r="DF3" s="239"/>
      <c r="DG3" s="239"/>
      <c r="DH3" s="239"/>
      <c r="DI3" s="239"/>
      <c r="DJ3" s="239"/>
      <c r="DK3" s="239"/>
      <c r="DL3" s="239"/>
      <c r="DM3" s="239"/>
      <c r="DN3" s="239"/>
      <c r="DO3" s="239"/>
      <c r="DP3" s="239"/>
      <c r="DQ3" s="239"/>
      <c r="DR3" s="239"/>
      <c r="DS3" s="239"/>
      <c r="DT3" s="239"/>
      <c r="DU3" s="239"/>
      <c r="DV3" s="239"/>
      <c r="DW3" s="239"/>
      <c r="DX3" s="239"/>
      <c r="DY3" s="239"/>
      <c r="DZ3" s="239"/>
      <c r="EA3" s="239"/>
      <c r="EB3" s="239"/>
      <c r="EC3" s="239"/>
      <c r="ED3" s="239"/>
      <c r="EE3" s="239"/>
      <c r="EF3" s="239"/>
      <c r="EG3" s="239"/>
      <c r="EH3" s="239"/>
      <c r="EI3" s="239"/>
      <c r="EJ3" s="239"/>
      <c r="EK3" s="239"/>
      <c r="EL3" s="239"/>
      <c r="EM3" s="239"/>
      <c r="EN3" s="239"/>
      <c r="EO3" s="239"/>
      <c r="EP3" s="239"/>
      <c r="EQ3" s="239"/>
      <c r="ER3" s="239"/>
      <c r="ES3" s="239"/>
      <c r="ET3" s="239"/>
      <c r="EU3" s="239"/>
      <c r="EV3" s="239"/>
      <c r="EW3" s="239"/>
      <c r="EX3" s="239"/>
      <c r="EY3" s="239"/>
      <c r="EZ3" s="239"/>
      <c r="FA3" s="239"/>
      <c r="FB3" s="239"/>
      <c r="FC3" s="239"/>
      <c r="FD3" s="239"/>
      <c r="FE3" s="239"/>
      <c r="FF3" s="239"/>
      <c r="FG3" s="239"/>
      <c r="FH3" s="239"/>
      <c r="FI3" s="239"/>
      <c r="FJ3" s="239"/>
      <c r="FK3" s="239"/>
      <c r="FL3" s="239"/>
      <c r="FM3" s="239"/>
      <c r="FN3" s="239"/>
      <c r="FO3" s="239"/>
      <c r="FP3" s="239"/>
      <c r="FQ3" s="239"/>
      <c r="FR3" s="239"/>
      <c r="FS3" s="239"/>
      <c r="FT3" s="239"/>
      <c r="FU3" s="239"/>
      <c r="FV3" s="239"/>
      <c r="FW3" s="239"/>
      <c r="FX3" s="239"/>
      <c r="FY3" s="239"/>
      <c r="FZ3" s="239"/>
      <c r="GA3" s="239"/>
      <c r="GB3" s="239"/>
      <c r="GC3" s="239"/>
      <c r="GD3" s="239"/>
      <c r="GE3" s="239"/>
      <c r="GF3" s="239"/>
      <c r="GG3" s="239"/>
      <c r="GH3" s="239"/>
      <c r="GI3" s="239"/>
      <c r="GJ3" s="239"/>
      <c r="GK3" s="239"/>
      <c r="GL3" s="239"/>
      <c r="GM3" s="239"/>
      <c r="GN3" s="239"/>
      <c r="GO3" s="239"/>
      <c r="GP3" s="239"/>
      <c r="GQ3" s="239"/>
      <c r="GR3" s="239"/>
      <c r="GS3" s="239"/>
      <c r="GT3" s="239"/>
      <c r="GU3" s="239"/>
      <c r="GV3" s="239"/>
      <c r="GW3" s="239"/>
      <c r="GX3" s="239"/>
      <c r="GY3" s="239"/>
      <c r="GZ3" s="239"/>
      <c r="HA3" s="239"/>
      <c r="HB3" s="239"/>
      <c r="HC3" s="239"/>
      <c r="HD3" s="239"/>
      <c r="HE3" s="239"/>
      <c r="HF3" s="239"/>
      <c r="HG3" s="239"/>
      <c r="HH3" s="239"/>
      <c r="HI3" s="239"/>
      <c r="HJ3" s="239"/>
      <c r="HK3" s="239"/>
      <c r="HL3" s="239"/>
      <c r="HM3" s="239"/>
      <c r="HN3" s="239"/>
      <c r="HO3" s="239"/>
      <c r="HP3" s="239"/>
      <c r="HQ3" s="239"/>
      <c r="HR3" s="239"/>
      <c r="HS3" s="239"/>
      <c r="HT3" s="239"/>
      <c r="HU3" s="239"/>
      <c r="HV3" s="239"/>
      <c r="HW3" s="239"/>
      <c r="HX3" s="239"/>
      <c r="HY3" s="239"/>
      <c r="HZ3" s="239"/>
      <c r="IA3" s="239"/>
      <c r="IB3" s="239"/>
      <c r="IC3" s="239"/>
      <c r="ID3" s="239"/>
      <c r="IE3" s="239"/>
      <c r="IF3" s="239"/>
      <c r="IG3" s="239"/>
      <c r="IH3" s="239"/>
      <c r="II3" s="239"/>
      <c r="IJ3" s="239"/>
      <c r="IK3" s="239"/>
      <c r="IL3" s="239"/>
      <c r="IM3" s="239"/>
      <c r="IN3" s="239"/>
      <c r="IO3" s="239"/>
      <c r="IP3" s="239"/>
      <c r="IQ3" s="239"/>
      <c r="IR3" s="239"/>
      <c r="IS3" s="239"/>
      <c r="IT3" s="239"/>
      <c r="IU3" s="239"/>
      <c r="IV3" s="239"/>
      <c r="IW3" s="239"/>
      <c r="IX3" s="239"/>
      <c r="IY3" s="239"/>
      <c r="IZ3" s="239"/>
      <c r="JA3" s="239"/>
      <c r="JB3" s="239"/>
      <c r="JC3" s="239"/>
      <c r="JD3" s="239"/>
      <c r="JE3" s="239"/>
      <c r="JF3" s="239"/>
      <c r="JG3" s="239"/>
      <c r="JH3" s="239"/>
      <c r="JI3" s="239"/>
      <c r="JJ3" s="239"/>
      <c r="JK3" s="239"/>
      <c r="JL3" s="239"/>
      <c r="JM3" s="239"/>
      <c r="JN3" s="239"/>
      <c r="JO3" s="239"/>
      <c r="JP3" s="239"/>
      <c r="JQ3" s="239"/>
      <c r="JR3" s="239"/>
      <c r="JS3" s="239"/>
      <c r="JT3" s="239"/>
      <c r="JU3" s="239"/>
      <c r="JV3" s="239"/>
      <c r="JW3" s="239"/>
      <c r="JX3" s="239"/>
      <c r="JY3" s="239"/>
      <c r="JZ3" s="239"/>
      <c r="KA3" s="239"/>
      <c r="KB3" s="239"/>
      <c r="KC3" s="239"/>
      <c r="KD3" s="239"/>
      <c r="KE3" s="239"/>
      <c r="KF3" s="239"/>
      <c r="KG3" s="239"/>
      <c r="KH3" s="239"/>
      <c r="KI3" s="239"/>
      <c r="KJ3" s="239"/>
      <c r="KK3" s="239"/>
      <c r="KL3" s="239"/>
      <c r="KM3" s="239"/>
      <c r="KN3" s="239"/>
      <c r="KO3" s="239"/>
      <c r="KP3" s="239"/>
      <c r="KQ3" s="239"/>
      <c r="KR3" s="239"/>
      <c r="KS3" s="239"/>
      <c r="KT3" s="239"/>
      <c r="KU3" s="239"/>
      <c r="KV3" s="239"/>
      <c r="KW3" s="239"/>
      <c r="KX3" s="239"/>
      <c r="KY3" s="239"/>
      <c r="KZ3" s="239"/>
      <c r="LA3" s="239"/>
      <c r="LB3" s="239"/>
      <c r="LC3" s="239"/>
      <c r="LD3" s="239"/>
      <c r="LE3" s="239"/>
      <c r="LF3" s="239"/>
      <c r="LG3" s="239"/>
      <c r="LH3" s="239"/>
      <c r="LI3" s="239"/>
      <c r="LJ3" s="239"/>
      <c r="LK3" s="239"/>
      <c r="LL3" s="239"/>
      <c r="LM3" s="239"/>
      <c r="LN3" s="239"/>
      <c r="LO3" s="239"/>
      <c r="LP3" s="239"/>
      <c r="LQ3" s="239"/>
      <c r="LR3" s="239"/>
      <c r="LS3" s="239"/>
      <c r="LT3" s="239"/>
      <c r="LU3" s="239"/>
      <c r="LV3" s="239"/>
      <c r="LW3" s="239"/>
      <c r="LX3" s="239"/>
      <c r="LY3" s="239"/>
      <c r="LZ3" s="239"/>
      <c r="MA3" s="239"/>
      <c r="MB3" s="239"/>
      <c r="MC3" s="239"/>
      <c r="MD3" s="239"/>
      <c r="ME3" s="239"/>
      <c r="MF3" s="239"/>
      <c r="MG3" s="239"/>
      <c r="MH3" s="239"/>
      <c r="MI3" s="239"/>
      <c r="MJ3" s="239"/>
      <c r="MK3" s="239"/>
      <c r="ML3" s="239"/>
      <c r="MM3" s="239"/>
      <c r="MN3" s="239"/>
      <c r="MO3" s="239"/>
      <c r="MP3" s="239"/>
      <c r="MQ3" s="239"/>
      <c r="MR3" s="239"/>
      <c r="MS3" s="239"/>
      <c r="MT3" s="239"/>
      <c r="MU3" s="239"/>
      <c r="MV3" s="239"/>
      <c r="MW3" s="239"/>
      <c r="MX3" s="239"/>
      <c r="MY3" s="239"/>
      <c r="MZ3" s="239"/>
      <c r="NA3" s="239"/>
      <c r="NB3" s="239"/>
      <c r="NC3" s="239"/>
      <c r="ND3" s="239"/>
      <c r="NE3" s="239"/>
      <c r="NF3" s="239"/>
      <c r="NG3" s="239"/>
      <c r="NH3" s="239"/>
      <c r="NI3" s="239"/>
      <c r="NJ3" s="239"/>
      <c r="NK3" s="239"/>
      <c r="NL3" s="239"/>
      <c r="NM3" s="239"/>
      <c r="NN3" s="239"/>
      <c r="NO3" s="239"/>
      <c r="NP3" s="239"/>
      <c r="NQ3" s="239"/>
      <c r="NR3" s="239"/>
      <c r="NS3" s="239"/>
      <c r="NT3" s="239"/>
      <c r="NU3" s="239"/>
      <c r="NV3" s="239"/>
      <c r="NW3" s="239"/>
      <c r="NX3" s="239"/>
      <c r="NY3" s="239"/>
      <c r="NZ3" s="239"/>
      <c r="OA3" s="239"/>
      <c r="OB3" s="239"/>
      <c r="OC3" s="239"/>
      <c r="OD3" s="239"/>
      <c r="OE3" s="239"/>
      <c r="OF3" s="239"/>
      <c r="OG3" s="239"/>
      <c r="OH3" s="239"/>
      <c r="OI3" s="239"/>
      <c r="OJ3" s="239"/>
      <c r="OK3" s="239"/>
      <c r="OL3" s="239"/>
      <c r="OM3" s="239"/>
      <c r="ON3" s="239"/>
      <c r="OO3" s="239"/>
      <c r="OP3" s="239"/>
      <c r="OQ3" s="239"/>
      <c r="OR3" s="239"/>
      <c r="OS3" s="239"/>
      <c r="OT3" s="239"/>
      <c r="OU3" s="239"/>
      <c r="OV3" s="239"/>
      <c r="OW3" s="239"/>
      <c r="OX3" s="239"/>
      <c r="OY3" s="239"/>
      <c r="OZ3" s="239"/>
      <c r="PA3" s="239"/>
      <c r="PB3" s="239"/>
      <c r="PC3" s="239"/>
      <c r="PD3" s="239"/>
      <c r="PE3" s="239"/>
      <c r="PF3" s="239"/>
      <c r="PG3" s="239"/>
      <c r="PH3" s="239"/>
      <c r="PI3" s="239"/>
      <c r="PJ3" s="239"/>
      <c r="PK3" s="239"/>
      <c r="PL3" s="239"/>
      <c r="PM3" s="239"/>
      <c r="PN3" s="239"/>
      <c r="PO3" s="239"/>
      <c r="PP3" s="239"/>
      <c r="PQ3" s="239"/>
      <c r="PR3" s="239"/>
      <c r="PS3" s="239"/>
      <c r="PT3" s="239"/>
      <c r="PU3" s="239"/>
      <c r="PV3" s="239"/>
      <c r="PW3" s="239"/>
      <c r="PX3" s="239"/>
      <c r="PY3" s="239"/>
      <c r="PZ3" s="239"/>
      <c r="QA3" s="239"/>
      <c r="QB3" s="239"/>
      <c r="QC3" s="239"/>
      <c r="QD3" s="239"/>
      <c r="QE3" s="239"/>
      <c r="QF3" s="239"/>
      <c r="QG3" s="239"/>
      <c r="QH3" s="239"/>
      <c r="QI3" s="239"/>
      <c r="QJ3" s="239"/>
      <c r="QK3" s="239"/>
      <c r="QL3" s="239"/>
      <c r="QM3" s="239"/>
      <c r="QN3" s="239"/>
      <c r="QO3" s="239"/>
      <c r="QP3" s="239"/>
      <c r="QQ3" s="239"/>
      <c r="QR3" s="239"/>
      <c r="QS3" s="239"/>
      <c r="QT3" s="239"/>
      <c r="QU3" s="239"/>
      <c r="QV3" s="239"/>
      <c r="QW3" s="239"/>
      <c r="QX3" s="239"/>
      <c r="QY3" s="239"/>
      <c r="QZ3" s="239"/>
      <c r="RA3" s="239"/>
      <c r="RB3" s="239"/>
      <c r="RC3" s="239"/>
      <c r="RD3" s="239"/>
      <c r="RE3" s="239"/>
      <c r="RF3" s="239"/>
      <c r="RG3" s="239"/>
      <c r="RH3" s="239"/>
      <c r="RI3" s="239"/>
      <c r="RJ3" s="239"/>
      <c r="RK3" s="239"/>
      <c r="RL3" s="239"/>
      <c r="RM3" s="239"/>
      <c r="RN3" s="239"/>
      <c r="RO3" s="239"/>
      <c r="RP3" s="239"/>
      <c r="RQ3" s="239"/>
      <c r="RR3" s="239"/>
      <c r="RS3" s="239"/>
      <c r="RT3" s="239"/>
      <c r="RU3" s="239"/>
      <c r="RV3" s="239"/>
      <c r="RW3" s="239"/>
      <c r="RX3" s="239"/>
      <c r="RY3" s="239"/>
      <c r="RZ3" s="239"/>
      <c r="SA3" s="239"/>
      <c r="SB3" s="239"/>
      <c r="SC3" s="239"/>
      <c r="SD3" s="239"/>
      <c r="SE3" s="239"/>
      <c r="SF3" s="239"/>
      <c r="SG3" s="239"/>
      <c r="SH3" s="239"/>
      <c r="SI3" s="239"/>
      <c r="SJ3" s="239"/>
      <c r="SK3" s="239"/>
      <c r="SL3" s="239"/>
      <c r="SM3" s="239"/>
      <c r="SN3" s="239"/>
      <c r="SO3" s="239"/>
      <c r="SP3" s="239"/>
      <c r="SQ3" s="239"/>
      <c r="SR3" s="239"/>
      <c r="SS3" s="239"/>
      <c r="ST3" s="239"/>
      <c r="SU3" s="239"/>
      <c r="SV3" s="239"/>
      <c r="SW3" s="239"/>
      <c r="SX3" s="239"/>
      <c r="SY3" s="239"/>
      <c r="SZ3" s="239"/>
      <c r="TA3" s="239"/>
      <c r="TB3" s="239"/>
      <c r="TC3" s="239"/>
      <c r="TD3" s="239"/>
      <c r="TE3" s="239"/>
      <c r="TF3" s="239"/>
      <c r="TG3" s="239"/>
      <c r="TH3" s="239"/>
      <c r="TI3" s="239"/>
      <c r="TJ3" s="239"/>
      <c r="TK3" s="239"/>
      <c r="TL3" s="239"/>
      <c r="TM3" s="239"/>
      <c r="TN3" s="239"/>
      <c r="TO3" s="239"/>
      <c r="TP3" s="239"/>
      <c r="TQ3" s="239"/>
      <c r="TR3" s="239"/>
      <c r="TS3" s="239"/>
      <c r="TT3" s="239"/>
      <c r="TU3" s="239"/>
      <c r="TV3" s="239"/>
      <c r="TW3" s="239"/>
      <c r="TX3" s="239"/>
      <c r="TY3" s="239"/>
      <c r="TZ3" s="239"/>
      <c r="UA3" s="239"/>
      <c r="UB3" s="239"/>
      <c r="UC3" s="239"/>
      <c r="UD3" s="239"/>
      <c r="UE3" s="239"/>
      <c r="UF3" s="239"/>
      <c r="UG3" s="239"/>
      <c r="UH3" s="239"/>
      <c r="UI3" s="239"/>
      <c r="UJ3" s="239"/>
      <c r="UK3" s="239"/>
      <c r="UL3" s="239"/>
      <c r="UM3" s="239"/>
      <c r="UN3" s="239"/>
      <c r="UO3" s="239"/>
      <c r="UP3" s="239"/>
      <c r="UQ3" s="239"/>
      <c r="UR3" s="239"/>
      <c r="US3" s="239"/>
      <c r="UT3" s="239"/>
      <c r="UU3" s="239"/>
      <c r="UV3" s="239"/>
      <c r="UW3" s="239"/>
      <c r="UX3" s="239"/>
      <c r="UY3" s="239"/>
      <c r="UZ3" s="239"/>
      <c r="VA3" s="239"/>
      <c r="VB3" s="239"/>
      <c r="VC3" s="239"/>
      <c r="VD3" s="239"/>
      <c r="VE3" s="239"/>
      <c r="VF3" s="239"/>
      <c r="VG3" s="239"/>
      <c r="VH3" s="239"/>
      <c r="VI3" s="239"/>
      <c r="VJ3" s="239"/>
      <c r="VK3" s="239"/>
      <c r="VL3" s="239"/>
      <c r="VM3" s="239"/>
      <c r="VN3" s="239"/>
      <c r="VO3" s="239"/>
      <c r="VP3" s="239"/>
      <c r="VQ3" s="239"/>
      <c r="VR3" s="239"/>
      <c r="VS3" s="239"/>
      <c r="VT3" s="239"/>
      <c r="VU3" s="239"/>
      <c r="VV3" s="239"/>
      <c r="VW3" s="239"/>
      <c r="VX3" s="239"/>
      <c r="VY3" s="239"/>
      <c r="VZ3" s="239"/>
      <c r="WA3" s="239"/>
      <c r="WB3" s="239"/>
      <c r="WC3" s="239"/>
      <c r="WD3" s="239"/>
      <c r="WE3" s="239"/>
      <c r="WF3" s="239"/>
      <c r="WG3" s="239"/>
      <c r="WH3" s="239"/>
      <c r="WI3" s="239"/>
      <c r="WJ3" s="239"/>
      <c r="WK3" s="239"/>
      <c r="WL3" s="239"/>
      <c r="WM3" s="239"/>
      <c r="WN3" s="239"/>
      <c r="WO3" s="239"/>
      <c r="WP3" s="239"/>
      <c r="WQ3" s="239"/>
      <c r="WR3" s="239"/>
      <c r="WS3" s="239"/>
      <c r="WT3" s="239"/>
      <c r="WU3" s="239"/>
      <c r="WV3" s="239"/>
      <c r="WW3" s="239"/>
      <c r="WX3" s="239"/>
      <c r="WY3" s="239"/>
      <c r="WZ3" s="239"/>
      <c r="XA3" s="239"/>
      <c r="XB3" s="239"/>
      <c r="XC3" s="239"/>
      <c r="XD3" s="239"/>
      <c r="XE3" s="239"/>
      <c r="XF3" s="239"/>
      <c r="XG3" s="239"/>
      <c r="XH3" s="239"/>
      <c r="XI3" s="239"/>
      <c r="XJ3" s="239"/>
      <c r="XK3" s="239"/>
      <c r="XL3" s="239"/>
      <c r="XM3" s="239"/>
      <c r="XN3" s="239"/>
      <c r="XO3" s="239"/>
      <c r="XP3" s="239"/>
      <c r="XQ3" s="239"/>
      <c r="XR3" s="239"/>
      <c r="XS3" s="239"/>
      <c r="XT3" s="239"/>
      <c r="XU3" s="239"/>
      <c r="XV3" s="239"/>
      <c r="XW3" s="239"/>
      <c r="XX3" s="239"/>
      <c r="XY3" s="239"/>
      <c r="XZ3" s="239"/>
      <c r="YA3" s="239"/>
      <c r="YB3" s="239"/>
      <c r="YC3" s="239"/>
      <c r="YD3" s="239"/>
      <c r="YE3" s="239"/>
      <c r="YF3" s="239"/>
      <c r="YG3" s="239"/>
      <c r="YH3" s="239"/>
      <c r="YI3" s="239"/>
      <c r="YJ3" s="239"/>
      <c r="YK3" s="239"/>
      <c r="YL3" s="239"/>
      <c r="YM3" s="239"/>
      <c r="YN3" s="239"/>
      <c r="YO3" s="239"/>
      <c r="YP3" s="239"/>
      <c r="YQ3" s="239"/>
      <c r="YR3" s="239"/>
      <c r="YS3" s="239"/>
      <c r="YT3" s="239"/>
      <c r="YU3" s="239"/>
      <c r="YV3" s="239"/>
      <c r="YW3" s="239"/>
      <c r="YX3" s="239"/>
      <c r="YY3" s="239"/>
      <c r="YZ3" s="239"/>
      <c r="ZA3" s="239"/>
      <c r="ZB3" s="239"/>
      <c r="ZC3" s="239"/>
      <c r="ZD3" s="239"/>
      <c r="ZE3" s="239"/>
      <c r="ZF3" s="239"/>
      <c r="ZG3" s="239"/>
      <c r="ZH3" s="239"/>
      <c r="ZI3" s="239"/>
      <c r="ZJ3" s="239"/>
      <c r="ZK3" s="239"/>
      <c r="ZL3" s="239"/>
      <c r="ZM3" s="239"/>
      <c r="ZN3" s="239"/>
      <c r="ZO3" s="239"/>
      <c r="ZP3" s="239"/>
      <c r="ZQ3" s="239"/>
      <c r="ZR3" s="239"/>
      <c r="ZS3" s="239"/>
      <c r="ZT3" s="239"/>
      <c r="ZU3" s="239"/>
      <c r="ZV3" s="239"/>
      <c r="ZW3" s="239"/>
      <c r="ZX3" s="239"/>
      <c r="ZY3" s="239"/>
      <c r="ZZ3" s="239"/>
      <c r="AAA3" s="239"/>
      <c r="AAB3" s="239"/>
      <c r="AAC3" s="239"/>
      <c r="AAD3" s="239"/>
      <c r="AAE3" s="239"/>
      <c r="AAF3" s="239"/>
      <c r="AAG3" s="239"/>
      <c r="AAH3" s="239"/>
      <c r="AAI3" s="239"/>
      <c r="AAJ3" s="239"/>
      <c r="AAK3" s="239"/>
      <c r="AAL3" s="239"/>
      <c r="AAM3" s="239"/>
      <c r="AAN3" s="239"/>
      <c r="AAO3" s="239"/>
      <c r="AAP3" s="239"/>
      <c r="AAQ3" s="239"/>
      <c r="AAR3" s="239"/>
      <c r="AAS3" s="239"/>
      <c r="AAT3" s="239"/>
      <c r="AAU3" s="239"/>
      <c r="AAV3" s="239"/>
      <c r="AAW3" s="239"/>
      <c r="AAX3" s="239"/>
      <c r="AAY3" s="239"/>
      <c r="AAZ3" s="239"/>
      <c r="ABA3" s="239"/>
      <c r="ABB3" s="239"/>
      <c r="ABC3" s="239"/>
      <c r="ABD3" s="239"/>
      <c r="ABE3" s="239"/>
      <c r="ABF3" s="239"/>
      <c r="ABG3" s="239"/>
      <c r="ABH3" s="239"/>
      <c r="ABI3" s="239"/>
      <c r="ABJ3" s="239"/>
      <c r="ABK3" s="239"/>
      <c r="ABL3" s="239"/>
      <c r="ABM3" s="239"/>
      <c r="ABN3" s="239"/>
      <c r="ABO3" s="239"/>
      <c r="ABP3" s="239"/>
      <c r="ABQ3" s="239"/>
      <c r="ABR3" s="239"/>
      <c r="ABS3" s="239"/>
      <c r="ABT3" s="239"/>
      <c r="ABU3" s="239"/>
      <c r="ABV3" s="239"/>
      <c r="ABW3" s="239"/>
      <c r="ABX3" s="239"/>
      <c r="ABY3" s="239"/>
      <c r="ABZ3" s="239"/>
      <c r="ACA3" s="239"/>
      <c r="ACB3" s="239"/>
      <c r="ACC3" s="239"/>
      <c r="ACD3" s="239"/>
      <c r="ACE3" s="239"/>
      <c r="ACF3" s="239"/>
      <c r="ACG3" s="239"/>
      <c r="ACH3" s="239"/>
      <c r="ACI3" s="239"/>
      <c r="ACJ3" s="239"/>
      <c r="ACK3" s="239"/>
      <c r="ACL3" s="239"/>
      <c r="ACM3" s="239"/>
      <c r="ACN3" s="239"/>
      <c r="ACO3" s="239"/>
      <c r="ACP3" s="239"/>
      <c r="ACQ3" s="239"/>
      <c r="ACR3" s="239"/>
      <c r="ACS3" s="239"/>
      <c r="ACT3" s="239"/>
      <c r="ACU3" s="239"/>
      <c r="ACV3" s="239"/>
      <c r="ACW3" s="239"/>
      <c r="ACX3" s="239"/>
      <c r="ACY3" s="239"/>
      <c r="ACZ3" s="239"/>
      <c r="ADA3" s="239"/>
      <c r="ADB3" s="239"/>
      <c r="ADC3" s="239"/>
      <c r="ADD3" s="239"/>
      <c r="ADE3" s="239"/>
      <c r="ADF3" s="239"/>
      <c r="ADG3" s="239"/>
      <c r="ADH3" s="239"/>
      <c r="ADI3" s="239"/>
      <c r="ADJ3" s="239"/>
      <c r="ADK3" s="239"/>
      <c r="ADL3" s="239"/>
      <c r="ADM3" s="239"/>
      <c r="ADN3" s="239"/>
      <c r="ADO3" s="239"/>
      <c r="ADP3" s="239"/>
      <c r="ADQ3" s="239"/>
      <c r="ADR3" s="239"/>
      <c r="ADS3" s="239"/>
      <c r="ADT3" s="239"/>
      <c r="ADU3" s="239"/>
      <c r="ADV3" s="239"/>
      <c r="ADW3" s="239"/>
      <c r="ADX3" s="239"/>
      <c r="ADY3" s="239"/>
      <c r="ADZ3" s="239"/>
      <c r="AEA3" s="239"/>
      <c r="AEB3" s="239"/>
      <c r="AEC3" s="239"/>
      <c r="AED3" s="239"/>
      <c r="AEE3" s="239"/>
      <c r="AEF3" s="239"/>
      <c r="AEG3" s="239"/>
      <c r="AEH3" s="239"/>
      <c r="AEI3" s="239"/>
      <c r="AEJ3" s="239"/>
      <c r="AEK3" s="239"/>
      <c r="AEL3" s="239"/>
      <c r="AEM3" s="239"/>
      <c r="AEN3" s="239"/>
      <c r="AEO3" s="239"/>
      <c r="AEP3" s="239"/>
      <c r="AEQ3" s="239"/>
      <c r="AER3" s="239"/>
      <c r="AES3" s="239"/>
      <c r="AET3" s="239"/>
      <c r="AEU3" s="239"/>
      <c r="AEV3" s="239"/>
      <c r="AEW3" s="239"/>
      <c r="AEX3" s="239"/>
      <c r="AEY3" s="239"/>
      <c r="AEZ3" s="239"/>
      <c r="AFA3" s="239"/>
      <c r="AFB3" s="239"/>
      <c r="AFC3" s="239"/>
      <c r="AFD3" s="239"/>
      <c r="AFE3" s="239"/>
      <c r="AFF3" s="239"/>
      <c r="AFG3" s="239"/>
      <c r="AFH3" s="239"/>
      <c r="AFI3" s="239"/>
      <c r="AFJ3" s="239"/>
      <c r="AFK3" s="239"/>
      <c r="AFL3" s="239"/>
      <c r="AFM3" s="239"/>
      <c r="AFN3" s="239"/>
      <c r="AFO3" s="239"/>
      <c r="AFP3" s="239"/>
      <c r="AFQ3" s="239"/>
      <c r="AFR3" s="239"/>
      <c r="AFS3" s="239"/>
      <c r="AFT3" s="239"/>
      <c r="AFU3" s="239"/>
      <c r="AFV3" s="239"/>
      <c r="AFW3" s="239"/>
      <c r="AFX3" s="239"/>
      <c r="AFY3" s="239"/>
      <c r="AFZ3" s="239"/>
      <c r="AGA3" s="239"/>
      <c r="AGB3" s="239"/>
      <c r="AGC3" s="239"/>
      <c r="AGD3" s="239"/>
      <c r="AGE3" s="239"/>
      <c r="AGF3" s="239"/>
      <c r="AGG3" s="239"/>
      <c r="AGH3" s="239"/>
      <c r="AGI3" s="239"/>
      <c r="AGJ3" s="239"/>
      <c r="AGK3" s="239"/>
      <c r="AGL3" s="239"/>
      <c r="AGM3" s="239"/>
      <c r="AGN3" s="239"/>
      <c r="AGO3" s="239"/>
      <c r="AGP3" s="239"/>
      <c r="AGQ3" s="239"/>
      <c r="AGR3" s="239"/>
      <c r="AGS3" s="239"/>
      <c r="AGT3" s="239"/>
      <c r="AGU3" s="239"/>
      <c r="AGV3" s="239"/>
      <c r="AGW3" s="239"/>
      <c r="AGX3" s="239"/>
      <c r="AGY3" s="239"/>
      <c r="AGZ3" s="239"/>
      <c r="AHA3" s="239"/>
      <c r="AHB3" s="239"/>
      <c r="AHC3" s="239"/>
      <c r="AHD3" s="239"/>
      <c r="AHE3" s="239"/>
      <c r="AHF3" s="239"/>
      <c r="AHG3" s="239"/>
      <c r="AHH3" s="239"/>
      <c r="AHI3" s="239"/>
      <c r="AHJ3" s="239"/>
      <c r="AHK3" s="239"/>
      <c r="AHL3" s="239"/>
      <c r="AHM3" s="239"/>
      <c r="AHN3" s="239"/>
      <c r="AHO3" s="239"/>
      <c r="AHP3" s="239"/>
      <c r="AHQ3" s="239"/>
      <c r="AHR3" s="239"/>
      <c r="AHS3" s="239"/>
      <c r="AHT3" s="239"/>
      <c r="AHU3" s="239"/>
      <c r="AHV3" s="239"/>
      <c r="AHW3" s="239"/>
      <c r="AHX3" s="239"/>
      <c r="AHY3" s="239"/>
      <c r="AHZ3" s="239"/>
      <c r="AIA3" s="239"/>
      <c r="AIB3" s="239"/>
      <c r="AIC3" s="239"/>
      <c r="AID3" s="239"/>
      <c r="AIE3" s="239"/>
      <c r="AIF3" s="239"/>
      <c r="AIG3" s="239"/>
      <c r="AIH3" s="239"/>
      <c r="AII3" s="239"/>
      <c r="AIJ3" s="239"/>
      <c r="AIK3" s="239"/>
      <c r="AIL3" s="239"/>
      <c r="AIM3" s="239"/>
      <c r="AIN3" s="239"/>
      <c r="AIO3" s="239"/>
      <c r="AIP3" s="239"/>
      <c r="AIQ3" s="239"/>
      <c r="AIR3" s="239"/>
      <c r="AIS3" s="239"/>
      <c r="AIT3" s="239"/>
      <c r="AIU3" s="239"/>
      <c r="AIV3" s="239"/>
      <c r="AIW3" s="239"/>
      <c r="AIX3" s="239"/>
      <c r="AIY3" s="239"/>
      <c r="AIZ3" s="239"/>
      <c r="AJA3" s="239"/>
      <c r="AJB3" s="239"/>
      <c r="AJC3" s="239"/>
      <c r="AJD3" s="239"/>
      <c r="AJE3" s="239"/>
      <c r="AJF3" s="239"/>
      <c r="AJG3" s="239"/>
      <c r="AJH3" s="239"/>
      <c r="AJI3" s="239"/>
      <c r="AJJ3" s="239"/>
      <c r="AJK3" s="239"/>
      <c r="AJL3" s="239"/>
      <c r="AJM3" s="239"/>
      <c r="AJN3" s="239"/>
      <c r="AJO3" s="239"/>
      <c r="AJP3" s="239"/>
      <c r="AJQ3" s="239"/>
      <c r="AJR3" s="239"/>
      <c r="AJS3" s="239"/>
      <c r="AJT3" s="239"/>
      <c r="AJU3" s="239"/>
      <c r="AJV3" s="239"/>
      <c r="AJW3" s="239"/>
      <c r="AJX3" s="239"/>
      <c r="AJY3" s="239"/>
      <c r="AJZ3" s="239"/>
      <c r="AKA3" s="239"/>
      <c r="AKB3" s="239"/>
      <c r="AKC3" s="239"/>
      <c r="AKD3" s="239"/>
      <c r="AKE3" s="239"/>
      <c r="AKF3" s="239"/>
      <c r="AKG3" s="239"/>
      <c r="AKH3" s="239"/>
      <c r="AKI3" s="239"/>
      <c r="AKJ3" s="239"/>
      <c r="AKK3" s="239"/>
      <c r="AKL3" s="239"/>
      <c r="AKM3" s="239"/>
      <c r="AKN3" s="239"/>
      <c r="AKO3" s="239"/>
      <c r="AKP3" s="239"/>
      <c r="AKQ3" s="239"/>
      <c r="AKR3" s="239"/>
      <c r="AKS3" s="239"/>
      <c r="AKT3" s="239"/>
      <c r="AKU3" s="239"/>
      <c r="AKV3" s="239"/>
      <c r="AKW3" s="239"/>
      <c r="AKX3" s="239"/>
      <c r="AKY3" s="239"/>
      <c r="AKZ3" s="239"/>
      <c r="ALA3" s="239"/>
      <c r="ALB3" s="239"/>
      <c r="ALC3" s="239"/>
      <c r="ALD3" s="239"/>
      <c r="ALE3" s="239"/>
      <c r="ALF3" s="239"/>
      <c r="ALG3" s="239"/>
      <c r="ALH3" s="239"/>
      <c r="ALI3" s="239"/>
      <c r="ALJ3" s="239"/>
      <c r="ALK3" s="239"/>
      <c r="ALL3" s="239"/>
      <c r="ALM3" s="239"/>
      <c r="ALN3" s="239"/>
      <c r="ALO3" s="239"/>
      <c r="ALP3" s="239"/>
      <c r="ALQ3" s="239"/>
      <c r="ALR3" s="239"/>
      <c r="ALS3" s="239"/>
      <c r="ALT3" s="239"/>
      <c r="ALU3" s="239"/>
      <c r="ALV3" s="239"/>
      <c r="ALW3" s="239"/>
      <c r="ALX3" s="239"/>
      <c r="ALY3" s="239"/>
      <c r="ALZ3" s="239"/>
      <c r="AMA3" s="239"/>
      <c r="AMB3" s="239"/>
      <c r="AMC3" s="239"/>
      <c r="AMD3" s="239"/>
      <c r="AME3" s="239"/>
      <c r="AMF3" s="239"/>
      <c r="AMG3" s="239"/>
      <c r="AMH3" s="239"/>
      <c r="AMI3" s="239"/>
      <c r="AMJ3" s="239"/>
      <c r="AMK3" s="239"/>
      <c r="AML3" s="239"/>
      <c r="AMM3" s="239"/>
      <c r="AMN3" s="239"/>
      <c r="AMO3" s="239"/>
      <c r="AMP3" s="239"/>
      <c r="AMQ3" s="239"/>
      <c r="AMR3" s="239"/>
      <c r="AMS3" s="239"/>
      <c r="AMT3" s="239"/>
      <c r="AMU3" s="239"/>
      <c r="AMV3" s="239"/>
      <c r="AMW3" s="239"/>
      <c r="AMX3" s="239"/>
      <c r="AMY3" s="239"/>
      <c r="AMZ3" s="239"/>
      <c r="ANA3" s="239"/>
      <c r="ANB3" s="239"/>
      <c r="ANC3" s="239"/>
      <c r="AND3" s="239"/>
      <c r="ANE3" s="239"/>
      <c r="ANF3" s="239"/>
      <c r="ANG3" s="239"/>
      <c r="ANH3" s="239"/>
      <c r="ANI3" s="239"/>
      <c r="ANJ3" s="239"/>
      <c r="ANK3" s="239"/>
      <c r="ANL3" s="239"/>
      <c r="ANM3" s="239"/>
      <c r="ANN3" s="239"/>
      <c r="ANO3" s="239"/>
      <c r="ANP3" s="239"/>
      <c r="ANQ3" s="239"/>
      <c r="ANR3" s="239"/>
      <c r="ANS3" s="239"/>
      <c r="ANT3" s="239"/>
      <c r="ANU3" s="239"/>
      <c r="ANV3" s="239"/>
      <c r="ANW3" s="239"/>
      <c r="ANX3" s="239"/>
      <c r="ANY3" s="239"/>
      <c r="ANZ3" s="239"/>
      <c r="AOA3" s="239"/>
      <c r="AOB3" s="239"/>
      <c r="AOC3" s="239"/>
      <c r="AOD3" s="239"/>
      <c r="AOE3" s="239"/>
      <c r="AOF3" s="239"/>
      <c r="AOG3" s="239"/>
      <c r="AOH3" s="239"/>
      <c r="AOI3" s="239"/>
      <c r="AOJ3" s="239"/>
      <c r="AOK3" s="239"/>
      <c r="AOL3" s="239"/>
      <c r="AOM3" s="239"/>
      <c r="AON3" s="239"/>
      <c r="AOO3" s="239"/>
      <c r="AOP3" s="239"/>
      <c r="AOQ3" s="239"/>
      <c r="AOR3" s="239"/>
      <c r="AOS3" s="239"/>
      <c r="AOT3" s="239"/>
      <c r="AOU3" s="239"/>
      <c r="AOV3" s="239"/>
      <c r="AOW3" s="239"/>
      <c r="AOX3" s="239"/>
      <c r="AOY3" s="239"/>
      <c r="AOZ3" s="239"/>
      <c r="APA3" s="239"/>
      <c r="APB3" s="239"/>
      <c r="APC3" s="239"/>
      <c r="APD3" s="239"/>
      <c r="APE3" s="239"/>
      <c r="APF3" s="239"/>
      <c r="APG3" s="239"/>
      <c r="APH3" s="239"/>
      <c r="API3" s="239"/>
      <c r="APJ3" s="239"/>
      <c r="APK3" s="239"/>
      <c r="APL3" s="239"/>
      <c r="APM3" s="239"/>
      <c r="APN3" s="239"/>
      <c r="APO3" s="239"/>
      <c r="APP3" s="239"/>
      <c r="APQ3" s="239"/>
      <c r="APR3" s="239"/>
      <c r="APS3" s="239"/>
      <c r="APT3" s="239"/>
      <c r="APU3" s="239"/>
      <c r="APV3" s="239"/>
      <c r="APW3" s="239"/>
      <c r="APX3" s="239"/>
      <c r="APY3" s="239"/>
      <c r="APZ3" s="239"/>
      <c r="AQA3" s="239"/>
      <c r="AQB3" s="239"/>
      <c r="AQC3" s="239"/>
      <c r="AQD3" s="239"/>
      <c r="AQE3" s="239"/>
      <c r="AQF3" s="239"/>
      <c r="AQG3" s="239"/>
      <c r="AQH3" s="239"/>
      <c r="AQI3" s="239"/>
      <c r="AQJ3" s="239"/>
      <c r="AQK3" s="239"/>
      <c r="AQL3" s="239"/>
      <c r="AQM3" s="239"/>
      <c r="AQN3" s="239"/>
      <c r="AQO3" s="239"/>
      <c r="AQP3" s="239"/>
      <c r="AQQ3" s="239"/>
      <c r="AQR3" s="239"/>
      <c r="AQS3" s="239"/>
      <c r="AQT3" s="239"/>
      <c r="AQU3" s="239"/>
      <c r="AQV3" s="239"/>
      <c r="AQW3" s="239"/>
      <c r="AQX3" s="239"/>
      <c r="AQY3" s="239"/>
      <c r="AQZ3" s="239"/>
      <c r="ARA3" s="239"/>
      <c r="ARB3" s="239"/>
      <c r="ARC3" s="239"/>
      <c r="ARD3" s="239"/>
      <c r="ARE3" s="239"/>
      <c r="ARF3" s="239"/>
      <c r="ARG3" s="239"/>
      <c r="ARH3" s="239"/>
      <c r="ARI3" s="239"/>
      <c r="ARJ3" s="239"/>
      <c r="ARK3" s="239"/>
      <c r="ARL3" s="239"/>
      <c r="ARM3" s="239"/>
      <c r="ARN3" s="239"/>
      <c r="ARO3" s="239"/>
      <c r="ARP3" s="239"/>
      <c r="ARQ3" s="239"/>
      <c r="ARR3" s="239"/>
      <c r="ARS3" s="239"/>
      <c r="ART3" s="239"/>
      <c r="ARU3" s="239"/>
      <c r="ARV3" s="239"/>
      <c r="ARW3" s="239"/>
      <c r="ARX3" s="239"/>
      <c r="ARY3" s="239"/>
      <c r="ARZ3" s="239"/>
      <c r="ASA3" s="239"/>
      <c r="ASB3" s="239"/>
      <c r="ASC3" s="239"/>
      <c r="ASD3" s="239"/>
      <c r="ASE3" s="239"/>
      <c r="ASF3" s="239"/>
      <c r="ASG3" s="239"/>
      <c r="ASH3" s="239"/>
      <c r="ASI3" s="239"/>
      <c r="ASJ3" s="239"/>
      <c r="ASK3" s="239"/>
      <c r="ASL3" s="239"/>
      <c r="ASM3" s="239"/>
      <c r="ASN3" s="239"/>
      <c r="ASO3" s="239"/>
      <c r="ASP3" s="239"/>
      <c r="ASQ3" s="239"/>
      <c r="ASR3" s="239"/>
      <c r="ASS3" s="239"/>
      <c r="AST3" s="239"/>
      <c r="ASU3" s="239"/>
      <c r="ASV3" s="239"/>
      <c r="ASW3" s="239"/>
      <c r="ASX3" s="239"/>
      <c r="ASY3" s="239"/>
      <c r="ASZ3" s="239"/>
      <c r="ATA3" s="239"/>
      <c r="ATB3" s="239"/>
      <c r="ATC3" s="239"/>
      <c r="ATD3" s="239"/>
      <c r="ATE3" s="239"/>
      <c r="ATF3" s="239"/>
      <c r="ATG3" s="239"/>
      <c r="ATH3" s="239"/>
      <c r="ATI3" s="239"/>
      <c r="ATJ3" s="239"/>
      <c r="ATK3" s="239"/>
      <c r="ATL3" s="239"/>
      <c r="ATM3" s="239"/>
      <c r="ATN3" s="239"/>
      <c r="ATO3" s="239"/>
      <c r="ATP3" s="239"/>
      <c r="ATQ3" s="239"/>
      <c r="ATR3" s="239"/>
      <c r="ATS3" s="239"/>
      <c r="ATT3" s="239"/>
      <c r="ATU3" s="239"/>
      <c r="ATV3" s="239"/>
      <c r="ATW3" s="239"/>
      <c r="ATX3" s="239"/>
      <c r="ATY3" s="239"/>
      <c r="ATZ3" s="239"/>
      <c r="AUA3" s="239"/>
      <c r="AUB3" s="239"/>
      <c r="AUC3" s="239"/>
      <c r="AUD3" s="239"/>
      <c r="AUE3" s="239"/>
      <c r="AUF3" s="239"/>
      <c r="AUG3" s="239"/>
      <c r="AUH3" s="239"/>
      <c r="AUI3" s="239"/>
      <c r="AUJ3" s="239"/>
      <c r="AUK3" s="239"/>
      <c r="AUL3" s="239"/>
      <c r="AUM3" s="239"/>
      <c r="AUN3" s="239"/>
      <c r="AUO3" s="239"/>
      <c r="AUP3" s="239"/>
      <c r="AUQ3" s="239"/>
      <c r="AUR3" s="239"/>
      <c r="AUS3" s="239"/>
      <c r="AUT3" s="239"/>
      <c r="AUU3" s="239"/>
      <c r="AUV3" s="239"/>
      <c r="AUW3" s="239"/>
      <c r="AUX3" s="239"/>
      <c r="AUY3" s="239"/>
      <c r="AUZ3" s="239"/>
      <c r="AVA3" s="239"/>
      <c r="AVB3" s="239"/>
      <c r="AVC3" s="239"/>
      <c r="AVD3" s="239"/>
      <c r="AVE3" s="239"/>
      <c r="AVF3" s="239"/>
      <c r="AVG3" s="239"/>
      <c r="AVH3" s="239"/>
      <c r="AVI3" s="239"/>
      <c r="AVJ3" s="239"/>
      <c r="AVK3" s="239"/>
      <c r="AVL3" s="239"/>
      <c r="AVM3" s="239"/>
      <c r="AVN3" s="239"/>
      <c r="AVO3" s="239"/>
      <c r="AVP3" s="239"/>
      <c r="AVQ3" s="239"/>
      <c r="AVR3" s="239"/>
      <c r="AVS3" s="239"/>
      <c r="AVT3" s="239"/>
      <c r="AVU3" s="239"/>
      <c r="AVV3" s="239"/>
      <c r="AVW3" s="239"/>
      <c r="AVX3" s="239"/>
      <c r="AVY3" s="239"/>
      <c r="AVZ3" s="239"/>
      <c r="AWA3" s="239"/>
      <c r="AWB3" s="239"/>
      <c r="AWC3" s="239"/>
      <c r="AWD3" s="239"/>
      <c r="AWE3" s="239"/>
      <c r="AWF3" s="239"/>
      <c r="AWG3" s="239"/>
      <c r="AWH3" s="239"/>
      <c r="AWI3" s="239"/>
      <c r="AWJ3" s="239"/>
      <c r="AWK3" s="239"/>
      <c r="AWL3" s="239"/>
      <c r="AWM3" s="239"/>
      <c r="AWN3" s="239"/>
      <c r="AWO3" s="239"/>
      <c r="AWP3" s="239"/>
      <c r="AWQ3" s="239"/>
      <c r="AWR3" s="239"/>
      <c r="AWS3" s="239"/>
      <c r="AWT3" s="239"/>
      <c r="AWU3" s="239"/>
      <c r="AWV3" s="239"/>
      <c r="AWW3" s="239"/>
      <c r="AWX3" s="239"/>
      <c r="AWY3" s="239"/>
      <c r="AWZ3" s="239"/>
      <c r="AXA3" s="239"/>
      <c r="AXB3" s="239"/>
      <c r="AXC3" s="239"/>
      <c r="AXD3" s="239"/>
      <c r="AXE3" s="239"/>
      <c r="AXF3" s="239"/>
      <c r="AXG3" s="239"/>
      <c r="AXH3" s="239"/>
      <c r="AXI3" s="239"/>
      <c r="AXJ3" s="239"/>
      <c r="AXK3" s="239"/>
      <c r="AXL3" s="239"/>
      <c r="AXM3" s="239"/>
      <c r="AXN3" s="239"/>
      <c r="AXO3" s="239"/>
      <c r="AXP3" s="239"/>
      <c r="AXQ3" s="239"/>
      <c r="AXR3" s="239"/>
      <c r="AXS3" s="239"/>
      <c r="AXT3" s="239"/>
      <c r="AXU3" s="239"/>
      <c r="AXV3" s="239"/>
      <c r="AXW3" s="239"/>
      <c r="AXX3" s="239"/>
      <c r="AXY3" s="239"/>
      <c r="AXZ3" s="239"/>
      <c r="AYA3" s="239"/>
      <c r="AYB3" s="239"/>
      <c r="AYC3" s="239"/>
      <c r="AYD3" s="239"/>
      <c r="AYE3" s="239"/>
      <c r="AYF3" s="239"/>
      <c r="AYG3" s="239"/>
      <c r="AYH3" s="239"/>
      <c r="AYI3" s="239"/>
      <c r="AYJ3" s="239"/>
      <c r="AYK3" s="239"/>
      <c r="AYL3" s="239"/>
      <c r="AYM3" s="239"/>
      <c r="AYN3" s="239"/>
      <c r="AYO3" s="239"/>
      <c r="AYP3" s="239"/>
      <c r="AYQ3" s="239"/>
      <c r="AYR3" s="239"/>
      <c r="AYS3" s="239"/>
      <c r="AYT3" s="239"/>
      <c r="AYU3" s="239"/>
      <c r="AYV3" s="239"/>
      <c r="AYW3" s="239"/>
      <c r="AYX3" s="239"/>
      <c r="AYY3" s="239"/>
      <c r="AYZ3" s="239"/>
      <c r="AZA3" s="239"/>
      <c r="AZB3" s="239"/>
      <c r="AZC3" s="239"/>
      <c r="AZD3" s="239"/>
      <c r="AZE3" s="239"/>
      <c r="AZF3" s="239"/>
      <c r="AZG3" s="239"/>
      <c r="AZH3" s="239"/>
      <c r="AZI3" s="239"/>
      <c r="AZJ3" s="239"/>
      <c r="AZK3" s="239"/>
      <c r="AZL3" s="239"/>
      <c r="AZM3" s="239"/>
      <c r="AZN3" s="239"/>
      <c r="AZO3" s="239"/>
      <c r="AZP3" s="239"/>
      <c r="AZQ3" s="239"/>
      <c r="AZR3" s="239"/>
      <c r="AZS3" s="239"/>
      <c r="AZT3" s="239"/>
      <c r="AZU3" s="239"/>
      <c r="AZV3" s="239"/>
      <c r="AZW3" s="239"/>
      <c r="AZX3" s="239"/>
      <c r="AZY3" s="239"/>
      <c r="AZZ3" s="239"/>
      <c r="BAA3" s="239"/>
      <c r="BAB3" s="239"/>
      <c r="BAC3" s="239"/>
      <c r="BAD3" s="239"/>
      <c r="BAE3" s="239"/>
      <c r="BAF3" s="239"/>
      <c r="BAG3" s="239"/>
      <c r="BAH3" s="239"/>
      <c r="BAI3" s="239"/>
      <c r="BAJ3" s="239"/>
      <c r="BAK3" s="239"/>
      <c r="BAL3" s="239"/>
      <c r="BAM3" s="239"/>
      <c r="BAN3" s="239"/>
      <c r="BAO3" s="239"/>
      <c r="BAP3" s="239"/>
      <c r="BAQ3" s="239"/>
      <c r="BAR3" s="239"/>
      <c r="BAS3" s="239"/>
      <c r="BAT3" s="239"/>
      <c r="BAU3" s="239"/>
      <c r="BAV3" s="239"/>
      <c r="BAW3" s="239"/>
      <c r="BAX3" s="239"/>
      <c r="BAY3" s="239"/>
      <c r="BAZ3" s="239"/>
      <c r="BBA3" s="239"/>
      <c r="BBB3" s="239"/>
      <c r="BBC3" s="239"/>
      <c r="BBD3" s="239"/>
      <c r="BBE3" s="239"/>
      <c r="BBF3" s="239"/>
      <c r="BBG3" s="239"/>
      <c r="BBH3" s="239"/>
      <c r="BBI3" s="239"/>
      <c r="BBJ3" s="239"/>
      <c r="BBK3" s="239"/>
      <c r="BBL3" s="239"/>
      <c r="BBM3" s="239"/>
      <c r="BBN3" s="239"/>
      <c r="BBO3" s="239"/>
      <c r="BBP3" s="239"/>
      <c r="BBQ3" s="239"/>
      <c r="BBR3" s="239"/>
      <c r="BBS3" s="239"/>
      <c r="BBT3" s="239"/>
      <c r="BBU3" s="239"/>
      <c r="BBV3" s="239"/>
      <c r="BBW3" s="239"/>
      <c r="BBX3" s="239"/>
      <c r="BBY3" s="239"/>
      <c r="BBZ3" s="239"/>
      <c r="BCA3" s="239"/>
      <c r="BCB3" s="239"/>
      <c r="BCC3" s="239"/>
      <c r="BCD3" s="239"/>
      <c r="BCE3" s="239"/>
      <c r="BCF3" s="239"/>
      <c r="BCG3" s="239"/>
      <c r="BCH3" s="239"/>
      <c r="BCI3" s="239"/>
      <c r="BCJ3" s="239"/>
      <c r="BCK3" s="239"/>
      <c r="BCL3" s="239"/>
      <c r="BCM3" s="239"/>
      <c r="BCN3" s="239"/>
      <c r="BCO3" s="239"/>
      <c r="BCP3" s="239"/>
      <c r="BCQ3" s="239"/>
      <c r="BCR3" s="239"/>
      <c r="BCS3" s="239"/>
      <c r="BCT3" s="239"/>
      <c r="BCU3" s="239"/>
      <c r="BCV3" s="239"/>
      <c r="BCW3" s="239"/>
      <c r="BCX3" s="239"/>
      <c r="BCY3" s="239"/>
      <c r="BCZ3" s="239"/>
      <c r="BDA3" s="239"/>
      <c r="BDB3" s="239"/>
      <c r="BDC3" s="239"/>
      <c r="BDD3" s="239"/>
      <c r="BDE3" s="239"/>
      <c r="BDF3" s="239"/>
      <c r="BDG3" s="239"/>
      <c r="BDH3" s="239"/>
      <c r="BDI3" s="239"/>
      <c r="BDJ3" s="239"/>
      <c r="BDK3" s="239"/>
      <c r="BDL3" s="239"/>
      <c r="BDM3" s="239"/>
      <c r="BDN3" s="239"/>
      <c r="BDO3" s="239"/>
      <c r="BDP3" s="239"/>
      <c r="BDQ3" s="239"/>
      <c r="BDR3" s="239"/>
      <c r="BDS3" s="239"/>
      <c r="BDT3" s="239"/>
      <c r="BDU3" s="239"/>
      <c r="BDV3" s="239"/>
      <c r="BDW3" s="239"/>
      <c r="BDX3" s="239"/>
      <c r="BDY3" s="239"/>
      <c r="BDZ3" s="239"/>
      <c r="BEA3" s="239"/>
      <c r="BEB3" s="239"/>
      <c r="BEC3" s="239"/>
      <c r="BED3" s="239"/>
      <c r="BEE3" s="239"/>
      <c r="BEF3" s="239"/>
      <c r="BEG3" s="239"/>
      <c r="BEH3" s="239"/>
      <c r="BEI3" s="239"/>
      <c r="BEJ3" s="239"/>
      <c r="BEK3" s="239"/>
      <c r="BEL3" s="239"/>
      <c r="BEM3" s="239"/>
      <c r="BEN3" s="239"/>
      <c r="BEO3" s="239"/>
      <c r="BEP3" s="239"/>
      <c r="BEQ3" s="239"/>
      <c r="BER3" s="239"/>
      <c r="BES3" s="239"/>
      <c r="BET3" s="239"/>
      <c r="BEU3" s="239"/>
      <c r="BEV3" s="239"/>
      <c r="BEW3" s="239"/>
      <c r="BEX3" s="239"/>
      <c r="BEY3" s="239"/>
      <c r="BEZ3" s="239"/>
      <c r="BFA3" s="239"/>
      <c r="BFB3" s="239"/>
      <c r="BFC3" s="239"/>
      <c r="BFD3" s="239"/>
      <c r="BFE3" s="239"/>
      <c r="BFF3" s="239"/>
      <c r="BFG3" s="239"/>
      <c r="BFH3" s="239"/>
      <c r="BFI3" s="239"/>
      <c r="BFJ3" s="239"/>
      <c r="BFK3" s="239"/>
      <c r="BFL3" s="239"/>
      <c r="BFM3" s="239"/>
      <c r="BFN3" s="239"/>
      <c r="BFO3" s="239"/>
      <c r="BFP3" s="239"/>
      <c r="BFQ3" s="239"/>
      <c r="BFR3" s="239"/>
      <c r="BFS3" s="239"/>
      <c r="BFT3" s="239"/>
      <c r="BFU3" s="239"/>
      <c r="BFV3" s="239"/>
      <c r="BFW3" s="239"/>
      <c r="BFX3" s="239"/>
      <c r="BFY3" s="239"/>
      <c r="BFZ3" s="239"/>
      <c r="BGA3" s="239"/>
      <c r="BGB3" s="239"/>
      <c r="BGC3" s="239"/>
      <c r="BGD3" s="239"/>
      <c r="BGE3" s="239"/>
      <c r="BGF3" s="239"/>
      <c r="BGG3" s="239"/>
      <c r="BGH3" s="239"/>
      <c r="BGI3" s="239"/>
      <c r="BGJ3" s="239"/>
      <c r="BGK3" s="239"/>
      <c r="BGL3" s="239"/>
      <c r="BGM3" s="239"/>
      <c r="BGN3" s="239"/>
      <c r="BGO3" s="239"/>
      <c r="BGP3" s="239"/>
      <c r="BGQ3" s="239"/>
      <c r="BGR3" s="239"/>
      <c r="BGS3" s="239"/>
      <c r="BGT3" s="239"/>
      <c r="BGU3" s="239"/>
      <c r="BGV3" s="239"/>
      <c r="BGW3" s="239"/>
      <c r="BGX3" s="239"/>
      <c r="BGY3" s="239"/>
      <c r="BGZ3" s="239"/>
      <c r="BHA3" s="239"/>
      <c r="BHB3" s="239"/>
      <c r="BHC3" s="239"/>
      <c r="BHD3" s="239"/>
      <c r="BHE3" s="239"/>
      <c r="BHF3" s="239"/>
      <c r="BHG3" s="239"/>
      <c r="BHH3" s="239"/>
      <c r="BHI3" s="239"/>
      <c r="BHJ3" s="239"/>
      <c r="BHK3" s="239"/>
      <c r="BHL3" s="239"/>
      <c r="BHM3" s="239"/>
      <c r="BHN3" s="239"/>
      <c r="BHO3" s="239"/>
      <c r="BHP3" s="239"/>
      <c r="BHQ3" s="239"/>
      <c r="BHR3" s="239"/>
      <c r="BHS3" s="239"/>
      <c r="BHT3" s="239"/>
      <c r="BHU3" s="239"/>
      <c r="BHV3" s="239"/>
      <c r="BHW3" s="239"/>
      <c r="BHX3" s="239"/>
      <c r="BHY3" s="239"/>
      <c r="BHZ3" s="239"/>
      <c r="BIA3" s="239"/>
      <c r="BIB3" s="239"/>
      <c r="BIC3" s="239"/>
      <c r="BID3" s="239"/>
      <c r="BIE3" s="239"/>
      <c r="BIF3" s="239"/>
      <c r="BIG3" s="239"/>
      <c r="BIH3" s="239"/>
      <c r="BII3" s="239"/>
      <c r="BIJ3" s="239"/>
      <c r="BIK3" s="239"/>
      <c r="BIL3" s="239"/>
      <c r="BIM3" s="239"/>
      <c r="BIN3" s="239"/>
      <c r="BIO3" s="239"/>
      <c r="BIP3" s="239"/>
      <c r="BIQ3" s="239"/>
      <c r="BIR3" s="239"/>
      <c r="BIS3" s="239"/>
      <c r="BIT3" s="239"/>
      <c r="BIU3" s="239"/>
      <c r="BIV3" s="239"/>
      <c r="BIW3" s="239"/>
      <c r="BIX3" s="239"/>
      <c r="BIY3" s="239"/>
      <c r="BIZ3" s="239"/>
      <c r="BJA3" s="239"/>
      <c r="BJB3" s="239"/>
      <c r="BJC3" s="239"/>
      <c r="BJD3" s="239"/>
      <c r="BJE3" s="239"/>
      <c r="BJF3" s="239"/>
      <c r="BJG3" s="239"/>
      <c r="BJH3" s="239"/>
      <c r="BJI3" s="239"/>
      <c r="BJJ3" s="239"/>
      <c r="BJK3" s="239"/>
      <c r="BJL3" s="239"/>
      <c r="BJM3" s="239"/>
      <c r="BJN3" s="239"/>
      <c r="BJO3" s="239"/>
      <c r="BJP3" s="239"/>
      <c r="BJQ3" s="239"/>
      <c r="BJR3" s="239"/>
      <c r="BJS3" s="239"/>
      <c r="BJT3" s="239"/>
      <c r="BJU3" s="239"/>
      <c r="BJV3" s="239"/>
      <c r="BJW3" s="239"/>
      <c r="BJX3" s="239"/>
      <c r="BJY3" s="239"/>
      <c r="BJZ3" s="239"/>
      <c r="BKA3" s="239"/>
      <c r="BKB3" s="239"/>
      <c r="BKC3" s="239"/>
      <c r="BKD3" s="239"/>
      <c r="BKE3" s="239"/>
      <c r="BKF3" s="239"/>
      <c r="BKG3" s="239"/>
      <c r="BKH3" s="239"/>
      <c r="BKI3" s="239"/>
      <c r="BKJ3" s="239"/>
      <c r="BKK3" s="239"/>
      <c r="BKL3" s="239"/>
      <c r="BKM3" s="239"/>
      <c r="BKN3" s="239"/>
      <c r="BKO3" s="239"/>
      <c r="BKP3" s="239"/>
      <c r="BKQ3" s="239"/>
      <c r="BKR3" s="239"/>
      <c r="BKS3" s="239"/>
      <c r="BKT3" s="239"/>
      <c r="BKU3" s="239"/>
      <c r="BKV3" s="239"/>
      <c r="BKW3" s="239"/>
      <c r="BKX3" s="239"/>
      <c r="BKY3" s="239"/>
      <c r="BKZ3" s="239"/>
      <c r="BLA3" s="239"/>
      <c r="BLB3" s="239"/>
      <c r="BLC3" s="239"/>
      <c r="BLD3" s="239"/>
      <c r="BLE3" s="239"/>
      <c r="BLF3" s="239"/>
      <c r="BLG3" s="239"/>
      <c r="BLH3" s="239"/>
      <c r="BLI3" s="239"/>
      <c r="BLJ3" s="239"/>
      <c r="BLK3" s="239"/>
      <c r="BLL3" s="239"/>
      <c r="BLM3" s="239"/>
      <c r="BLN3" s="239"/>
      <c r="BLO3" s="239"/>
      <c r="BLP3" s="239"/>
      <c r="BLQ3" s="239"/>
      <c r="BLR3" s="239"/>
      <c r="BLS3" s="239"/>
      <c r="BLT3" s="239"/>
      <c r="BLU3" s="239"/>
      <c r="BLV3" s="239"/>
      <c r="BLW3" s="239"/>
      <c r="BLX3" s="239"/>
      <c r="BLY3" s="239"/>
      <c r="BLZ3" s="239"/>
      <c r="BMA3" s="239"/>
      <c r="BMB3" s="239"/>
      <c r="BMC3" s="239"/>
      <c r="BMD3" s="239"/>
      <c r="BME3" s="239"/>
      <c r="BMF3" s="239"/>
      <c r="BMG3" s="239"/>
      <c r="BMH3" s="239"/>
      <c r="BMI3" s="239"/>
      <c r="BMJ3" s="239"/>
      <c r="BMK3" s="239"/>
      <c r="BML3" s="239"/>
      <c r="BMM3" s="239"/>
      <c r="BMN3" s="239"/>
      <c r="BMO3" s="239"/>
      <c r="BMP3" s="239"/>
      <c r="BMQ3" s="239"/>
      <c r="BMR3" s="239"/>
      <c r="BMS3" s="239"/>
      <c r="BMT3" s="239"/>
      <c r="BMU3" s="239"/>
      <c r="BMV3" s="239"/>
      <c r="BMW3" s="239"/>
      <c r="BMX3" s="239"/>
      <c r="BMY3" s="239"/>
      <c r="BMZ3" s="239"/>
      <c r="BNA3" s="239"/>
      <c r="BNB3" s="239"/>
      <c r="BNC3" s="239"/>
      <c r="BND3" s="239"/>
      <c r="BNE3" s="239"/>
      <c r="BNF3" s="239"/>
      <c r="BNG3" s="239"/>
      <c r="BNH3" s="239"/>
      <c r="BNI3" s="239"/>
      <c r="BNJ3" s="239"/>
      <c r="BNK3" s="239"/>
      <c r="BNL3" s="239"/>
      <c r="BNM3" s="239"/>
      <c r="BNN3" s="239"/>
      <c r="BNO3" s="239"/>
      <c r="BNP3" s="239"/>
      <c r="BNQ3" s="239"/>
      <c r="BNR3" s="239"/>
      <c r="BNS3" s="239"/>
      <c r="BNT3" s="239"/>
      <c r="BNU3" s="239"/>
      <c r="BNV3" s="239"/>
      <c r="BNW3" s="239"/>
      <c r="BNX3" s="239"/>
      <c r="BNY3" s="239"/>
      <c r="BNZ3" s="239"/>
      <c r="BOA3" s="239"/>
      <c r="BOB3" s="239"/>
      <c r="BOC3" s="239"/>
      <c r="BOD3" s="239"/>
      <c r="BOE3" s="239"/>
      <c r="BOF3" s="239"/>
      <c r="BOG3" s="239"/>
      <c r="BOH3" s="239"/>
      <c r="BOI3" s="239"/>
      <c r="BOJ3" s="239"/>
      <c r="BOK3" s="239"/>
      <c r="BOL3" s="239"/>
      <c r="BOM3" s="239"/>
      <c r="BON3" s="239"/>
      <c r="BOO3" s="239"/>
      <c r="BOP3" s="239"/>
      <c r="BOQ3" s="239"/>
      <c r="BOR3" s="239"/>
      <c r="BOS3" s="239"/>
      <c r="BOT3" s="239"/>
      <c r="BOU3" s="239"/>
      <c r="BOV3" s="239"/>
      <c r="BOW3" s="239"/>
      <c r="BOX3" s="239"/>
      <c r="BOY3" s="239"/>
      <c r="BOZ3" s="239"/>
      <c r="BPA3" s="239"/>
      <c r="BPB3" s="239"/>
      <c r="BPC3" s="239"/>
      <c r="BPD3" s="239"/>
      <c r="BPE3" s="239"/>
      <c r="BPF3" s="239"/>
      <c r="BPG3" s="239"/>
      <c r="BPH3" s="239"/>
      <c r="BPI3" s="239"/>
      <c r="BPJ3" s="239"/>
      <c r="BPK3" s="239"/>
      <c r="BPL3" s="239"/>
      <c r="BPM3" s="239"/>
      <c r="BPN3" s="239"/>
      <c r="BPO3" s="239"/>
      <c r="BPP3" s="239"/>
      <c r="BPQ3" s="239"/>
      <c r="BPR3" s="239"/>
      <c r="BPS3" s="239"/>
      <c r="BPT3" s="239"/>
      <c r="BPU3" s="239"/>
      <c r="BPV3" s="239"/>
      <c r="BPW3" s="239"/>
      <c r="BPX3" s="239"/>
      <c r="BPY3" s="239"/>
      <c r="BPZ3" s="239"/>
      <c r="BQA3" s="239"/>
      <c r="BQB3" s="239"/>
      <c r="BQC3" s="239"/>
      <c r="BQD3" s="239"/>
      <c r="BQE3" s="239"/>
      <c r="BQF3" s="239"/>
      <c r="BQG3" s="239"/>
      <c r="BQH3" s="239"/>
      <c r="BQI3" s="239"/>
      <c r="BQJ3" s="239"/>
      <c r="BQK3" s="239"/>
      <c r="BQL3" s="239"/>
      <c r="BQM3" s="239"/>
      <c r="BQN3" s="239"/>
      <c r="BQO3" s="239"/>
      <c r="BQP3" s="239"/>
      <c r="BQQ3" s="239"/>
      <c r="BQR3" s="239"/>
      <c r="BQS3" s="239"/>
      <c r="BQT3" s="239"/>
      <c r="BQU3" s="239"/>
      <c r="BQV3" s="239"/>
      <c r="BQW3" s="239"/>
      <c r="BQX3" s="239"/>
      <c r="BQY3" s="239"/>
      <c r="BQZ3" s="239"/>
      <c r="BRA3" s="239"/>
      <c r="BRB3" s="239"/>
      <c r="BRC3" s="239"/>
      <c r="BRD3" s="239"/>
      <c r="BRE3" s="239"/>
      <c r="BRF3" s="239"/>
      <c r="BRG3" s="239"/>
      <c r="BRH3" s="239"/>
      <c r="BRI3" s="239"/>
      <c r="BRJ3" s="239"/>
      <c r="BRK3" s="239"/>
      <c r="BRL3" s="239"/>
      <c r="BRM3" s="239"/>
      <c r="BRN3" s="239"/>
      <c r="BRO3" s="239"/>
      <c r="BRP3" s="239"/>
      <c r="BRQ3" s="239"/>
      <c r="BRR3" s="239"/>
      <c r="BRS3" s="239"/>
      <c r="BRT3" s="239"/>
      <c r="BRU3" s="239"/>
      <c r="BRV3" s="239"/>
      <c r="BRW3" s="239"/>
      <c r="BRX3" s="239"/>
      <c r="BRY3" s="239"/>
      <c r="BRZ3" s="239"/>
      <c r="BSA3" s="239"/>
      <c r="BSB3" s="239"/>
      <c r="BSC3" s="239"/>
      <c r="BSD3" s="239"/>
      <c r="BSE3" s="239"/>
      <c r="BSF3" s="239"/>
      <c r="BSG3" s="239"/>
      <c r="BSH3" s="239"/>
      <c r="BSI3" s="239"/>
      <c r="BSJ3" s="239"/>
      <c r="BSK3" s="239"/>
      <c r="BSL3" s="239"/>
      <c r="BSM3" s="239"/>
      <c r="BSN3" s="239"/>
      <c r="BSO3" s="239"/>
      <c r="BSP3" s="239"/>
      <c r="BSQ3" s="239"/>
      <c r="BSR3" s="239"/>
      <c r="BSS3" s="239"/>
      <c r="BST3" s="239"/>
      <c r="BSU3" s="239"/>
      <c r="BSV3" s="239"/>
      <c r="BSW3" s="239"/>
      <c r="BSX3" s="239"/>
      <c r="BSY3" s="239"/>
      <c r="BSZ3" s="239"/>
      <c r="BTA3" s="239"/>
      <c r="BTB3" s="239"/>
      <c r="BTC3" s="239"/>
      <c r="BTD3" s="239"/>
      <c r="BTE3" s="239"/>
      <c r="BTF3" s="239"/>
      <c r="BTG3" s="239"/>
      <c r="BTH3" s="239"/>
      <c r="BTI3" s="239"/>
      <c r="BTJ3" s="239"/>
      <c r="BTK3" s="239"/>
      <c r="BTL3" s="239"/>
      <c r="BTM3" s="239"/>
      <c r="BTN3" s="239"/>
      <c r="BTO3" s="239"/>
      <c r="BTP3" s="239"/>
      <c r="BTQ3" s="239"/>
      <c r="BTR3" s="239"/>
      <c r="BTS3" s="239"/>
      <c r="BTT3" s="239"/>
      <c r="BTU3" s="239"/>
      <c r="BTV3" s="239"/>
      <c r="BTW3" s="239"/>
      <c r="BTX3" s="239"/>
      <c r="BTY3" s="239"/>
      <c r="BTZ3" s="239"/>
      <c r="BUA3" s="239"/>
      <c r="BUB3" s="239"/>
      <c r="BUC3" s="239"/>
      <c r="BUD3" s="239"/>
      <c r="BUE3" s="239"/>
      <c r="BUF3" s="239"/>
      <c r="BUG3" s="239"/>
      <c r="BUH3" s="239"/>
      <c r="BUI3" s="239"/>
      <c r="BUJ3" s="239"/>
      <c r="BUK3" s="239"/>
      <c r="BUL3" s="239"/>
      <c r="BUM3" s="239"/>
      <c r="BUN3" s="239"/>
      <c r="BUO3" s="239"/>
      <c r="BUP3" s="239"/>
      <c r="BUQ3" s="239"/>
      <c r="BUR3" s="239"/>
      <c r="BUS3" s="239"/>
      <c r="BUT3" s="239"/>
      <c r="BUU3" s="239"/>
      <c r="BUV3" s="239"/>
      <c r="BUW3" s="239"/>
      <c r="BUX3" s="239"/>
      <c r="BUY3" s="239"/>
      <c r="BUZ3" s="239"/>
      <c r="BVA3" s="239"/>
      <c r="BVB3" s="239"/>
      <c r="BVC3" s="239"/>
      <c r="BVD3" s="239"/>
      <c r="BVE3" s="239"/>
      <c r="BVF3" s="239"/>
      <c r="BVG3" s="239"/>
      <c r="BVH3" s="239"/>
      <c r="BVI3" s="239"/>
      <c r="BVJ3" s="239"/>
      <c r="BVK3" s="239"/>
      <c r="BVL3" s="239"/>
      <c r="BVM3" s="239"/>
      <c r="BVN3" s="239"/>
      <c r="BVO3" s="239"/>
      <c r="BVP3" s="239"/>
      <c r="BVQ3" s="239"/>
      <c r="BVR3" s="239"/>
      <c r="BVS3" s="239"/>
      <c r="BVT3" s="239"/>
      <c r="BVU3" s="239"/>
      <c r="BVV3" s="239"/>
      <c r="BVW3" s="239"/>
      <c r="BVX3" s="239"/>
      <c r="BVY3" s="239"/>
      <c r="BVZ3" s="239"/>
      <c r="BWA3" s="239"/>
      <c r="BWB3" s="239"/>
      <c r="BWC3" s="239"/>
      <c r="BWD3" s="239"/>
      <c r="BWE3" s="239"/>
      <c r="BWF3" s="239"/>
      <c r="BWG3" s="239"/>
      <c r="BWH3" s="239"/>
      <c r="BWI3" s="239"/>
      <c r="BWJ3" s="239"/>
      <c r="BWK3" s="239"/>
      <c r="BWL3" s="239"/>
      <c r="BWM3" s="239"/>
      <c r="BWN3" s="239"/>
      <c r="BWO3" s="239"/>
      <c r="BWP3" s="239"/>
      <c r="BWQ3" s="239"/>
      <c r="BWR3" s="239"/>
      <c r="BWS3" s="239"/>
      <c r="BWT3" s="239"/>
      <c r="BWU3" s="239"/>
      <c r="BWV3" s="239"/>
      <c r="BWW3" s="239"/>
      <c r="BWX3" s="239"/>
      <c r="BWY3" s="239"/>
      <c r="BWZ3" s="239"/>
      <c r="BXA3" s="239"/>
      <c r="BXB3" s="239"/>
      <c r="BXC3" s="239"/>
      <c r="BXD3" s="239"/>
      <c r="BXE3" s="239"/>
      <c r="BXF3" s="239"/>
      <c r="BXG3" s="239"/>
      <c r="BXH3" s="239"/>
      <c r="BXI3" s="239"/>
      <c r="BXJ3" s="239"/>
      <c r="BXK3" s="239"/>
      <c r="BXL3" s="239"/>
      <c r="BXM3" s="239"/>
      <c r="BXN3" s="239"/>
      <c r="BXO3" s="239"/>
      <c r="BXP3" s="239"/>
      <c r="BXQ3" s="239"/>
      <c r="BXR3" s="239"/>
      <c r="BXS3" s="239"/>
      <c r="BXT3" s="239"/>
      <c r="BXU3" s="239"/>
      <c r="BXV3" s="239"/>
      <c r="BXW3" s="239"/>
      <c r="BXX3" s="239"/>
      <c r="BXY3" s="239"/>
      <c r="BXZ3" s="239"/>
      <c r="BYA3" s="239"/>
      <c r="BYB3" s="239"/>
      <c r="BYC3" s="239"/>
      <c r="BYD3" s="239"/>
      <c r="BYE3" s="239"/>
      <c r="BYF3" s="239"/>
      <c r="BYG3" s="239"/>
      <c r="BYH3" s="239"/>
      <c r="BYI3" s="239"/>
      <c r="BYJ3" s="239"/>
      <c r="BYK3" s="239"/>
      <c r="BYL3" s="239"/>
      <c r="BYM3" s="239"/>
      <c r="BYN3" s="239"/>
      <c r="BYO3" s="239"/>
      <c r="BYP3" s="239"/>
      <c r="BYQ3" s="239"/>
      <c r="BYR3" s="239"/>
      <c r="BYS3" s="239"/>
      <c r="BYT3" s="239"/>
      <c r="BYU3" s="239"/>
      <c r="BYV3" s="239"/>
      <c r="BYW3" s="239"/>
      <c r="BYX3" s="239"/>
      <c r="BYY3" s="239"/>
      <c r="BYZ3" s="239"/>
      <c r="BZA3" s="239"/>
      <c r="BZB3" s="239"/>
      <c r="BZC3" s="239"/>
      <c r="BZD3" s="239"/>
      <c r="BZE3" s="239"/>
      <c r="BZF3" s="239"/>
      <c r="BZG3" s="239"/>
      <c r="BZH3" s="239"/>
      <c r="BZI3" s="239"/>
      <c r="BZJ3" s="239"/>
      <c r="BZK3" s="239"/>
      <c r="BZL3" s="239"/>
      <c r="BZM3" s="239"/>
      <c r="BZN3" s="239"/>
      <c r="BZO3" s="239"/>
      <c r="BZP3" s="239"/>
      <c r="BZQ3" s="239"/>
      <c r="BZR3" s="239"/>
      <c r="BZS3" s="239"/>
      <c r="BZT3" s="239"/>
      <c r="BZU3" s="239"/>
      <c r="BZV3" s="239"/>
      <c r="BZW3" s="239"/>
      <c r="BZX3" s="239"/>
      <c r="BZY3" s="239"/>
      <c r="BZZ3" s="239"/>
      <c r="CAA3" s="239"/>
      <c r="CAB3" s="239"/>
      <c r="CAC3" s="239"/>
      <c r="CAD3" s="239"/>
      <c r="CAE3" s="239"/>
      <c r="CAF3" s="239"/>
      <c r="CAG3" s="239"/>
      <c r="CAH3" s="239"/>
      <c r="CAI3" s="239"/>
      <c r="CAJ3" s="239"/>
      <c r="CAK3" s="239"/>
      <c r="CAL3" s="239"/>
      <c r="CAM3" s="239"/>
      <c r="CAN3" s="239"/>
      <c r="CAO3" s="239"/>
      <c r="CAP3" s="239"/>
      <c r="CAQ3" s="239"/>
      <c r="CAR3" s="239"/>
      <c r="CAS3" s="239"/>
      <c r="CAT3" s="239"/>
      <c r="CAU3" s="239"/>
      <c r="CAV3" s="239"/>
      <c r="CAW3" s="239"/>
      <c r="CAX3" s="239"/>
      <c r="CAY3" s="239"/>
      <c r="CAZ3" s="239"/>
      <c r="CBA3" s="239"/>
      <c r="CBB3" s="239"/>
      <c r="CBC3" s="239"/>
      <c r="CBD3" s="239"/>
      <c r="CBE3" s="239"/>
      <c r="CBF3" s="239"/>
      <c r="CBG3" s="239"/>
      <c r="CBH3" s="239"/>
      <c r="CBI3" s="239"/>
      <c r="CBJ3" s="239"/>
      <c r="CBK3" s="239"/>
      <c r="CBL3" s="239"/>
      <c r="CBM3" s="239"/>
      <c r="CBN3" s="239"/>
      <c r="CBO3" s="239"/>
      <c r="CBP3" s="239"/>
      <c r="CBQ3" s="239"/>
      <c r="CBR3" s="239"/>
      <c r="CBS3" s="239"/>
      <c r="CBT3" s="239"/>
      <c r="CBU3" s="239"/>
      <c r="CBV3" s="239"/>
      <c r="CBW3" s="239"/>
      <c r="CBX3" s="239"/>
      <c r="CBY3" s="239"/>
      <c r="CBZ3" s="239"/>
      <c r="CCA3" s="239"/>
      <c r="CCB3" s="239"/>
      <c r="CCC3" s="239"/>
      <c r="CCD3" s="239"/>
      <c r="CCE3" s="239"/>
      <c r="CCF3" s="239"/>
      <c r="CCG3" s="239"/>
      <c r="CCH3" s="239"/>
      <c r="CCI3" s="239"/>
      <c r="CCJ3" s="239"/>
      <c r="CCK3" s="239"/>
      <c r="CCL3" s="239"/>
      <c r="CCM3" s="239"/>
      <c r="CCN3" s="239"/>
      <c r="CCO3" s="239"/>
      <c r="CCP3" s="239"/>
      <c r="CCQ3" s="239"/>
      <c r="CCR3" s="239"/>
      <c r="CCS3" s="239"/>
      <c r="CCT3" s="239"/>
      <c r="CCU3" s="239"/>
      <c r="CCV3" s="239"/>
      <c r="CCW3" s="239"/>
      <c r="CCX3" s="239"/>
      <c r="CCY3" s="239"/>
      <c r="CCZ3" s="239"/>
      <c r="CDA3" s="239"/>
      <c r="CDB3" s="239"/>
      <c r="CDC3" s="239"/>
      <c r="CDD3" s="239"/>
      <c r="CDE3" s="239"/>
      <c r="CDF3" s="239"/>
      <c r="CDG3" s="239"/>
      <c r="CDH3" s="239"/>
      <c r="CDI3" s="239"/>
      <c r="CDJ3" s="239"/>
      <c r="CDK3" s="239"/>
      <c r="CDL3" s="239"/>
      <c r="CDM3" s="239"/>
      <c r="CDN3" s="239"/>
      <c r="CDO3" s="239"/>
      <c r="CDP3" s="239"/>
      <c r="CDQ3" s="239"/>
      <c r="CDR3" s="239"/>
      <c r="CDS3" s="239"/>
      <c r="CDT3" s="239"/>
      <c r="CDU3" s="239"/>
      <c r="CDV3" s="239"/>
      <c r="CDW3" s="239"/>
      <c r="CDX3" s="239"/>
      <c r="CDY3" s="239"/>
      <c r="CDZ3" s="239"/>
      <c r="CEA3" s="239"/>
      <c r="CEB3" s="239"/>
      <c r="CEC3" s="239"/>
      <c r="CED3" s="239"/>
      <c r="CEE3" s="239"/>
      <c r="CEF3" s="239"/>
      <c r="CEG3" s="239"/>
      <c r="CEH3" s="239"/>
      <c r="CEI3" s="239"/>
      <c r="CEJ3" s="239"/>
      <c r="CEK3" s="239"/>
      <c r="CEL3" s="239"/>
      <c r="CEM3" s="239"/>
      <c r="CEN3" s="239"/>
      <c r="CEO3" s="239"/>
      <c r="CEP3" s="239"/>
      <c r="CEQ3" s="239"/>
      <c r="CER3" s="239"/>
      <c r="CES3" s="239"/>
      <c r="CET3" s="239"/>
      <c r="CEU3" s="239"/>
      <c r="CEV3" s="239"/>
      <c r="CEW3" s="239"/>
      <c r="CEX3" s="239"/>
      <c r="CEY3" s="239"/>
      <c r="CEZ3" s="239"/>
      <c r="CFA3" s="239"/>
      <c r="CFB3" s="239"/>
      <c r="CFC3" s="239"/>
      <c r="CFD3" s="239"/>
      <c r="CFE3" s="239"/>
      <c r="CFF3" s="239"/>
      <c r="CFG3" s="239"/>
      <c r="CFH3" s="239"/>
      <c r="CFI3" s="239"/>
      <c r="CFJ3" s="239"/>
      <c r="CFK3" s="239"/>
      <c r="CFL3" s="239"/>
      <c r="CFM3" s="239"/>
      <c r="CFN3" s="239"/>
      <c r="CFO3" s="239"/>
      <c r="CFP3" s="239"/>
      <c r="CFQ3" s="239"/>
      <c r="CFR3" s="239"/>
      <c r="CFS3" s="239"/>
      <c r="CFT3" s="239"/>
      <c r="CFU3" s="239"/>
      <c r="CFV3" s="239"/>
      <c r="CFW3" s="239"/>
      <c r="CFX3" s="239"/>
      <c r="CFY3" s="239"/>
      <c r="CFZ3" s="239"/>
      <c r="CGA3" s="239"/>
      <c r="CGB3" s="239"/>
      <c r="CGC3" s="239"/>
      <c r="CGD3" s="239"/>
      <c r="CGE3" s="239"/>
      <c r="CGF3" s="239"/>
      <c r="CGG3" s="239"/>
      <c r="CGH3" s="239"/>
      <c r="CGI3" s="239"/>
      <c r="CGJ3" s="239"/>
      <c r="CGK3" s="239"/>
      <c r="CGL3" s="239"/>
      <c r="CGM3" s="239"/>
      <c r="CGN3" s="239"/>
      <c r="CGO3" s="239"/>
      <c r="CGP3" s="239"/>
      <c r="CGQ3" s="239"/>
      <c r="CGR3" s="239"/>
      <c r="CGS3" s="239"/>
      <c r="CGT3" s="239"/>
      <c r="CGU3" s="239"/>
      <c r="CGV3" s="239"/>
      <c r="CGW3" s="239"/>
      <c r="CGX3" s="239"/>
      <c r="CGY3" s="239"/>
      <c r="CGZ3" s="239"/>
      <c r="CHA3" s="239"/>
      <c r="CHB3" s="239"/>
      <c r="CHC3" s="239"/>
      <c r="CHD3" s="239"/>
      <c r="CHE3" s="239"/>
      <c r="CHF3" s="239"/>
      <c r="CHG3" s="239"/>
      <c r="CHH3" s="239"/>
      <c r="CHI3" s="239"/>
      <c r="CHJ3" s="239"/>
      <c r="CHK3" s="239"/>
      <c r="CHL3" s="239"/>
      <c r="CHM3" s="239"/>
      <c r="CHN3" s="239"/>
      <c r="CHO3" s="239"/>
      <c r="CHP3" s="239"/>
      <c r="CHQ3" s="239"/>
      <c r="CHR3" s="239"/>
      <c r="CHS3" s="239"/>
      <c r="CHT3" s="239"/>
      <c r="CHU3" s="239"/>
      <c r="CHV3" s="239"/>
      <c r="CHW3" s="239"/>
      <c r="CHX3" s="239"/>
      <c r="CHY3" s="239"/>
      <c r="CHZ3" s="239"/>
      <c r="CIA3" s="239"/>
      <c r="CIB3" s="239"/>
      <c r="CIC3" s="239"/>
      <c r="CID3" s="239"/>
      <c r="CIE3" s="239"/>
      <c r="CIF3" s="239"/>
      <c r="CIG3" s="239"/>
      <c r="CIH3" s="239"/>
      <c r="CII3" s="239"/>
      <c r="CIJ3" s="239"/>
      <c r="CIK3" s="239"/>
      <c r="CIL3" s="239"/>
      <c r="CIM3" s="239"/>
      <c r="CIN3" s="239"/>
      <c r="CIO3" s="239"/>
      <c r="CIP3" s="239"/>
      <c r="CIQ3" s="239"/>
      <c r="CIR3" s="239"/>
      <c r="CIS3" s="239"/>
      <c r="CIT3" s="239"/>
      <c r="CIU3" s="239"/>
      <c r="CIV3" s="239"/>
      <c r="CIW3" s="239"/>
      <c r="CIX3" s="239"/>
      <c r="CIY3" s="239"/>
      <c r="CIZ3" s="239"/>
      <c r="CJA3" s="239"/>
      <c r="CJB3" s="239"/>
      <c r="CJC3" s="239"/>
      <c r="CJD3" s="239"/>
      <c r="CJE3" s="239"/>
      <c r="CJF3" s="239"/>
      <c r="CJG3" s="239"/>
      <c r="CJH3" s="239"/>
      <c r="CJI3" s="239"/>
      <c r="CJJ3" s="239"/>
      <c r="CJK3" s="239"/>
      <c r="CJL3" s="239"/>
      <c r="CJM3" s="239"/>
      <c r="CJN3" s="239"/>
      <c r="CJO3" s="239"/>
      <c r="CJP3" s="239"/>
      <c r="CJQ3" s="239"/>
      <c r="CJR3" s="239"/>
      <c r="CJS3" s="239"/>
      <c r="CJT3" s="239"/>
      <c r="CJU3" s="239"/>
      <c r="CJV3" s="239"/>
      <c r="CJW3" s="239"/>
      <c r="CJX3" s="239"/>
      <c r="CJY3" s="239"/>
      <c r="CJZ3" s="239"/>
      <c r="CKA3" s="239"/>
      <c r="CKB3" s="239"/>
      <c r="CKC3" s="239"/>
      <c r="CKD3" s="239"/>
      <c r="CKE3" s="239"/>
      <c r="CKF3" s="239"/>
      <c r="CKG3" s="239"/>
      <c r="CKH3" s="239"/>
      <c r="CKI3" s="239"/>
      <c r="CKJ3" s="239"/>
      <c r="CKK3" s="239"/>
      <c r="CKL3" s="239"/>
      <c r="CKM3" s="239"/>
      <c r="CKN3" s="239"/>
      <c r="CKO3" s="239"/>
      <c r="CKP3" s="239"/>
      <c r="CKQ3" s="239"/>
      <c r="CKR3" s="239"/>
      <c r="CKS3" s="239"/>
      <c r="CKT3" s="239"/>
      <c r="CKU3" s="239"/>
      <c r="CKV3" s="239"/>
      <c r="CKW3" s="239"/>
      <c r="CKX3" s="239"/>
      <c r="CKY3" s="239"/>
      <c r="CKZ3" s="239"/>
      <c r="CLA3" s="239"/>
      <c r="CLB3" s="239"/>
      <c r="CLC3" s="239"/>
      <c r="CLD3" s="239"/>
      <c r="CLE3" s="239"/>
      <c r="CLF3" s="239"/>
    </row>
    <row r="4" spans="1:8915" ht="90">
      <c r="B4" s="114" t="s">
        <v>0</v>
      </c>
      <c r="C4" s="114" t="s">
        <v>149</v>
      </c>
      <c r="D4" s="263" t="s">
        <v>8</v>
      </c>
      <c r="E4" s="263" t="s">
        <v>147</v>
      </c>
      <c r="F4" s="115" t="s">
        <v>9</v>
      </c>
      <c r="G4" s="115" t="s">
        <v>148</v>
      </c>
      <c r="H4" s="115" t="s">
        <v>131</v>
      </c>
      <c r="I4" s="115" t="s">
        <v>130</v>
      </c>
      <c r="J4" s="263" t="s">
        <v>129</v>
      </c>
      <c r="K4" s="263" t="s">
        <v>139</v>
      </c>
      <c r="L4" s="115" t="s">
        <v>136</v>
      </c>
      <c r="M4" s="115" t="s">
        <v>10</v>
      </c>
      <c r="N4" s="116" t="s">
        <v>137</v>
      </c>
      <c r="O4" s="116" t="s">
        <v>150</v>
      </c>
      <c r="P4" s="117" t="s">
        <v>135</v>
      </c>
      <c r="Q4" s="117" t="s">
        <v>134</v>
      </c>
      <c r="R4" s="117" t="s">
        <v>133</v>
      </c>
      <c r="S4" s="117" t="s">
        <v>132</v>
      </c>
      <c r="T4" s="117" t="s">
        <v>214</v>
      </c>
      <c r="U4" s="117" t="s">
        <v>207</v>
      </c>
      <c r="V4" s="118" t="s">
        <v>138</v>
      </c>
      <c r="W4" s="56" t="s">
        <v>6</v>
      </c>
      <c r="X4" s="238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39"/>
      <c r="BW4" s="239"/>
      <c r="BX4" s="239"/>
      <c r="BY4" s="239"/>
      <c r="BZ4" s="239"/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39"/>
      <c r="CL4" s="239"/>
      <c r="CM4" s="239"/>
      <c r="CN4" s="239"/>
      <c r="CO4" s="239"/>
      <c r="CP4" s="239"/>
      <c r="CQ4" s="239"/>
      <c r="CR4" s="239"/>
      <c r="CS4" s="239"/>
      <c r="CT4" s="239"/>
      <c r="CU4" s="239"/>
      <c r="CV4" s="239"/>
      <c r="CW4" s="239"/>
      <c r="CX4" s="239"/>
      <c r="CY4" s="239"/>
      <c r="CZ4" s="239"/>
      <c r="DA4" s="239"/>
      <c r="DB4" s="239"/>
      <c r="DC4" s="239"/>
      <c r="DD4" s="239"/>
      <c r="DE4" s="239"/>
      <c r="DF4" s="239"/>
      <c r="DG4" s="239"/>
      <c r="DH4" s="239"/>
      <c r="DI4" s="239"/>
      <c r="DJ4" s="239"/>
      <c r="DK4" s="239"/>
      <c r="DL4" s="239"/>
      <c r="DM4" s="239"/>
      <c r="DN4" s="239"/>
      <c r="DO4" s="239"/>
      <c r="DP4" s="239"/>
      <c r="DQ4" s="239"/>
      <c r="DR4" s="239"/>
      <c r="DS4" s="239"/>
      <c r="DT4" s="239"/>
      <c r="DU4" s="239"/>
      <c r="DV4" s="239"/>
      <c r="DW4" s="239"/>
      <c r="DX4" s="239"/>
      <c r="DY4" s="239"/>
      <c r="DZ4" s="239"/>
      <c r="EA4" s="239"/>
      <c r="EB4" s="239"/>
      <c r="EC4" s="239"/>
      <c r="ED4" s="239"/>
      <c r="EE4" s="239"/>
      <c r="EF4" s="239"/>
      <c r="EG4" s="239"/>
      <c r="EH4" s="239"/>
      <c r="EI4" s="239"/>
      <c r="EJ4" s="239"/>
      <c r="EK4" s="239"/>
      <c r="EL4" s="239"/>
      <c r="EM4" s="239"/>
      <c r="EN4" s="239"/>
      <c r="EO4" s="239"/>
      <c r="EP4" s="239"/>
      <c r="EQ4" s="239"/>
      <c r="ER4" s="239"/>
      <c r="ES4" s="239"/>
      <c r="ET4" s="239"/>
      <c r="EU4" s="239"/>
      <c r="EV4" s="239"/>
      <c r="EW4" s="239"/>
      <c r="EX4" s="239"/>
      <c r="EY4" s="239"/>
      <c r="EZ4" s="239"/>
      <c r="FA4" s="239"/>
      <c r="FB4" s="239"/>
      <c r="FC4" s="239"/>
      <c r="FD4" s="239"/>
      <c r="FE4" s="239"/>
      <c r="FF4" s="239"/>
      <c r="FG4" s="239"/>
      <c r="FH4" s="239"/>
      <c r="FI4" s="239"/>
      <c r="FJ4" s="239"/>
      <c r="FK4" s="239"/>
      <c r="FL4" s="239"/>
      <c r="FM4" s="239"/>
      <c r="FN4" s="239"/>
      <c r="FO4" s="239"/>
      <c r="FP4" s="239"/>
      <c r="FQ4" s="239"/>
      <c r="FR4" s="239"/>
      <c r="FS4" s="239"/>
      <c r="FT4" s="239"/>
      <c r="FU4" s="239"/>
      <c r="FV4" s="239"/>
      <c r="FW4" s="239"/>
      <c r="FX4" s="239"/>
      <c r="FY4" s="239"/>
      <c r="FZ4" s="239"/>
      <c r="GA4" s="239"/>
      <c r="GB4" s="239"/>
      <c r="GC4" s="239"/>
      <c r="GD4" s="239"/>
      <c r="GE4" s="239"/>
      <c r="GF4" s="239"/>
      <c r="GG4" s="239"/>
      <c r="GH4" s="239"/>
      <c r="GI4" s="239"/>
      <c r="GJ4" s="239"/>
      <c r="GK4" s="239"/>
      <c r="GL4" s="239"/>
      <c r="GM4" s="239"/>
      <c r="GN4" s="239"/>
      <c r="GO4" s="239"/>
      <c r="GP4" s="239"/>
      <c r="GQ4" s="239"/>
      <c r="GR4" s="239"/>
      <c r="GS4" s="239"/>
      <c r="GT4" s="239"/>
      <c r="GU4" s="239"/>
      <c r="GV4" s="239"/>
      <c r="GW4" s="239"/>
      <c r="GX4" s="239"/>
      <c r="GY4" s="239"/>
      <c r="GZ4" s="239"/>
      <c r="HA4" s="239"/>
      <c r="HB4" s="239"/>
      <c r="HC4" s="239"/>
      <c r="HD4" s="239"/>
      <c r="HE4" s="239"/>
      <c r="HF4" s="239"/>
      <c r="HG4" s="239"/>
      <c r="HH4" s="239"/>
      <c r="HI4" s="239"/>
      <c r="HJ4" s="239"/>
      <c r="HK4" s="239"/>
      <c r="HL4" s="239"/>
      <c r="HM4" s="239"/>
      <c r="HN4" s="239"/>
      <c r="HO4" s="239"/>
      <c r="HP4" s="239"/>
      <c r="HQ4" s="239"/>
      <c r="HR4" s="239"/>
      <c r="HS4" s="239"/>
      <c r="HT4" s="239"/>
      <c r="HU4" s="239"/>
      <c r="HV4" s="239"/>
      <c r="HW4" s="239"/>
      <c r="HX4" s="239"/>
      <c r="HY4" s="239"/>
      <c r="HZ4" s="239"/>
      <c r="IA4" s="239"/>
      <c r="IB4" s="239"/>
      <c r="IC4" s="239"/>
      <c r="ID4" s="239"/>
      <c r="IE4" s="239"/>
      <c r="IF4" s="239"/>
      <c r="IG4" s="239"/>
      <c r="IH4" s="239"/>
      <c r="II4" s="239"/>
      <c r="IJ4" s="239"/>
      <c r="IK4" s="239"/>
      <c r="IL4" s="239"/>
      <c r="IM4" s="239"/>
      <c r="IN4" s="239"/>
      <c r="IO4" s="239"/>
      <c r="IP4" s="239"/>
      <c r="IQ4" s="239"/>
      <c r="IR4" s="239"/>
      <c r="IS4" s="239"/>
      <c r="IT4" s="239"/>
      <c r="IU4" s="239"/>
      <c r="IV4" s="239"/>
      <c r="IW4" s="239"/>
      <c r="IX4" s="239"/>
      <c r="IY4" s="239"/>
      <c r="IZ4" s="239"/>
      <c r="JA4" s="239"/>
      <c r="JB4" s="239"/>
      <c r="JC4" s="239"/>
      <c r="JD4" s="239"/>
      <c r="JE4" s="239"/>
      <c r="JF4" s="239"/>
      <c r="JG4" s="239"/>
      <c r="JH4" s="239"/>
      <c r="JI4" s="239"/>
      <c r="JJ4" s="239"/>
      <c r="JK4" s="239"/>
      <c r="JL4" s="239"/>
      <c r="JM4" s="239"/>
      <c r="JN4" s="239"/>
      <c r="JO4" s="239"/>
      <c r="JP4" s="239"/>
      <c r="JQ4" s="239"/>
      <c r="JR4" s="239"/>
      <c r="JS4" s="239"/>
      <c r="JT4" s="239"/>
      <c r="JU4" s="239"/>
      <c r="JV4" s="239"/>
      <c r="JW4" s="239"/>
      <c r="JX4" s="239"/>
      <c r="JY4" s="239"/>
      <c r="JZ4" s="239"/>
      <c r="KA4" s="239"/>
      <c r="KB4" s="239"/>
      <c r="KC4" s="239"/>
      <c r="KD4" s="239"/>
      <c r="KE4" s="239"/>
      <c r="KF4" s="239"/>
      <c r="KG4" s="239"/>
      <c r="KH4" s="239"/>
      <c r="KI4" s="239"/>
      <c r="KJ4" s="239"/>
      <c r="KK4" s="239"/>
      <c r="KL4" s="239"/>
      <c r="KM4" s="239"/>
      <c r="KN4" s="239"/>
      <c r="KO4" s="239"/>
      <c r="KP4" s="239"/>
      <c r="KQ4" s="239"/>
      <c r="KR4" s="239"/>
      <c r="KS4" s="239"/>
      <c r="KT4" s="239"/>
      <c r="KU4" s="239"/>
      <c r="KV4" s="239"/>
      <c r="KW4" s="239"/>
      <c r="KX4" s="239"/>
      <c r="KY4" s="239"/>
      <c r="KZ4" s="239"/>
      <c r="LA4" s="239"/>
      <c r="LB4" s="239"/>
      <c r="LC4" s="239"/>
      <c r="LD4" s="239"/>
      <c r="LE4" s="239"/>
      <c r="LF4" s="239"/>
      <c r="LG4" s="239"/>
      <c r="LH4" s="239"/>
      <c r="LI4" s="239"/>
      <c r="LJ4" s="239"/>
      <c r="LK4" s="239"/>
      <c r="LL4" s="239"/>
      <c r="LM4" s="239"/>
      <c r="LN4" s="239"/>
      <c r="LO4" s="239"/>
      <c r="LP4" s="239"/>
      <c r="LQ4" s="239"/>
      <c r="LR4" s="239"/>
      <c r="LS4" s="239"/>
      <c r="LT4" s="239"/>
      <c r="LU4" s="239"/>
      <c r="LV4" s="239"/>
      <c r="LW4" s="239"/>
      <c r="LX4" s="239"/>
      <c r="LY4" s="239"/>
      <c r="LZ4" s="239"/>
      <c r="MA4" s="239"/>
      <c r="MB4" s="239"/>
      <c r="MC4" s="239"/>
      <c r="MD4" s="239"/>
      <c r="ME4" s="239"/>
      <c r="MF4" s="239"/>
      <c r="MG4" s="239"/>
      <c r="MH4" s="239"/>
      <c r="MI4" s="239"/>
      <c r="MJ4" s="239"/>
      <c r="MK4" s="239"/>
      <c r="ML4" s="239"/>
      <c r="MM4" s="239"/>
      <c r="MN4" s="239"/>
      <c r="MO4" s="239"/>
      <c r="MP4" s="239"/>
      <c r="MQ4" s="239"/>
      <c r="MR4" s="239"/>
      <c r="MS4" s="239"/>
      <c r="MT4" s="239"/>
      <c r="MU4" s="239"/>
      <c r="MV4" s="239"/>
      <c r="MW4" s="239"/>
      <c r="MX4" s="239"/>
      <c r="MY4" s="239"/>
      <c r="MZ4" s="239"/>
      <c r="NA4" s="239"/>
      <c r="NB4" s="239"/>
      <c r="NC4" s="239"/>
      <c r="ND4" s="239"/>
      <c r="NE4" s="239"/>
      <c r="NF4" s="239"/>
      <c r="NG4" s="239"/>
      <c r="NH4" s="239"/>
      <c r="NI4" s="239"/>
      <c r="NJ4" s="239"/>
      <c r="NK4" s="239"/>
      <c r="NL4" s="239"/>
      <c r="NM4" s="239"/>
      <c r="NN4" s="239"/>
      <c r="NO4" s="239"/>
      <c r="NP4" s="239"/>
      <c r="NQ4" s="239"/>
      <c r="NR4" s="239"/>
      <c r="NS4" s="239"/>
      <c r="NT4" s="239"/>
      <c r="NU4" s="239"/>
      <c r="NV4" s="239"/>
      <c r="NW4" s="239"/>
      <c r="NX4" s="239"/>
      <c r="NY4" s="239"/>
      <c r="NZ4" s="239"/>
      <c r="OA4" s="239"/>
      <c r="OB4" s="239"/>
      <c r="OC4" s="239"/>
      <c r="OD4" s="239"/>
      <c r="OE4" s="239"/>
      <c r="OF4" s="239"/>
      <c r="OG4" s="239"/>
      <c r="OH4" s="239"/>
      <c r="OI4" s="239"/>
      <c r="OJ4" s="239"/>
      <c r="OK4" s="239"/>
      <c r="OL4" s="239"/>
      <c r="OM4" s="239"/>
      <c r="ON4" s="239"/>
      <c r="OO4" s="239"/>
      <c r="OP4" s="239"/>
      <c r="OQ4" s="239"/>
      <c r="OR4" s="239"/>
      <c r="OS4" s="239"/>
      <c r="OT4" s="239"/>
      <c r="OU4" s="239"/>
      <c r="OV4" s="239"/>
      <c r="OW4" s="239"/>
      <c r="OX4" s="239"/>
      <c r="OY4" s="239"/>
      <c r="OZ4" s="239"/>
      <c r="PA4" s="239"/>
      <c r="PB4" s="239"/>
      <c r="PC4" s="239"/>
      <c r="PD4" s="239"/>
      <c r="PE4" s="239"/>
      <c r="PF4" s="239"/>
      <c r="PG4" s="239"/>
      <c r="PH4" s="239"/>
      <c r="PI4" s="239"/>
      <c r="PJ4" s="239"/>
      <c r="PK4" s="239"/>
      <c r="PL4" s="239"/>
      <c r="PM4" s="239"/>
      <c r="PN4" s="239"/>
      <c r="PO4" s="239"/>
      <c r="PP4" s="239"/>
      <c r="PQ4" s="239"/>
      <c r="PR4" s="239"/>
      <c r="PS4" s="239"/>
      <c r="PT4" s="239"/>
      <c r="PU4" s="239"/>
      <c r="PV4" s="239"/>
      <c r="PW4" s="239"/>
      <c r="PX4" s="239"/>
      <c r="PY4" s="239"/>
      <c r="PZ4" s="239"/>
      <c r="QA4" s="239"/>
      <c r="QB4" s="239"/>
      <c r="QC4" s="239"/>
      <c r="QD4" s="239"/>
      <c r="QE4" s="239"/>
      <c r="QF4" s="239"/>
      <c r="QG4" s="239"/>
      <c r="QH4" s="239"/>
      <c r="QI4" s="239"/>
      <c r="QJ4" s="239"/>
      <c r="QK4" s="239"/>
      <c r="QL4" s="239"/>
      <c r="QM4" s="239"/>
      <c r="QN4" s="239"/>
      <c r="QO4" s="239"/>
      <c r="QP4" s="239"/>
      <c r="QQ4" s="239"/>
      <c r="QR4" s="239"/>
      <c r="QS4" s="239"/>
      <c r="QT4" s="239"/>
      <c r="QU4" s="239"/>
      <c r="QV4" s="239"/>
      <c r="QW4" s="239"/>
      <c r="QX4" s="239"/>
      <c r="QY4" s="239"/>
      <c r="QZ4" s="239"/>
      <c r="RA4" s="239"/>
      <c r="RB4" s="239"/>
      <c r="RC4" s="239"/>
      <c r="RD4" s="239"/>
      <c r="RE4" s="239"/>
      <c r="RF4" s="239"/>
      <c r="RG4" s="239"/>
      <c r="RH4" s="239"/>
      <c r="RI4" s="239"/>
      <c r="RJ4" s="239"/>
      <c r="RK4" s="239"/>
      <c r="RL4" s="239"/>
      <c r="RM4" s="239"/>
      <c r="RN4" s="239"/>
      <c r="RO4" s="239"/>
      <c r="RP4" s="239"/>
      <c r="RQ4" s="239"/>
      <c r="RR4" s="239"/>
      <c r="RS4" s="239"/>
      <c r="RT4" s="239"/>
      <c r="RU4" s="239"/>
      <c r="RV4" s="239"/>
      <c r="RW4" s="239"/>
      <c r="RX4" s="239"/>
      <c r="RY4" s="239"/>
      <c r="RZ4" s="239"/>
      <c r="SA4" s="239"/>
      <c r="SB4" s="239"/>
      <c r="SC4" s="239"/>
      <c r="SD4" s="239"/>
      <c r="SE4" s="239"/>
      <c r="SF4" s="239"/>
      <c r="SG4" s="239"/>
      <c r="SH4" s="239"/>
      <c r="SI4" s="239"/>
      <c r="SJ4" s="239"/>
      <c r="SK4" s="239"/>
      <c r="SL4" s="239"/>
      <c r="SM4" s="239"/>
      <c r="SN4" s="239"/>
      <c r="SO4" s="239"/>
      <c r="SP4" s="239"/>
      <c r="SQ4" s="239"/>
      <c r="SR4" s="239"/>
      <c r="SS4" s="239"/>
      <c r="ST4" s="239"/>
      <c r="SU4" s="239"/>
      <c r="SV4" s="239"/>
      <c r="SW4" s="239"/>
      <c r="SX4" s="239"/>
      <c r="SY4" s="239"/>
      <c r="SZ4" s="239"/>
      <c r="TA4" s="239"/>
      <c r="TB4" s="239"/>
      <c r="TC4" s="239"/>
      <c r="TD4" s="239"/>
      <c r="TE4" s="239"/>
      <c r="TF4" s="239"/>
      <c r="TG4" s="239"/>
      <c r="TH4" s="239"/>
      <c r="TI4" s="239"/>
      <c r="TJ4" s="239"/>
      <c r="TK4" s="239"/>
      <c r="TL4" s="239"/>
      <c r="TM4" s="239"/>
      <c r="TN4" s="239"/>
      <c r="TO4" s="239"/>
      <c r="TP4" s="239"/>
      <c r="TQ4" s="239"/>
      <c r="TR4" s="239"/>
      <c r="TS4" s="239"/>
      <c r="TT4" s="239"/>
      <c r="TU4" s="239"/>
      <c r="TV4" s="239"/>
      <c r="TW4" s="239"/>
      <c r="TX4" s="239"/>
      <c r="TY4" s="239"/>
      <c r="TZ4" s="239"/>
      <c r="UA4" s="239"/>
      <c r="UB4" s="239"/>
      <c r="UC4" s="239"/>
      <c r="UD4" s="239"/>
      <c r="UE4" s="239"/>
      <c r="UF4" s="239"/>
      <c r="UG4" s="239"/>
      <c r="UH4" s="239"/>
      <c r="UI4" s="239"/>
      <c r="UJ4" s="239"/>
      <c r="UK4" s="239"/>
      <c r="UL4" s="239"/>
      <c r="UM4" s="239"/>
      <c r="UN4" s="239"/>
      <c r="UO4" s="239"/>
      <c r="UP4" s="239"/>
      <c r="UQ4" s="239"/>
      <c r="UR4" s="239"/>
      <c r="US4" s="239"/>
      <c r="UT4" s="239"/>
      <c r="UU4" s="239"/>
      <c r="UV4" s="239"/>
      <c r="UW4" s="239"/>
      <c r="UX4" s="239"/>
      <c r="UY4" s="239"/>
      <c r="UZ4" s="239"/>
      <c r="VA4" s="239"/>
      <c r="VB4" s="239"/>
      <c r="VC4" s="239"/>
      <c r="VD4" s="239"/>
      <c r="VE4" s="239"/>
      <c r="VF4" s="239"/>
      <c r="VG4" s="239"/>
      <c r="VH4" s="239"/>
      <c r="VI4" s="239"/>
      <c r="VJ4" s="239"/>
      <c r="VK4" s="239"/>
      <c r="VL4" s="239"/>
      <c r="VM4" s="239"/>
      <c r="VN4" s="239"/>
      <c r="VO4" s="239"/>
      <c r="VP4" s="239"/>
      <c r="VQ4" s="239"/>
      <c r="VR4" s="239"/>
      <c r="VS4" s="239"/>
      <c r="VT4" s="239"/>
      <c r="VU4" s="239"/>
      <c r="VV4" s="239"/>
      <c r="VW4" s="239"/>
      <c r="VX4" s="239"/>
      <c r="VY4" s="239"/>
      <c r="VZ4" s="239"/>
      <c r="WA4" s="239"/>
      <c r="WB4" s="239"/>
      <c r="WC4" s="239"/>
      <c r="WD4" s="239"/>
      <c r="WE4" s="239"/>
      <c r="WF4" s="239"/>
      <c r="WG4" s="239"/>
      <c r="WH4" s="239"/>
      <c r="WI4" s="239"/>
      <c r="WJ4" s="239"/>
      <c r="WK4" s="239"/>
      <c r="WL4" s="239"/>
      <c r="WM4" s="239"/>
      <c r="WN4" s="239"/>
      <c r="WO4" s="239"/>
      <c r="WP4" s="239"/>
      <c r="WQ4" s="239"/>
      <c r="WR4" s="239"/>
      <c r="WS4" s="239"/>
      <c r="WT4" s="239"/>
      <c r="WU4" s="239"/>
      <c r="WV4" s="239"/>
      <c r="WW4" s="239"/>
      <c r="WX4" s="239"/>
      <c r="WY4" s="239"/>
      <c r="WZ4" s="239"/>
      <c r="XA4" s="239"/>
      <c r="XB4" s="239"/>
      <c r="XC4" s="239"/>
      <c r="XD4" s="239"/>
      <c r="XE4" s="239"/>
      <c r="XF4" s="239"/>
      <c r="XG4" s="239"/>
      <c r="XH4" s="239"/>
      <c r="XI4" s="239"/>
      <c r="XJ4" s="239"/>
      <c r="XK4" s="239"/>
      <c r="XL4" s="239"/>
      <c r="XM4" s="239"/>
      <c r="XN4" s="239"/>
      <c r="XO4" s="239"/>
      <c r="XP4" s="239"/>
      <c r="XQ4" s="239"/>
      <c r="XR4" s="239"/>
      <c r="XS4" s="239"/>
      <c r="XT4" s="239"/>
      <c r="XU4" s="239"/>
      <c r="XV4" s="239"/>
      <c r="XW4" s="239"/>
      <c r="XX4" s="239"/>
      <c r="XY4" s="239"/>
      <c r="XZ4" s="239"/>
      <c r="YA4" s="239"/>
      <c r="YB4" s="239"/>
      <c r="YC4" s="239"/>
      <c r="YD4" s="239"/>
      <c r="YE4" s="239"/>
      <c r="YF4" s="239"/>
      <c r="YG4" s="239"/>
      <c r="YH4" s="239"/>
      <c r="YI4" s="239"/>
      <c r="YJ4" s="239"/>
      <c r="YK4" s="239"/>
      <c r="YL4" s="239"/>
      <c r="YM4" s="239"/>
      <c r="YN4" s="239"/>
      <c r="YO4" s="239"/>
      <c r="YP4" s="239"/>
      <c r="YQ4" s="239"/>
      <c r="YR4" s="239"/>
      <c r="YS4" s="239"/>
      <c r="YT4" s="239"/>
      <c r="YU4" s="239"/>
      <c r="YV4" s="239"/>
      <c r="YW4" s="239"/>
      <c r="YX4" s="239"/>
      <c r="YY4" s="239"/>
      <c r="YZ4" s="239"/>
      <c r="ZA4" s="239"/>
      <c r="ZB4" s="239"/>
      <c r="ZC4" s="239"/>
      <c r="ZD4" s="239"/>
      <c r="ZE4" s="239"/>
      <c r="ZF4" s="239"/>
      <c r="ZG4" s="239"/>
      <c r="ZH4" s="239"/>
      <c r="ZI4" s="239"/>
      <c r="ZJ4" s="239"/>
      <c r="ZK4" s="239"/>
      <c r="ZL4" s="239"/>
      <c r="ZM4" s="239"/>
      <c r="ZN4" s="239"/>
      <c r="ZO4" s="239"/>
      <c r="ZP4" s="239"/>
      <c r="ZQ4" s="239"/>
      <c r="ZR4" s="239"/>
      <c r="ZS4" s="239"/>
      <c r="ZT4" s="239"/>
      <c r="ZU4" s="239"/>
      <c r="ZV4" s="239"/>
      <c r="ZW4" s="239"/>
      <c r="ZX4" s="239"/>
      <c r="ZY4" s="239"/>
      <c r="ZZ4" s="239"/>
      <c r="AAA4" s="239"/>
      <c r="AAB4" s="239"/>
      <c r="AAC4" s="239"/>
      <c r="AAD4" s="239"/>
      <c r="AAE4" s="239"/>
      <c r="AAF4" s="239"/>
      <c r="AAG4" s="239"/>
      <c r="AAH4" s="239"/>
      <c r="AAI4" s="239"/>
      <c r="AAJ4" s="239"/>
      <c r="AAK4" s="239"/>
      <c r="AAL4" s="239"/>
      <c r="AAM4" s="239"/>
      <c r="AAN4" s="239"/>
      <c r="AAO4" s="239"/>
      <c r="AAP4" s="239"/>
      <c r="AAQ4" s="239"/>
      <c r="AAR4" s="239"/>
      <c r="AAS4" s="239"/>
      <c r="AAT4" s="239"/>
      <c r="AAU4" s="239"/>
      <c r="AAV4" s="239"/>
      <c r="AAW4" s="239"/>
      <c r="AAX4" s="239"/>
      <c r="AAY4" s="239"/>
      <c r="AAZ4" s="239"/>
      <c r="ABA4" s="239"/>
      <c r="ABB4" s="239"/>
      <c r="ABC4" s="239"/>
      <c r="ABD4" s="239"/>
      <c r="ABE4" s="239"/>
      <c r="ABF4" s="239"/>
      <c r="ABG4" s="239"/>
      <c r="ABH4" s="239"/>
      <c r="ABI4" s="239"/>
      <c r="ABJ4" s="239"/>
      <c r="ABK4" s="239"/>
      <c r="ABL4" s="239"/>
      <c r="ABM4" s="239"/>
      <c r="ABN4" s="239"/>
      <c r="ABO4" s="239"/>
      <c r="ABP4" s="239"/>
      <c r="ABQ4" s="239"/>
      <c r="ABR4" s="239"/>
      <c r="ABS4" s="239"/>
      <c r="ABT4" s="239"/>
      <c r="ABU4" s="239"/>
      <c r="ABV4" s="239"/>
      <c r="ABW4" s="239"/>
      <c r="ABX4" s="239"/>
      <c r="ABY4" s="239"/>
      <c r="ABZ4" s="239"/>
      <c r="ACA4" s="239"/>
      <c r="ACB4" s="239"/>
      <c r="ACC4" s="239"/>
      <c r="ACD4" s="239"/>
      <c r="ACE4" s="239"/>
      <c r="ACF4" s="239"/>
      <c r="ACG4" s="239"/>
      <c r="ACH4" s="239"/>
      <c r="ACI4" s="239"/>
      <c r="ACJ4" s="239"/>
      <c r="ACK4" s="239"/>
      <c r="ACL4" s="239"/>
      <c r="ACM4" s="239"/>
      <c r="ACN4" s="239"/>
      <c r="ACO4" s="239"/>
      <c r="ACP4" s="239"/>
      <c r="ACQ4" s="239"/>
      <c r="ACR4" s="239"/>
      <c r="ACS4" s="239"/>
      <c r="ACT4" s="239"/>
      <c r="ACU4" s="239"/>
      <c r="ACV4" s="239"/>
      <c r="ACW4" s="239"/>
      <c r="ACX4" s="239"/>
      <c r="ACY4" s="239"/>
      <c r="ACZ4" s="239"/>
      <c r="ADA4" s="239"/>
      <c r="ADB4" s="239"/>
      <c r="ADC4" s="239"/>
      <c r="ADD4" s="239"/>
      <c r="ADE4" s="239"/>
      <c r="ADF4" s="239"/>
      <c r="ADG4" s="239"/>
      <c r="ADH4" s="239"/>
      <c r="ADI4" s="239"/>
      <c r="ADJ4" s="239"/>
      <c r="ADK4" s="239"/>
      <c r="ADL4" s="239"/>
      <c r="ADM4" s="239"/>
      <c r="ADN4" s="239"/>
      <c r="ADO4" s="239"/>
      <c r="ADP4" s="239"/>
      <c r="ADQ4" s="239"/>
      <c r="ADR4" s="239"/>
      <c r="ADS4" s="239"/>
      <c r="ADT4" s="239"/>
      <c r="ADU4" s="239"/>
      <c r="ADV4" s="239"/>
      <c r="ADW4" s="239"/>
      <c r="ADX4" s="239"/>
      <c r="ADY4" s="239"/>
      <c r="ADZ4" s="239"/>
      <c r="AEA4" s="239"/>
      <c r="AEB4" s="239"/>
      <c r="AEC4" s="239"/>
      <c r="AED4" s="239"/>
      <c r="AEE4" s="239"/>
      <c r="AEF4" s="239"/>
      <c r="AEG4" s="239"/>
      <c r="AEH4" s="239"/>
      <c r="AEI4" s="239"/>
      <c r="AEJ4" s="239"/>
      <c r="AEK4" s="239"/>
      <c r="AEL4" s="239"/>
      <c r="AEM4" s="239"/>
      <c r="AEN4" s="239"/>
      <c r="AEO4" s="239"/>
      <c r="AEP4" s="239"/>
      <c r="AEQ4" s="239"/>
      <c r="AER4" s="239"/>
      <c r="AES4" s="239"/>
      <c r="AET4" s="239"/>
      <c r="AEU4" s="239"/>
      <c r="AEV4" s="239"/>
      <c r="AEW4" s="239"/>
      <c r="AEX4" s="239"/>
      <c r="AEY4" s="239"/>
      <c r="AEZ4" s="239"/>
      <c r="AFA4" s="239"/>
      <c r="AFB4" s="239"/>
      <c r="AFC4" s="239"/>
      <c r="AFD4" s="239"/>
      <c r="AFE4" s="239"/>
      <c r="AFF4" s="239"/>
      <c r="AFG4" s="239"/>
      <c r="AFH4" s="239"/>
      <c r="AFI4" s="239"/>
      <c r="AFJ4" s="239"/>
      <c r="AFK4" s="239"/>
      <c r="AFL4" s="239"/>
      <c r="AFM4" s="239"/>
      <c r="AFN4" s="239"/>
      <c r="AFO4" s="239"/>
      <c r="AFP4" s="239"/>
      <c r="AFQ4" s="239"/>
      <c r="AFR4" s="239"/>
      <c r="AFS4" s="239"/>
      <c r="AFT4" s="239"/>
      <c r="AFU4" s="239"/>
      <c r="AFV4" s="239"/>
      <c r="AFW4" s="239"/>
      <c r="AFX4" s="239"/>
      <c r="AFY4" s="239"/>
      <c r="AFZ4" s="239"/>
      <c r="AGA4" s="239"/>
      <c r="AGB4" s="239"/>
      <c r="AGC4" s="239"/>
      <c r="AGD4" s="239"/>
      <c r="AGE4" s="239"/>
      <c r="AGF4" s="239"/>
      <c r="AGG4" s="239"/>
      <c r="AGH4" s="239"/>
      <c r="AGI4" s="239"/>
      <c r="AGJ4" s="239"/>
      <c r="AGK4" s="239"/>
      <c r="AGL4" s="239"/>
      <c r="AGM4" s="239"/>
      <c r="AGN4" s="239"/>
      <c r="AGO4" s="239"/>
      <c r="AGP4" s="239"/>
      <c r="AGQ4" s="239"/>
      <c r="AGR4" s="239"/>
      <c r="AGS4" s="239"/>
      <c r="AGT4" s="239"/>
      <c r="AGU4" s="239"/>
      <c r="AGV4" s="239"/>
      <c r="AGW4" s="239"/>
      <c r="AGX4" s="239"/>
      <c r="AGY4" s="239"/>
      <c r="AGZ4" s="239"/>
      <c r="AHA4" s="239"/>
      <c r="AHB4" s="239"/>
      <c r="AHC4" s="239"/>
      <c r="AHD4" s="239"/>
      <c r="AHE4" s="239"/>
      <c r="AHF4" s="239"/>
      <c r="AHG4" s="239"/>
      <c r="AHH4" s="239"/>
      <c r="AHI4" s="239"/>
      <c r="AHJ4" s="239"/>
      <c r="AHK4" s="239"/>
      <c r="AHL4" s="239"/>
      <c r="AHM4" s="239"/>
      <c r="AHN4" s="239"/>
      <c r="AHO4" s="239"/>
      <c r="AHP4" s="239"/>
      <c r="AHQ4" s="239"/>
      <c r="AHR4" s="239"/>
      <c r="AHS4" s="239"/>
      <c r="AHT4" s="239"/>
      <c r="AHU4" s="239"/>
      <c r="AHV4" s="239"/>
      <c r="AHW4" s="239"/>
      <c r="AHX4" s="239"/>
      <c r="AHY4" s="239"/>
      <c r="AHZ4" s="239"/>
      <c r="AIA4" s="239"/>
      <c r="AIB4" s="239"/>
      <c r="AIC4" s="239"/>
      <c r="AID4" s="239"/>
      <c r="AIE4" s="239"/>
      <c r="AIF4" s="239"/>
      <c r="AIG4" s="239"/>
      <c r="AIH4" s="239"/>
      <c r="AII4" s="239"/>
      <c r="AIJ4" s="239"/>
      <c r="AIK4" s="239"/>
      <c r="AIL4" s="239"/>
      <c r="AIM4" s="239"/>
      <c r="AIN4" s="239"/>
      <c r="AIO4" s="239"/>
      <c r="AIP4" s="239"/>
      <c r="AIQ4" s="239"/>
      <c r="AIR4" s="239"/>
      <c r="AIS4" s="239"/>
      <c r="AIT4" s="239"/>
      <c r="AIU4" s="239"/>
      <c r="AIV4" s="239"/>
      <c r="AIW4" s="239"/>
      <c r="AIX4" s="239"/>
      <c r="AIY4" s="239"/>
      <c r="AIZ4" s="239"/>
      <c r="AJA4" s="239"/>
      <c r="AJB4" s="239"/>
      <c r="AJC4" s="239"/>
      <c r="AJD4" s="239"/>
      <c r="AJE4" s="239"/>
      <c r="AJF4" s="239"/>
      <c r="AJG4" s="239"/>
      <c r="AJH4" s="239"/>
      <c r="AJI4" s="239"/>
      <c r="AJJ4" s="239"/>
      <c r="AJK4" s="239"/>
      <c r="AJL4" s="239"/>
      <c r="AJM4" s="239"/>
      <c r="AJN4" s="239"/>
      <c r="AJO4" s="239"/>
      <c r="AJP4" s="239"/>
      <c r="AJQ4" s="239"/>
      <c r="AJR4" s="239"/>
      <c r="AJS4" s="239"/>
      <c r="AJT4" s="239"/>
      <c r="AJU4" s="239"/>
      <c r="AJV4" s="239"/>
      <c r="AJW4" s="239"/>
      <c r="AJX4" s="239"/>
      <c r="AJY4" s="239"/>
      <c r="AJZ4" s="239"/>
      <c r="AKA4" s="239"/>
      <c r="AKB4" s="239"/>
      <c r="AKC4" s="239"/>
      <c r="AKD4" s="239"/>
      <c r="AKE4" s="239"/>
      <c r="AKF4" s="239"/>
      <c r="AKG4" s="239"/>
      <c r="AKH4" s="239"/>
      <c r="AKI4" s="239"/>
      <c r="AKJ4" s="239"/>
      <c r="AKK4" s="239"/>
      <c r="AKL4" s="239"/>
      <c r="AKM4" s="239"/>
      <c r="AKN4" s="239"/>
      <c r="AKO4" s="239"/>
      <c r="AKP4" s="239"/>
      <c r="AKQ4" s="239"/>
      <c r="AKR4" s="239"/>
      <c r="AKS4" s="239"/>
      <c r="AKT4" s="239"/>
      <c r="AKU4" s="239"/>
      <c r="AKV4" s="239"/>
      <c r="AKW4" s="239"/>
      <c r="AKX4" s="239"/>
      <c r="AKY4" s="239"/>
      <c r="AKZ4" s="239"/>
      <c r="ALA4" s="239"/>
      <c r="ALB4" s="239"/>
      <c r="ALC4" s="239"/>
      <c r="ALD4" s="239"/>
      <c r="ALE4" s="239"/>
      <c r="ALF4" s="239"/>
      <c r="ALG4" s="239"/>
      <c r="ALH4" s="239"/>
      <c r="ALI4" s="239"/>
      <c r="ALJ4" s="239"/>
      <c r="ALK4" s="239"/>
      <c r="ALL4" s="239"/>
      <c r="ALM4" s="239"/>
      <c r="ALN4" s="239"/>
      <c r="ALO4" s="239"/>
      <c r="ALP4" s="239"/>
      <c r="ALQ4" s="239"/>
      <c r="ALR4" s="239"/>
      <c r="ALS4" s="239"/>
      <c r="ALT4" s="239"/>
      <c r="ALU4" s="239"/>
      <c r="ALV4" s="239"/>
      <c r="ALW4" s="239"/>
      <c r="ALX4" s="239"/>
      <c r="ALY4" s="239"/>
      <c r="ALZ4" s="239"/>
      <c r="AMA4" s="239"/>
      <c r="AMB4" s="239"/>
      <c r="AMC4" s="239"/>
      <c r="AMD4" s="239"/>
      <c r="AME4" s="239"/>
      <c r="AMF4" s="239"/>
      <c r="AMG4" s="239"/>
      <c r="AMH4" s="239"/>
      <c r="AMI4" s="239"/>
      <c r="AMJ4" s="239"/>
      <c r="AMK4" s="239"/>
      <c r="AML4" s="239"/>
      <c r="AMM4" s="239"/>
      <c r="AMN4" s="239"/>
      <c r="AMO4" s="239"/>
      <c r="AMP4" s="239"/>
      <c r="AMQ4" s="239"/>
      <c r="AMR4" s="239"/>
      <c r="AMS4" s="239"/>
      <c r="AMT4" s="239"/>
      <c r="AMU4" s="239"/>
      <c r="AMV4" s="239"/>
      <c r="AMW4" s="239"/>
      <c r="AMX4" s="239"/>
      <c r="AMY4" s="239"/>
      <c r="AMZ4" s="239"/>
      <c r="ANA4" s="239"/>
      <c r="ANB4" s="239"/>
      <c r="ANC4" s="239"/>
      <c r="AND4" s="239"/>
      <c r="ANE4" s="239"/>
      <c r="ANF4" s="239"/>
      <c r="ANG4" s="239"/>
      <c r="ANH4" s="239"/>
      <c r="ANI4" s="239"/>
      <c r="ANJ4" s="239"/>
      <c r="ANK4" s="239"/>
      <c r="ANL4" s="239"/>
      <c r="ANM4" s="239"/>
      <c r="ANN4" s="239"/>
      <c r="ANO4" s="239"/>
      <c r="ANP4" s="239"/>
      <c r="ANQ4" s="239"/>
      <c r="ANR4" s="239"/>
      <c r="ANS4" s="239"/>
      <c r="ANT4" s="239"/>
      <c r="ANU4" s="239"/>
      <c r="ANV4" s="239"/>
      <c r="ANW4" s="239"/>
      <c r="ANX4" s="239"/>
      <c r="ANY4" s="239"/>
      <c r="ANZ4" s="239"/>
      <c r="AOA4" s="239"/>
      <c r="AOB4" s="239"/>
      <c r="AOC4" s="239"/>
      <c r="AOD4" s="239"/>
      <c r="AOE4" s="239"/>
      <c r="AOF4" s="239"/>
      <c r="AOG4" s="239"/>
      <c r="AOH4" s="239"/>
      <c r="AOI4" s="239"/>
      <c r="AOJ4" s="239"/>
      <c r="AOK4" s="239"/>
      <c r="AOL4" s="239"/>
      <c r="AOM4" s="239"/>
      <c r="AON4" s="239"/>
      <c r="AOO4" s="239"/>
      <c r="AOP4" s="239"/>
      <c r="AOQ4" s="239"/>
      <c r="AOR4" s="239"/>
      <c r="AOS4" s="239"/>
      <c r="AOT4" s="239"/>
      <c r="AOU4" s="239"/>
      <c r="AOV4" s="239"/>
      <c r="AOW4" s="239"/>
      <c r="AOX4" s="239"/>
      <c r="AOY4" s="239"/>
      <c r="AOZ4" s="239"/>
      <c r="APA4" s="239"/>
      <c r="APB4" s="239"/>
      <c r="APC4" s="239"/>
      <c r="APD4" s="239"/>
      <c r="APE4" s="239"/>
      <c r="APF4" s="239"/>
      <c r="APG4" s="239"/>
      <c r="APH4" s="239"/>
      <c r="API4" s="239"/>
      <c r="APJ4" s="239"/>
      <c r="APK4" s="239"/>
      <c r="APL4" s="239"/>
      <c r="APM4" s="239"/>
      <c r="APN4" s="239"/>
      <c r="APO4" s="239"/>
      <c r="APP4" s="239"/>
      <c r="APQ4" s="239"/>
      <c r="APR4" s="239"/>
      <c r="APS4" s="239"/>
      <c r="APT4" s="239"/>
      <c r="APU4" s="239"/>
      <c r="APV4" s="239"/>
      <c r="APW4" s="239"/>
      <c r="APX4" s="239"/>
      <c r="APY4" s="239"/>
      <c r="APZ4" s="239"/>
      <c r="AQA4" s="239"/>
      <c r="AQB4" s="239"/>
      <c r="AQC4" s="239"/>
      <c r="AQD4" s="239"/>
      <c r="AQE4" s="239"/>
      <c r="AQF4" s="239"/>
      <c r="AQG4" s="239"/>
      <c r="AQH4" s="239"/>
      <c r="AQI4" s="239"/>
      <c r="AQJ4" s="239"/>
      <c r="AQK4" s="239"/>
      <c r="AQL4" s="239"/>
      <c r="AQM4" s="239"/>
      <c r="AQN4" s="239"/>
      <c r="AQO4" s="239"/>
      <c r="AQP4" s="239"/>
      <c r="AQQ4" s="239"/>
      <c r="AQR4" s="239"/>
      <c r="AQS4" s="239"/>
      <c r="AQT4" s="239"/>
      <c r="AQU4" s="239"/>
      <c r="AQV4" s="239"/>
      <c r="AQW4" s="239"/>
      <c r="AQX4" s="239"/>
      <c r="AQY4" s="239"/>
      <c r="AQZ4" s="239"/>
      <c r="ARA4" s="239"/>
      <c r="ARB4" s="239"/>
      <c r="ARC4" s="239"/>
      <c r="ARD4" s="239"/>
      <c r="ARE4" s="239"/>
      <c r="ARF4" s="239"/>
      <c r="ARG4" s="239"/>
      <c r="ARH4" s="239"/>
      <c r="ARI4" s="239"/>
      <c r="ARJ4" s="239"/>
      <c r="ARK4" s="239"/>
      <c r="ARL4" s="239"/>
      <c r="ARM4" s="239"/>
      <c r="ARN4" s="239"/>
      <c r="ARO4" s="239"/>
      <c r="ARP4" s="239"/>
      <c r="ARQ4" s="239"/>
      <c r="ARR4" s="239"/>
      <c r="ARS4" s="239"/>
      <c r="ART4" s="239"/>
      <c r="ARU4" s="239"/>
      <c r="ARV4" s="239"/>
      <c r="ARW4" s="239"/>
      <c r="ARX4" s="239"/>
      <c r="ARY4" s="239"/>
      <c r="ARZ4" s="239"/>
      <c r="ASA4" s="239"/>
      <c r="ASB4" s="239"/>
      <c r="ASC4" s="239"/>
      <c r="ASD4" s="239"/>
      <c r="ASE4" s="239"/>
      <c r="ASF4" s="239"/>
      <c r="ASG4" s="239"/>
      <c r="ASH4" s="239"/>
      <c r="ASI4" s="239"/>
      <c r="ASJ4" s="239"/>
      <c r="ASK4" s="239"/>
      <c r="ASL4" s="239"/>
      <c r="ASM4" s="239"/>
      <c r="ASN4" s="239"/>
      <c r="ASO4" s="239"/>
      <c r="ASP4" s="239"/>
      <c r="ASQ4" s="239"/>
      <c r="ASR4" s="239"/>
      <c r="ASS4" s="239"/>
      <c r="AST4" s="239"/>
      <c r="ASU4" s="239"/>
      <c r="ASV4" s="239"/>
      <c r="ASW4" s="239"/>
      <c r="ASX4" s="239"/>
      <c r="ASY4" s="239"/>
      <c r="ASZ4" s="239"/>
      <c r="ATA4" s="239"/>
      <c r="ATB4" s="239"/>
      <c r="ATC4" s="239"/>
      <c r="ATD4" s="239"/>
      <c r="ATE4" s="239"/>
      <c r="ATF4" s="239"/>
      <c r="ATG4" s="239"/>
      <c r="ATH4" s="239"/>
      <c r="ATI4" s="239"/>
      <c r="ATJ4" s="239"/>
      <c r="ATK4" s="239"/>
      <c r="ATL4" s="239"/>
      <c r="ATM4" s="239"/>
      <c r="ATN4" s="239"/>
      <c r="ATO4" s="239"/>
      <c r="ATP4" s="239"/>
      <c r="ATQ4" s="239"/>
      <c r="ATR4" s="239"/>
      <c r="ATS4" s="239"/>
      <c r="ATT4" s="239"/>
      <c r="ATU4" s="239"/>
      <c r="ATV4" s="239"/>
      <c r="ATW4" s="239"/>
      <c r="ATX4" s="239"/>
      <c r="ATY4" s="239"/>
      <c r="ATZ4" s="239"/>
      <c r="AUA4" s="239"/>
      <c r="AUB4" s="239"/>
      <c r="AUC4" s="239"/>
      <c r="AUD4" s="239"/>
      <c r="AUE4" s="239"/>
      <c r="AUF4" s="239"/>
      <c r="AUG4" s="239"/>
      <c r="AUH4" s="239"/>
      <c r="AUI4" s="239"/>
      <c r="AUJ4" s="239"/>
      <c r="AUK4" s="239"/>
      <c r="AUL4" s="239"/>
      <c r="AUM4" s="239"/>
      <c r="AUN4" s="239"/>
      <c r="AUO4" s="239"/>
      <c r="AUP4" s="239"/>
      <c r="AUQ4" s="239"/>
      <c r="AUR4" s="239"/>
      <c r="AUS4" s="239"/>
      <c r="AUT4" s="239"/>
      <c r="AUU4" s="239"/>
      <c r="AUV4" s="239"/>
      <c r="AUW4" s="239"/>
      <c r="AUX4" s="239"/>
      <c r="AUY4" s="239"/>
      <c r="AUZ4" s="239"/>
      <c r="AVA4" s="239"/>
      <c r="AVB4" s="239"/>
      <c r="AVC4" s="239"/>
      <c r="AVD4" s="239"/>
      <c r="AVE4" s="239"/>
      <c r="AVF4" s="239"/>
      <c r="AVG4" s="239"/>
      <c r="AVH4" s="239"/>
      <c r="AVI4" s="239"/>
      <c r="AVJ4" s="239"/>
      <c r="AVK4" s="239"/>
      <c r="AVL4" s="239"/>
      <c r="AVM4" s="239"/>
      <c r="AVN4" s="239"/>
      <c r="AVO4" s="239"/>
      <c r="AVP4" s="239"/>
      <c r="AVQ4" s="239"/>
      <c r="AVR4" s="239"/>
      <c r="AVS4" s="239"/>
      <c r="AVT4" s="239"/>
      <c r="AVU4" s="239"/>
      <c r="AVV4" s="239"/>
      <c r="AVW4" s="239"/>
      <c r="AVX4" s="239"/>
      <c r="AVY4" s="239"/>
      <c r="AVZ4" s="239"/>
      <c r="AWA4" s="239"/>
      <c r="AWB4" s="239"/>
      <c r="AWC4" s="239"/>
      <c r="AWD4" s="239"/>
      <c r="AWE4" s="239"/>
      <c r="AWF4" s="239"/>
      <c r="AWG4" s="239"/>
      <c r="AWH4" s="239"/>
      <c r="AWI4" s="239"/>
      <c r="AWJ4" s="239"/>
      <c r="AWK4" s="239"/>
      <c r="AWL4" s="239"/>
      <c r="AWM4" s="239"/>
      <c r="AWN4" s="239"/>
      <c r="AWO4" s="239"/>
      <c r="AWP4" s="239"/>
      <c r="AWQ4" s="239"/>
      <c r="AWR4" s="239"/>
      <c r="AWS4" s="239"/>
      <c r="AWT4" s="239"/>
      <c r="AWU4" s="239"/>
      <c r="AWV4" s="239"/>
      <c r="AWW4" s="239"/>
      <c r="AWX4" s="239"/>
      <c r="AWY4" s="239"/>
      <c r="AWZ4" s="239"/>
      <c r="AXA4" s="239"/>
      <c r="AXB4" s="239"/>
      <c r="AXC4" s="239"/>
      <c r="AXD4" s="239"/>
      <c r="AXE4" s="239"/>
      <c r="AXF4" s="239"/>
      <c r="AXG4" s="239"/>
      <c r="AXH4" s="239"/>
      <c r="AXI4" s="239"/>
      <c r="AXJ4" s="239"/>
      <c r="AXK4" s="239"/>
      <c r="AXL4" s="239"/>
      <c r="AXM4" s="239"/>
      <c r="AXN4" s="239"/>
      <c r="AXO4" s="239"/>
      <c r="AXP4" s="239"/>
      <c r="AXQ4" s="239"/>
      <c r="AXR4" s="239"/>
      <c r="AXS4" s="239"/>
      <c r="AXT4" s="239"/>
      <c r="AXU4" s="239"/>
      <c r="AXV4" s="239"/>
      <c r="AXW4" s="239"/>
      <c r="AXX4" s="239"/>
      <c r="AXY4" s="239"/>
      <c r="AXZ4" s="239"/>
      <c r="AYA4" s="239"/>
      <c r="AYB4" s="239"/>
      <c r="AYC4" s="239"/>
      <c r="AYD4" s="239"/>
      <c r="AYE4" s="239"/>
      <c r="AYF4" s="239"/>
      <c r="AYG4" s="239"/>
      <c r="AYH4" s="239"/>
      <c r="AYI4" s="239"/>
      <c r="AYJ4" s="239"/>
      <c r="AYK4" s="239"/>
      <c r="AYL4" s="239"/>
      <c r="AYM4" s="239"/>
      <c r="AYN4" s="239"/>
      <c r="AYO4" s="239"/>
      <c r="AYP4" s="239"/>
      <c r="AYQ4" s="239"/>
      <c r="AYR4" s="239"/>
      <c r="AYS4" s="239"/>
      <c r="AYT4" s="239"/>
      <c r="AYU4" s="239"/>
      <c r="AYV4" s="239"/>
      <c r="AYW4" s="239"/>
      <c r="AYX4" s="239"/>
      <c r="AYY4" s="239"/>
      <c r="AYZ4" s="239"/>
      <c r="AZA4" s="239"/>
      <c r="AZB4" s="239"/>
      <c r="AZC4" s="239"/>
      <c r="AZD4" s="239"/>
      <c r="AZE4" s="239"/>
      <c r="AZF4" s="239"/>
      <c r="AZG4" s="239"/>
      <c r="AZH4" s="239"/>
      <c r="AZI4" s="239"/>
      <c r="AZJ4" s="239"/>
      <c r="AZK4" s="239"/>
      <c r="AZL4" s="239"/>
      <c r="AZM4" s="239"/>
      <c r="AZN4" s="239"/>
      <c r="AZO4" s="239"/>
      <c r="AZP4" s="239"/>
      <c r="AZQ4" s="239"/>
      <c r="AZR4" s="239"/>
      <c r="AZS4" s="239"/>
      <c r="AZT4" s="239"/>
      <c r="AZU4" s="239"/>
      <c r="AZV4" s="239"/>
      <c r="AZW4" s="239"/>
      <c r="AZX4" s="239"/>
      <c r="AZY4" s="239"/>
      <c r="AZZ4" s="239"/>
      <c r="BAA4" s="239"/>
      <c r="BAB4" s="239"/>
      <c r="BAC4" s="239"/>
      <c r="BAD4" s="239"/>
      <c r="BAE4" s="239"/>
      <c r="BAF4" s="239"/>
      <c r="BAG4" s="239"/>
      <c r="BAH4" s="239"/>
      <c r="BAI4" s="239"/>
      <c r="BAJ4" s="239"/>
      <c r="BAK4" s="239"/>
      <c r="BAL4" s="239"/>
      <c r="BAM4" s="239"/>
      <c r="BAN4" s="239"/>
      <c r="BAO4" s="239"/>
      <c r="BAP4" s="239"/>
      <c r="BAQ4" s="239"/>
      <c r="BAR4" s="239"/>
      <c r="BAS4" s="239"/>
      <c r="BAT4" s="239"/>
      <c r="BAU4" s="239"/>
      <c r="BAV4" s="239"/>
      <c r="BAW4" s="239"/>
      <c r="BAX4" s="239"/>
      <c r="BAY4" s="239"/>
      <c r="BAZ4" s="239"/>
      <c r="BBA4" s="239"/>
      <c r="BBB4" s="239"/>
      <c r="BBC4" s="239"/>
      <c r="BBD4" s="239"/>
      <c r="BBE4" s="239"/>
      <c r="BBF4" s="239"/>
      <c r="BBG4" s="239"/>
      <c r="BBH4" s="239"/>
      <c r="BBI4" s="239"/>
      <c r="BBJ4" s="239"/>
      <c r="BBK4" s="239"/>
      <c r="BBL4" s="239"/>
      <c r="BBM4" s="239"/>
      <c r="BBN4" s="239"/>
      <c r="BBO4" s="239"/>
      <c r="BBP4" s="239"/>
      <c r="BBQ4" s="239"/>
      <c r="BBR4" s="239"/>
      <c r="BBS4" s="239"/>
      <c r="BBT4" s="239"/>
      <c r="BBU4" s="239"/>
      <c r="BBV4" s="239"/>
      <c r="BBW4" s="239"/>
      <c r="BBX4" s="239"/>
      <c r="BBY4" s="239"/>
      <c r="BBZ4" s="239"/>
      <c r="BCA4" s="239"/>
      <c r="BCB4" s="239"/>
      <c r="BCC4" s="239"/>
      <c r="BCD4" s="239"/>
      <c r="BCE4" s="239"/>
      <c r="BCF4" s="239"/>
      <c r="BCG4" s="239"/>
      <c r="BCH4" s="239"/>
      <c r="BCI4" s="239"/>
      <c r="BCJ4" s="239"/>
      <c r="BCK4" s="239"/>
      <c r="BCL4" s="239"/>
      <c r="BCM4" s="239"/>
      <c r="BCN4" s="239"/>
      <c r="BCO4" s="239"/>
      <c r="BCP4" s="239"/>
      <c r="BCQ4" s="239"/>
      <c r="BCR4" s="239"/>
      <c r="BCS4" s="239"/>
      <c r="BCT4" s="239"/>
      <c r="BCU4" s="239"/>
      <c r="BCV4" s="239"/>
      <c r="BCW4" s="239"/>
      <c r="BCX4" s="239"/>
      <c r="BCY4" s="239"/>
      <c r="BCZ4" s="239"/>
      <c r="BDA4" s="239"/>
      <c r="BDB4" s="239"/>
      <c r="BDC4" s="239"/>
      <c r="BDD4" s="239"/>
      <c r="BDE4" s="239"/>
      <c r="BDF4" s="239"/>
      <c r="BDG4" s="239"/>
      <c r="BDH4" s="239"/>
      <c r="BDI4" s="239"/>
      <c r="BDJ4" s="239"/>
      <c r="BDK4" s="239"/>
      <c r="BDL4" s="239"/>
      <c r="BDM4" s="239"/>
      <c r="BDN4" s="239"/>
      <c r="BDO4" s="239"/>
      <c r="BDP4" s="239"/>
      <c r="BDQ4" s="239"/>
      <c r="BDR4" s="239"/>
      <c r="BDS4" s="239"/>
      <c r="BDT4" s="239"/>
      <c r="BDU4" s="239"/>
      <c r="BDV4" s="239"/>
      <c r="BDW4" s="239"/>
      <c r="BDX4" s="239"/>
      <c r="BDY4" s="239"/>
      <c r="BDZ4" s="239"/>
      <c r="BEA4" s="239"/>
      <c r="BEB4" s="239"/>
      <c r="BEC4" s="239"/>
      <c r="BED4" s="239"/>
      <c r="BEE4" s="239"/>
      <c r="BEF4" s="239"/>
      <c r="BEG4" s="239"/>
      <c r="BEH4" s="239"/>
      <c r="BEI4" s="239"/>
      <c r="BEJ4" s="239"/>
      <c r="BEK4" s="239"/>
      <c r="BEL4" s="239"/>
      <c r="BEM4" s="239"/>
      <c r="BEN4" s="239"/>
      <c r="BEO4" s="239"/>
      <c r="BEP4" s="239"/>
      <c r="BEQ4" s="239"/>
      <c r="BER4" s="239"/>
      <c r="BES4" s="239"/>
      <c r="BET4" s="239"/>
      <c r="BEU4" s="239"/>
      <c r="BEV4" s="239"/>
      <c r="BEW4" s="239"/>
      <c r="BEX4" s="239"/>
      <c r="BEY4" s="239"/>
      <c r="BEZ4" s="239"/>
      <c r="BFA4" s="239"/>
      <c r="BFB4" s="239"/>
      <c r="BFC4" s="239"/>
      <c r="BFD4" s="239"/>
      <c r="BFE4" s="239"/>
      <c r="BFF4" s="239"/>
      <c r="BFG4" s="239"/>
      <c r="BFH4" s="239"/>
      <c r="BFI4" s="239"/>
      <c r="BFJ4" s="239"/>
      <c r="BFK4" s="239"/>
      <c r="BFL4" s="239"/>
      <c r="BFM4" s="239"/>
      <c r="BFN4" s="239"/>
      <c r="BFO4" s="239"/>
      <c r="BFP4" s="239"/>
      <c r="BFQ4" s="239"/>
      <c r="BFR4" s="239"/>
      <c r="BFS4" s="239"/>
      <c r="BFT4" s="239"/>
      <c r="BFU4" s="239"/>
      <c r="BFV4" s="239"/>
      <c r="BFW4" s="239"/>
      <c r="BFX4" s="239"/>
      <c r="BFY4" s="239"/>
      <c r="BFZ4" s="239"/>
      <c r="BGA4" s="239"/>
      <c r="BGB4" s="239"/>
      <c r="BGC4" s="239"/>
      <c r="BGD4" s="239"/>
      <c r="BGE4" s="239"/>
      <c r="BGF4" s="239"/>
      <c r="BGG4" s="239"/>
      <c r="BGH4" s="239"/>
      <c r="BGI4" s="239"/>
      <c r="BGJ4" s="239"/>
      <c r="BGK4" s="239"/>
      <c r="BGL4" s="239"/>
      <c r="BGM4" s="239"/>
      <c r="BGN4" s="239"/>
      <c r="BGO4" s="239"/>
      <c r="BGP4" s="239"/>
      <c r="BGQ4" s="239"/>
      <c r="BGR4" s="239"/>
      <c r="BGS4" s="239"/>
      <c r="BGT4" s="239"/>
      <c r="BGU4" s="239"/>
      <c r="BGV4" s="239"/>
      <c r="BGW4" s="239"/>
      <c r="BGX4" s="239"/>
      <c r="BGY4" s="239"/>
      <c r="BGZ4" s="239"/>
      <c r="BHA4" s="239"/>
      <c r="BHB4" s="239"/>
      <c r="BHC4" s="239"/>
      <c r="BHD4" s="239"/>
      <c r="BHE4" s="239"/>
      <c r="BHF4" s="239"/>
      <c r="BHG4" s="239"/>
      <c r="BHH4" s="239"/>
      <c r="BHI4" s="239"/>
      <c r="BHJ4" s="239"/>
      <c r="BHK4" s="239"/>
      <c r="BHL4" s="239"/>
      <c r="BHM4" s="239"/>
      <c r="BHN4" s="239"/>
      <c r="BHO4" s="239"/>
      <c r="BHP4" s="239"/>
      <c r="BHQ4" s="239"/>
      <c r="BHR4" s="239"/>
      <c r="BHS4" s="239"/>
      <c r="BHT4" s="239"/>
      <c r="BHU4" s="239"/>
      <c r="BHV4" s="239"/>
      <c r="BHW4" s="239"/>
      <c r="BHX4" s="239"/>
      <c r="BHY4" s="239"/>
      <c r="BHZ4" s="239"/>
      <c r="BIA4" s="239"/>
      <c r="BIB4" s="239"/>
      <c r="BIC4" s="239"/>
      <c r="BID4" s="239"/>
      <c r="BIE4" s="239"/>
      <c r="BIF4" s="239"/>
      <c r="BIG4" s="239"/>
      <c r="BIH4" s="239"/>
      <c r="BII4" s="239"/>
      <c r="BIJ4" s="239"/>
      <c r="BIK4" s="239"/>
      <c r="BIL4" s="239"/>
      <c r="BIM4" s="239"/>
      <c r="BIN4" s="239"/>
      <c r="BIO4" s="239"/>
      <c r="BIP4" s="239"/>
      <c r="BIQ4" s="239"/>
      <c r="BIR4" s="239"/>
      <c r="BIS4" s="239"/>
      <c r="BIT4" s="239"/>
      <c r="BIU4" s="239"/>
      <c r="BIV4" s="239"/>
      <c r="BIW4" s="239"/>
      <c r="BIX4" s="239"/>
      <c r="BIY4" s="239"/>
      <c r="BIZ4" s="239"/>
      <c r="BJA4" s="239"/>
      <c r="BJB4" s="239"/>
      <c r="BJC4" s="239"/>
      <c r="BJD4" s="239"/>
      <c r="BJE4" s="239"/>
      <c r="BJF4" s="239"/>
      <c r="BJG4" s="239"/>
      <c r="BJH4" s="239"/>
      <c r="BJI4" s="239"/>
      <c r="BJJ4" s="239"/>
      <c r="BJK4" s="239"/>
      <c r="BJL4" s="239"/>
      <c r="BJM4" s="239"/>
      <c r="BJN4" s="239"/>
      <c r="BJO4" s="239"/>
      <c r="BJP4" s="239"/>
      <c r="BJQ4" s="239"/>
      <c r="BJR4" s="239"/>
      <c r="BJS4" s="239"/>
      <c r="BJT4" s="239"/>
      <c r="BJU4" s="239"/>
      <c r="BJV4" s="239"/>
      <c r="BJW4" s="239"/>
      <c r="BJX4" s="239"/>
      <c r="BJY4" s="239"/>
      <c r="BJZ4" s="239"/>
      <c r="BKA4" s="239"/>
      <c r="BKB4" s="239"/>
      <c r="BKC4" s="239"/>
      <c r="BKD4" s="239"/>
      <c r="BKE4" s="239"/>
      <c r="BKF4" s="239"/>
      <c r="BKG4" s="239"/>
      <c r="BKH4" s="239"/>
      <c r="BKI4" s="239"/>
      <c r="BKJ4" s="239"/>
      <c r="BKK4" s="239"/>
      <c r="BKL4" s="239"/>
      <c r="BKM4" s="239"/>
      <c r="BKN4" s="239"/>
      <c r="BKO4" s="239"/>
      <c r="BKP4" s="239"/>
      <c r="BKQ4" s="239"/>
      <c r="BKR4" s="239"/>
      <c r="BKS4" s="239"/>
      <c r="BKT4" s="239"/>
      <c r="BKU4" s="239"/>
      <c r="BKV4" s="239"/>
      <c r="BKW4" s="239"/>
      <c r="BKX4" s="239"/>
      <c r="BKY4" s="239"/>
      <c r="BKZ4" s="239"/>
      <c r="BLA4" s="239"/>
      <c r="BLB4" s="239"/>
      <c r="BLC4" s="239"/>
      <c r="BLD4" s="239"/>
      <c r="BLE4" s="239"/>
      <c r="BLF4" s="239"/>
      <c r="BLG4" s="239"/>
      <c r="BLH4" s="239"/>
      <c r="BLI4" s="239"/>
      <c r="BLJ4" s="239"/>
      <c r="BLK4" s="239"/>
      <c r="BLL4" s="239"/>
      <c r="BLM4" s="239"/>
      <c r="BLN4" s="239"/>
      <c r="BLO4" s="239"/>
      <c r="BLP4" s="239"/>
      <c r="BLQ4" s="239"/>
      <c r="BLR4" s="239"/>
      <c r="BLS4" s="239"/>
      <c r="BLT4" s="239"/>
      <c r="BLU4" s="239"/>
      <c r="BLV4" s="239"/>
      <c r="BLW4" s="239"/>
      <c r="BLX4" s="239"/>
      <c r="BLY4" s="239"/>
      <c r="BLZ4" s="239"/>
      <c r="BMA4" s="239"/>
      <c r="BMB4" s="239"/>
      <c r="BMC4" s="239"/>
      <c r="BMD4" s="239"/>
      <c r="BME4" s="239"/>
      <c r="BMF4" s="239"/>
      <c r="BMG4" s="239"/>
      <c r="BMH4" s="239"/>
      <c r="BMI4" s="239"/>
      <c r="BMJ4" s="239"/>
      <c r="BMK4" s="239"/>
      <c r="BML4" s="239"/>
      <c r="BMM4" s="239"/>
      <c r="BMN4" s="239"/>
      <c r="BMO4" s="239"/>
      <c r="BMP4" s="239"/>
      <c r="BMQ4" s="239"/>
      <c r="BMR4" s="239"/>
      <c r="BMS4" s="239"/>
      <c r="BMT4" s="239"/>
      <c r="BMU4" s="239"/>
      <c r="BMV4" s="239"/>
      <c r="BMW4" s="239"/>
      <c r="BMX4" s="239"/>
      <c r="BMY4" s="239"/>
      <c r="BMZ4" s="239"/>
      <c r="BNA4" s="239"/>
      <c r="BNB4" s="239"/>
      <c r="BNC4" s="239"/>
      <c r="BND4" s="239"/>
      <c r="BNE4" s="239"/>
      <c r="BNF4" s="239"/>
      <c r="BNG4" s="239"/>
      <c r="BNH4" s="239"/>
      <c r="BNI4" s="239"/>
      <c r="BNJ4" s="239"/>
      <c r="BNK4" s="239"/>
      <c r="BNL4" s="239"/>
      <c r="BNM4" s="239"/>
      <c r="BNN4" s="239"/>
      <c r="BNO4" s="239"/>
      <c r="BNP4" s="239"/>
      <c r="BNQ4" s="239"/>
      <c r="BNR4" s="239"/>
      <c r="BNS4" s="239"/>
      <c r="BNT4" s="239"/>
      <c r="BNU4" s="239"/>
      <c r="BNV4" s="239"/>
      <c r="BNW4" s="239"/>
      <c r="BNX4" s="239"/>
      <c r="BNY4" s="239"/>
      <c r="BNZ4" s="239"/>
      <c r="BOA4" s="239"/>
      <c r="BOB4" s="239"/>
      <c r="BOC4" s="239"/>
      <c r="BOD4" s="239"/>
      <c r="BOE4" s="239"/>
      <c r="BOF4" s="239"/>
      <c r="BOG4" s="239"/>
      <c r="BOH4" s="239"/>
      <c r="BOI4" s="239"/>
      <c r="BOJ4" s="239"/>
      <c r="BOK4" s="239"/>
      <c r="BOL4" s="239"/>
      <c r="BOM4" s="239"/>
      <c r="BON4" s="239"/>
      <c r="BOO4" s="239"/>
      <c r="BOP4" s="239"/>
      <c r="BOQ4" s="239"/>
      <c r="BOR4" s="239"/>
      <c r="BOS4" s="239"/>
      <c r="BOT4" s="239"/>
      <c r="BOU4" s="239"/>
      <c r="BOV4" s="239"/>
      <c r="BOW4" s="239"/>
      <c r="BOX4" s="239"/>
      <c r="BOY4" s="239"/>
      <c r="BOZ4" s="239"/>
      <c r="BPA4" s="239"/>
      <c r="BPB4" s="239"/>
      <c r="BPC4" s="239"/>
      <c r="BPD4" s="239"/>
      <c r="BPE4" s="239"/>
      <c r="BPF4" s="239"/>
      <c r="BPG4" s="239"/>
      <c r="BPH4" s="239"/>
      <c r="BPI4" s="239"/>
      <c r="BPJ4" s="239"/>
      <c r="BPK4" s="239"/>
      <c r="BPL4" s="239"/>
      <c r="BPM4" s="239"/>
      <c r="BPN4" s="239"/>
      <c r="BPO4" s="239"/>
      <c r="BPP4" s="239"/>
      <c r="BPQ4" s="239"/>
      <c r="BPR4" s="239"/>
      <c r="BPS4" s="239"/>
      <c r="BPT4" s="239"/>
      <c r="BPU4" s="239"/>
      <c r="BPV4" s="239"/>
      <c r="BPW4" s="239"/>
      <c r="BPX4" s="239"/>
      <c r="BPY4" s="239"/>
      <c r="BPZ4" s="239"/>
      <c r="BQA4" s="239"/>
      <c r="BQB4" s="239"/>
      <c r="BQC4" s="239"/>
      <c r="BQD4" s="239"/>
      <c r="BQE4" s="239"/>
      <c r="BQF4" s="239"/>
      <c r="BQG4" s="239"/>
      <c r="BQH4" s="239"/>
      <c r="BQI4" s="239"/>
      <c r="BQJ4" s="239"/>
      <c r="BQK4" s="239"/>
      <c r="BQL4" s="239"/>
      <c r="BQM4" s="239"/>
      <c r="BQN4" s="239"/>
      <c r="BQO4" s="239"/>
      <c r="BQP4" s="239"/>
      <c r="BQQ4" s="239"/>
      <c r="BQR4" s="239"/>
      <c r="BQS4" s="239"/>
      <c r="BQT4" s="239"/>
      <c r="BQU4" s="239"/>
      <c r="BQV4" s="239"/>
      <c r="BQW4" s="239"/>
      <c r="BQX4" s="239"/>
      <c r="BQY4" s="239"/>
      <c r="BQZ4" s="239"/>
      <c r="BRA4" s="239"/>
      <c r="BRB4" s="239"/>
      <c r="BRC4" s="239"/>
      <c r="BRD4" s="239"/>
      <c r="BRE4" s="239"/>
      <c r="BRF4" s="239"/>
      <c r="BRG4" s="239"/>
      <c r="BRH4" s="239"/>
      <c r="BRI4" s="239"/>
      <c r="BRJ4" s="239"/>
      <c r="BRK4" s="239"/>
      <c r="BRL4" s="239"/>
      <c r="BRM4" s="239"/>
      <c r="BRN4" s="239"/>
      <c r="BRO4" s="239"/>
      <c r="BRP4" s="239"/>
      <c r="BRQ4" s="239"/>
      <c r="BRR4" s="239"/>
      <c r="BRS4" s="239"/>
      <c r="BRT4" s="239"/>
      <c r="BRU4" s="239"/>
      <c r="BRV4" s="239"/>
      <c r="BRW4" s="239"/>
      <c r="BRX4" s="239"/>
      <c r="BRY4" s="239"/>
      <c r="BRZ4" s="239"/>
      <c r="BSA4" s="239"/>
      <c r="BSB4" s="239"/>
      <c r="BSC4" s="239"/>
      <c r="BSD4" s="239"/>
      <c r="BSE4" s="239"/>
      <c r="BSF4" s="239"/>
      <c r="BSG4" s="239"/>
      <c r="BSH4" s="239"/>
      <c r="BSI4" s="239"/>
      <c r="BSJ4" s="239"/>
      <c r="BSK4" s="239"/>
      <c r="BSL4" s="239"/>
      <c r="BSM4" s="239"/>
      <c r="BSN4" s="239"/>
      <c r="BSO4" s="239"/>
      <c r="BSP4" s="239"/>
      <c r="BSQ4" s="239"/>
      <c r="BSR4" s="239"/>
      <c r="BSS4" s="239"/>
      <c r="BST4" s="239"/>
      <c r="BSU4" s="239"/>
      <c r="BSV4" s="239"/>
      <c r="BSW4" s="239"/>
      <c r="BSX4" s="239"/>
      <c r="BSY4" s="239"/>
      <c r="BSZ4" s="239"/>
      <c r="BTA4" s="239"/>
      <c r="BTB4" s="239"/>
      <c r="BTC4" s="239"/>
      <c r="BTD4" s="239"/>
      <c r="BTE4" s="239"/>
      <c r="BTF4" s="239"/>
      <c r="BTG4" s="239"/>
      <c r="BTH4" s="239"/>
      <c r="BTI4" s="239"/>
      <c r="BTJ4" s="239"/>
      <c r="BTK4" s="239"/>
      <c r="BTL4" s="239"/>
      <c r="BTM4" s="239"/>
      <c r="BTN4" s="239"/>
      <c r="BTO4" s="239"/>
      <c r="BTP4" s="239"/>
      <c r="BTQ4" s="239"/>
      <c r="BTR4" s="239"/>
      <c r="BTS4" s="239"/>
      <c r="BTT4" s="239"/>
      <c r="BTU4" s="239"/>
      <c r="BTV4" s="239"/>
      <c r="BTW4" s="239"/>
      <c r="BTX4" s="239"/>
      <c r="BTY4" s="239"/>
      <c r="BTZ4" s="239"/>
      <c r="BUA4" s="239"/>
      <c r="BUB4" s="239"/>
      <c r="BUC4" s="239"/>
      <c r="BUD4" s="239"/>
      <c r="BUE4" s="239"/>
      <c r="BUF4" s="239"/>
      <c r="BUG4" s="239"/>
      <c r="BUH4" s="239"/>
      <c r="BUI4" s="239"/>
      <c r="BUJ4" s="239"/>
      <c r="BUK4" s="239"/>
      <c r="BUL4" s="239"/>
      <c r="BUM4" s="239"/>
      <c r="BUN4" s="239"/>
      <c r="BUO4" s="239"/>
      <c r="BUP4" s="239"/>
      <c r="BUQ4" s="239"/>
      <c r="BUR4" s="239"/>
      <c r="BUS4" s="239"/>
      <c r="BUT4" s="239"/>
      <c r="BUU4" s="239"/>
      <c r="BUV4" s="239"/>
      <c r="BUW4" s="239"/>
      <c r="BUX4" s="239"/>
      <c r="BUY4" s="239"/>
      <c r="BUZ4" s="239"/>
      <c r="BVA4" s="239"/>
      <c r="BVB4" s="239"/>
      <c r="BVC4" s="239"/>
      <c r="BVD4" s="239"/>
      <c r="BVE4" s="239"/>
      <c r="BVF4" s="239"/>
      <c r="BVG4" s="239"/>
      <c r="BVH4" s="239"/>
      <c r="BVI4" s="239"/>
      <c r="BVJ4" s="239"/>
      <c r="BVK4" s="239"/>
      <c r="BVL4" s="239"/>
      <c r="BVM4" s="239"/>
      <c r="BVN4" s="239"/>
      <c r="BVO4" s="239"/>
      <c r="BVP4" s="239"/>
      <c r="BVQ4" s="239"/>
      <c r="BVR4" s="239"/>
      <c r="BVS4" s="239"/>
      <c r="BVT4" s="239"/>
      <c r="BVU4" s="239"/>
      <c r="BVV4" s="239"/>
      <c r="BVW4" s="239"/>
      <c r="BVX4" s="239"/>
      <c r="BVY4" s="239"/>
      <c r="BVZ4" s="239"/>
      <c r="BWA4" s="239"/>
      <c r="BWB4" s="239"/>
      <c r="BWC4" s="239"/>
      <c r="BWD4" s="239"/>
      <c r="BWE4" s="239"/>
      <c r="BWF4" s="239"/>
      <c r="BWG4" s="239"/>
      <c r="BWH4" s="239"/>
      <c r="BWI4" s="239"/>
      <c r="BWJ4" s="239"/>
      <c r="BWK4" s="239"/>
      <c r="BWL4" s="239"/>
      <c r="BWM4" s="239"/>
      <c r="BWN4" s="239"/>
      <c r="BWO4" s="239"/>
      <c r="BWP4" s="239"/>
      <c r="BWQ4" s="239"/>
      <c r="BWR4" s="239"/>
      <c r="BWS4" s="239"/>
      <c r="BWT4" s="239"/>
      <c r="BWU4" s="239"/>
      <c r="BWV4" s="239"/>
      <c r="BWW4" s="239"/>
      <c r="BWX4" s="239"/>
      <c r="BWY4" s="239"/>
      <c r="BWZ4" s="239"/>
      <c r="BXA4" s="239"/>
      <c r="BXB4" s="239"/>
      <c r="BXC4" s="239"/>
      <c r="BXD4" s="239"/>
      <c r="BXE4" s="239"/>
      <c r="BXF4" s="239"/>
      <c r="BXG4" s="239"/>
      <c r="BXH4" s="239"/>
      <c r="BXI4" s="239"/>
      <c r="BXJ4" s="239"/>
      <c r="BXK4" s="239"/>
      <c r="BXL4" s="239"/>
      <c r="BXM4" s="239"/>
      <c r="BXN4" s="239"/>
      <c r="BXO4" s="239"/>
      <c r="BXP4" s="239"/>
      <c r="BXQ4" s="239"/>
      <c r="BXR4" s="239"/>
      <c r="BXS4" s="239"/>
      <c r="BXT4" s="239"/>
      <c r="BXU4" s="239"/>
      <c r="BXV4" s="239"/>
      <c r="BXW4" s="239"/>
      <c r="BXX4" s="239"/>
      <c r="BXY4" s="239"/>
      <c r="BXZ4" s="239"/>
      <c r="BYA4" s="239"/>
      <c r="BYB4" s="239"/>
      <c r="BYC4" s="239"/>
      <c r="BYD4" s="239"/>
      <c r="BYE4" s="239"/>
      <c r="BYF4" s="239"/>
      <c r="BYG4" s="239"/>
      <c r="BYH4" s="239"/>
      <c r="BYI4" s="239"/>
      <c r="BYJ4" s="239"/>
      <c r="BYK4" s="239"/>
      <c r="BYL4" s="239"/>
      <c r="BYM4" s="239"/>
      <c r="BYN4" s="239"/>
      <c r="BYO4" s="239"/>
      <c r="BYP4" s="239"/>
      <c r="BYQ4" s="239"/>
      <c r="BYR4" s="239"/>
      <c r="BYS4" s="239"/>
      <c r="BYT4" s="239"/>
      <c r="BYU4" s="239"/>
      <c r="BYV4" s="239"/>
      <c r="BYW4" s="239"/>
      <c r="BYX4" s="239"/>
      <c r="BYY4" s="239"/>
      <c r="BYZ4" s="239"/>
      <c r="BZA4" s="239"/>
      <c r="BZB4" s="239"/>
      <c r="BZC4" s="239"/>
      <c r="BZD4" s="239"/>
      <c r="BZE4" s="239"/>
      <c r="BZF4" s="239"/>
      <c r="BZG4" s="239"/>
      <c r="BZH4" s="239"/>
      <c r="BZI4" s="239"/>
      <c r="BZJ4" s="239"/>
      <c r="BZK4" s="239"/>
      <c r="BZL4" s="239"/>
      <c r="BZM4" s="239"/>
      <c r="BZN4" s="239"/>
      <c r="BZO4" s="239"/>
      <c r="BZP4" s="239"/>
      <c r="BZQ4" s="239"/>
      <c r="BZR4" s="239"/>
      <c r="BZS4" s="239"/>
      <c r="BZT4" s="239"/>
      <c r="BZU4" s="239"/>
      <c r="BZV4" s="239"/>
      <c r="BZW4" s="239"/>
      <c r="BZX4" s="239"/>
      <c r="BZY4" s="239"/>
      <c r="BZZ4" s="239"/>
      <c r="CAA4" s="239"/>
      <c r="CAB4" s="239"/>
      <c r="CAC4" s="239"/>
      <c r="CAD4" s="239"/>
      <c r="CAE4" s="239"/>
      <c r="CAF4" s="239"/>
      <c r="CAG4" s="239"/>
      <c r="CAH4" s="239"/>
      <c r="CAI4" s="239"/>
      <c r="CAJ4" s="239"/>
      <c r="CAK4" s="239"/>
      <c r="CAL4" s="239"/>
      <c r="CAM4" s="239"/>
      <c r="CAN4" s="239"/>
      <c r="CAO4" s="239"/>
      <c r="CAP4" s="239"/>
      <c r="CAQ4" s="239"/>
      <c r="CAR4" s="239"/>
      <c r="CAS4" s="239"/>
      <c r="CAT4" s="239"/>
      <c r="CAU4" s="239"/>
      <c r="CAV4" s="239"/>
      <c r="CAW4" s="239"/>
      <c r="CAX4" s="239"/>
      <c r="CAY4" s="239"/>
      <c r="CAZ4" s="239"/>
      <c r="CBA4" s="239"/>
      <c r="CBB4" s="239"/>
      <c r="CBC4" s="239"/>
      <c r="CBD4" s="239"/>
      <c r="CBE4" s="239"/>
      <c r="CBF4" s="239"/>
      <c r="CBG4" s="239"/>
      <c r="CBH4" s="239"/>
      <c r="CBI4" s="239"/>
      <c r="CBJ4" s="239"/>
      <c r="CBK4" s="239"/>
      <c r="CBL4" s="239"/>
      <c r="CBM4" s="239"/>
      <c r="CBN4" s="239"/>
      <c r="CBO4" s="239"/>
      <c r="CBP4" s="239"/>
      <c r="CBQ4" s="239"/>
      <c r="CBR4" s="239"/>
      <c r="CBS4" s="239"/>
      <c r="CBT4" s="239"/>
      <c r="CBU4" s="239"/>
      <c r="CBV4" s="239"/>
      <c r="CBW4" s="239"/>
      <c r="CBX4" s="239"/>
      <c r="CBY4" s="239"/>
      <c r="CBZ4" s="239"/>
      <c r="CCA4" s="239"/>
      <c r="CCB4" s="239"/>
      <c r="CCC4" s="239"/>
      <c r="CCD4" s="239"/>
      <c r="CCE4" s="239"/>
      <c r="CCF4" s="239"/>
      <c r="CCG4" s="239"/>
      <c r="CCH4" s="239"/>
      <c r="CCI4" s="239"/>
      <c r="CCJ4" s="239"/>
      <c r="CCK4" s="239"/>
      <c r="CCL4" s="239"/>
      <c r="CCM4" s="239"/>
      <c r="CCN4" s="239"/>
      <c r="CCO4" s="239"/>
      <c r="CCP4" s="239"/>
      <c r="CCQ4" s="239"/>
      <c r="CCR4" s="239"/>
      <c r="CCS4" s="239"/>
      <c r="CCT4" s="239"/>
      <c r="CCU4" s="239"/>
      <c r="CCV4" s="239"/>
      <c r="CCW4" s="239"/>
      <c r="CCX4" s="239"/>
      <c r="CCY4" s="239"/>
      <c r="CCZ4" s="239"/>
      <c r="CDA4" s="239"/>
      <c r="CDB4" s="239"/>
      <c r="CDC4" s="239"/>
      <c r="CDD4" s="239"/>
      <c r="CDE4" s="239"/>
      <c r="CDF4" s="239"/>
      <c r="CDG4" s="239"/>
      <c r="CDH4" s="239"/>
      <c r="CDI4" s="239"/>
      <c r="CDJ4" s="239"/>
      <c r="CDK4" s="239"/>
      <c r="CDL4" s="239"/>
      <c r="CDM4" s="239"/>
      <c r="CDN4" s="239"/>
      <c r="CDO4" s="239"/>
      <c r="CDP4" s="239"/>
      <c r="CDQ4" s="239"/>
      <c r="CDR4" s="239"/>
      <c r="CDS4" s="239"/>
      <c r="CDT4" s="239"/>
      <c r="CDU4" s="239"/>
      <c r="CDV4" s="239"/>
      <c r="CDW4" s="239"/>
      <c r="CDX4" s="239"/>
      <c r="CDY4" s="239"/>
      <c r="CDZ4" s="239"/>
      <c r="CEA4" s="239"/>
      <c r="CEB4" s="239"/>
      <c r="CEC4" s="239"/>
      <c r="CED4" s="239"/>
      <c r="CEE4" s="239"/>
      <c r="CEF4" s="239"/>
      <c r="CEG4" s="239"/>
      <c r="CEH4" s="239"/>
      <c r="CEI4" s="239"/>
      <c r="CEJ4" s="239"/>
      <c r="CEK4" s="239"/>
      <c r="CEL4" s="239"/>
      <c r="CEM4" s="239"/>
      <c r="CEN4" s="239"/>
      <c r="CEO4" s="239"/>
      <c r="CEP4" s="239"/>
      <c r="CEQ4" s="239"/>
      <c r="CER4" s="239"/>
      <c r="CES4" s="239"/>
      <c r="CET4" s="239"/>
      <c r="CEU4" s="239"/>
      <c r="CEV4" s="239"/>
      <c r="CEW4" s="239"/>
      <c r="CEX4" s="239"/>
      <c r="CEY4" s="239"/>
      <c r="CEZ4" s="239"/>
      <c r="CFA4" s="239"/>
      <c r="CFB4" s="239"/>
      <c r="CFC4" s="239"/>
      <c r="CFD4" s="239"/>
      <c r="CFE4" s="239"/>
      <c r="CFF4" s="239"/>
      <c r="CFG4" s="239"/>
      <c r="CFH4" s="239"/>
      <c r="CFI4" s="239"/>
      <c r="CFJ4" s="239"/>
      <c r="CFK4" s="239"/>
      <c r="CFL4" s="239"/>
      <c r="CFM4" s="239"/>
      <c r="CFN4" s="239"/>
      <c r="CFO4" s="239"/>
      <c r="CFP4" s="239"/>
      <c r="CFQ4" s="239"/>
      <c r="CFR4" s="239"/>
      <c r="CFS4" s="239"/>
      <c r="CFT4" s="239"/>
      <c r="CFU4" s="239"/>
      <c r="CFV4" s="239"/>
      <c r="CFW4" s="239"/>
      <c r="CFX4" s="239"/>
      <c r="CFY4" s="239"/>
      <c r="CFZ4" s="239"/>
      <c r="CGA4" s="239"/>
      <c r="CGB4" s="239"/>
      <c r="CGC4" s="239"/>
      <c r="CGD4" s="239"/>
      <c r="CGE4" s="239"/>
      <c r="CGF4" s="239"/>
      <c r="CGG4" s="239"/>
      <c r="CGH4" s="239"/>
      <c r="CGI4" s="239"/>
      <c r="CGJ4" s="239"/>
      <c r="CGK4" s="239"/>
      <c r="CGL4" s="239"/>
      <c r="CGM4" s="239"/>
      <c r="CGN4" s="239"/>
      <c r="CGO4" s="239"/>
      <c r="CGP4" s="239"/>
      <c r="CGQ4" s="239"/>
      <c r="CGR4" s="239"/>
      <c r="CGS4" s="239"/>
      <c r="CGT4" s="239"/>
      <c r="CGU4" s="239"/>
      <c r="CGV4" s="239"/>
      <c r="CGW4" s="239"/>
      <c r="CGX4" s="239"/>
      <c r="CGY4" s="239"/>
      <c r="CGZ4" s="239"/>
      <c r="CHA4" s="239"/>
      <c r="CHB4" s="239"/>
      <c r="CHC4" s="239"/>
      <c r="CHD4" s="239"/>
      <c r="CHE4" s="239"/>
      <c r="CHF4" s="239"/>
      <c r="CHG4" s="239"/>
      <c r="CHH4" s="239"/>
      <c r="CHI4" s="239"/>
      <c r="CHJ4" s="239"/>
      <c r="CHK4" s="239"/>
      <c r="CHL4" s="239"/>
      <c r="CHM4" s="239"/>
      <c r="CHN4" s="239"/>
      <c r="CHO4" s="239"/>
      <c r="CHP4" s="239"/>
      <c r="CHQ4" s="239"/>
      <c r="CHR4" s="239"/>
      <c r="CHS4" s="239"/>
      <c r="CHT4" s="239"/>
      <c r="CHU4" s="239"/>
      <c r="CHV4" s="239"/>
      <c r="CHW4" s="239"/>
      <c r="CHX4" s="239"/>
      <c r="CHY4" s="239"/>
      <c r="CHZ4" s="239"/>
      <c r="CIA4" s="239"/>
      <c r="CIB4" s="239"/>
      <c r="CIC4" s="239"/>
      <c r="CID4" s="239"/>
      <c r="CIE4" s="239"/>
      <c r="CIF4" s="239"/>
      <c r="CIG4" s="239"/>
      <c r="CIH4" s="239"/>
      <c r="CII4" s="239"/>
      <c r="CIJ4" s="239"/>
      <c r="CIK4" s="239"/>
      <c r="CIL4" s="239"/>
      <c r="CIM4" s="239"/>
      <c r="CIN4" s="239"/>
      <c r="CIO4" s="239"/>
      <c r="CIP4" s="239"/>
      <c r="CIQ4" s="239"/>
      <c r="CIR4" s="239"/>
      <c r="CIS4" s="239"/>
      <c r="CIT4" s="239"/>
      <c r="CIU4" s="239"/>
      <c r="CIV4" s="239"/>
      <c r="CIW4" s="239"/>
      <c r="CIX4" s="239"/>
      <c r="CIY4" s="239"/>
      <c r="CIZ4" s="239"/>
      <c r="CJA4" s="239"/>
      <c r="CJB4" s="239"/>
      <c r="CJC4" s="239"/>
      <c r="CJD4" s="239"/>
      <c r="CJE4" s="239"/>
      <c r="CJF4" s="239"/>
      <c r="CJG4" s="239"/>
      <c r="CJH4" s="239"/>
      <c r="CJI4" s="239"/>
      <c r="CJJ4" s="239"/>
      <c r="CJK4" s="239"/>
      <c r="CJL4" s="239"/>
      <c r="CJM4" s="239"/>
      <c r="CJN4" s="239"/>
      <c r="CJO4" s="239"/>
      <c r="CJP4" s="239"/>
      <c r="CJQ4" s="239"/>
      <c r="CJR4" s="239"/>
      <c r="CJS4" s="239"/>
      <c r="CJT4" s="239"/>
      <c r="CJU4" s="239"/>
      <c r="CJV4" s="239"/>
      <c r="CJW4" s="239"/>
      <c r="CJX4" s="239"/>
      <c r="CJY4" s="239"/>
      <c r="CJZ4" s="239"/>
      <c r="CKA4" s="239"/>
      <c r="CKB4" s="239"/>
      <c r="CKC4" s="239"/>
      <c r="CKD4" s="239"/>
      <c r="CKE4" s="239"/>
      <c r="CKF4" s="239"/>
      <c r="CKG4" s="239"/>
      <c r="CKH4" s="239"/>
      <c r="CKI4" s="239"/>
      <c r="CKJ4" s="239"/>
      <c r="CKK4" s="239"/>
      <c r="CKL4" s="239"/>
      <c r="CKM4" s="239"/>
      <c r="CKN4" s="239"/>
      <c r="CKO4" s="239"/>
      <c r="CKP4" s="239"/>
      <c r="CKQ4" s="239"/>
      <c r="CKR4" s="239"/>
      <c r="CKS4" s="239"/>
      <c r="CKT4" s="239"/>
      <c r="CKU4" s="239"/>
      <c r="CKV4" s="239"/>
      <c r="CKW4" s="239"/>
      <c r="CKX4" s="239"/>
      <c r="CKY4" s="239"/>
      <c r="CKZ4" s="239"/>
      <c r="CLA4" s="239"/>
      <c r="CLB4" s="239"/>
      <c r="CLC4" s="239"/>
      <c r="CLD4" s="239"/>
      <c r="CLE4" s="239"/>
      <c r="CLF4" s="239"/>
    </row>
    <row r="5" spans="1:8915" s="47" customFormat="1" hidden="1">
      <c r="A5" s="52"/>
      <c r="B5" s="101">
        <v>45748</v>
      </c>
      <c r="C5" s="101" t="s">
        <v>193</v>
      </c>
      <c r="D5" s="119">
        <v>1465.1391999999946</v>
      </c>
      <c r="E5" s="119">
        <v>2796.4032000000839</v>
      </c>
      <c r="F5" s="119">
        <v>401.5</v>
      </c>
      <c r="G5" s="119">
        <v>599.96999999997206</v>
      </c>
      <c r="H5" s="119">
        <v>962.25999999999476</v>
      </c>
      <c r="I5" s="119">
        <v>299.09999999999854</v>
      </c>
      <c r="J5" s="119">
        <v>627.29280000004042</v>
      </c>
      <c r="K5" s="119">
        <v>818.96560000005275</v>
      </c>
      <c r="L5" s="119">
        <v>3262.1899999992165</v>
      </c>
      <c r="M5" s="119">
        <v>747.75</v>
      </c>
      <c r="N5" s="120">
        <v>223.1</v>
      </c>
      <c r="O5" s="120">
        <v>1677.7010000009084</v>
      </c>
      <c r="P5" s="141">
        <f>SUM(D5:O5)</f>
        <v>13881.371800000263</v>
      </c>
      <c r="Q5" s="119">
        <v>13788.280000000144</v>
      </c>
      <c r="R5" s="119">
        <v>16629.12979999974</v>
      </c>
      <c r="S5" s="119">
        <v>546.67159999999819</v>
      </c>
      <c r="T5" s="119">
        <v>642.01920000000234</v>
      </c>
      <c r="U5" s="119">
        <v>1388.1486000001269</v>
      </c>
      <c r="V5" s="141">
        <f>SUM(P5:S5)+T5+U5</f>
        <v>46875.621000000276</v>
      </c>
      <c r="W5" s="81"/>
      <c r="X5" s="262">
        <f>Summary!K5</f>
        <v>46875.621000000276</v>
      </c>
      <c r="Y5" s="239"/>
      <c r="Z5" s="281">
        <v>0</v>
      </c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  <c r="AT5" s="239"/>
      <c r="AU5" s="239"/>
      <c r="AV5" s="239"/>
      <c r="AW5" s="239"/>
      <c r="AX5" s="239"/>
      <c r="AY5" s="239"/>
      <c r="AZ5" s="239"/>
      <c r="BA5" s="239"/>
      <c r="BB5" s="239"/>
      <c r="BC5" s="239"/>
      <c r="BD5" s="239"/>
      <c r="BE5" s="239"/>
      <c r="BF5" s="239"/>
      <c r="BG5" s="239"/>
      <c r="BH5" s="239"/>
      <c r="BI5" s="239"/>
      <c r="BJ5" s="239"/>
      <c r="BK5" s="239"/>
      <c r="BL5" s="239"/>
      <c r="BM5" s="239"/>
      <c r="BN5" s="239"/>
      <c r="BO5" s="239"/>
      <c r="BP5" s="239"/>
      <c r="BQ5" s="239"/>
      <c r="BR5" s="239"/>
      <c r="BS5" s="239"/>
      <c r="BT5" s="239"/>
      <c r="BU5" s="239"/>
      <c r="BV5" s="239"/>
      <c r="BW5" s="239"/>
      <c r="BX5" s="239"/>
      <c r="BY5" s="239"/>
      <c r="BZ5" s="239"/>
      <c r="CA5" s="239"/>
      <c r="CB5" s="239"/>
      <c r="CC5" s="239"/>
      <c r="CD5" s="239"/>
      <c r="CE5" s="239"/>
      <c r="CF5" s="239"/>
      <c r="CG5" s="239"/>
      <c r="CH5" s="239"/>
      <c r="CI5" s="239"/>
      <c r="CJ5" s="239"/>
      <c r="CK5" s="239"/>
      <c r="CL5" s="239"/>
      <c r="CM5" s="239"/>
      <c r="CN5" s="239"/>
      <c r="CO5" s="239"/>
      <c r="CP5" s="239"/>
      <c r="CQ5" s="239"/>
      <c r="CR5" s="239"/>
      <c r="CS5" s="239"/>
      <c r="CT5" s="239"/>
      <c r="CU5" s="239"/>
      <c r="CV5" s="239"/>
      <c r="CW5" s="239"/>
      <c r="CX5" s="239"/>
      <c r="CY5" s="239"/>
      <c r="CZ5" s="239"/>
      <c r="DA5" s="239"/>
      <c r="DB5" s="239"/>
      <c r="DC5" s="239"/>
      <c r="DD5" s="239"/>
      <c r="DE5" s="239"/>
      <c r="DF5" s="239"/>
      <c r="DG5" s="239"/>
      <c r="DH5" s="239"/>
      <c r="DI5" s="239"/>
      <c r="DJ5" s="239"/>
      <c r="DK5" s="239"/>
      <c r="DL5" s="239"/>
      <c r="DM5" s="239"/>
      <c r="DN5" s="239"/>
      <c r="DO5" s="239"/>
      <c r="DP5" s="239"/>
      <c r="DQ5" s="239"/>
      <c r="DR5" s="239"/>
      <c r="DS5" s="239"/>
      <c r="DT5" s="239"/>
      <c r="DU5" s="239"/>
      <c r="DV5" s="239"/>
      <c r="DW5" s="239"/>
      <c r="DX5" s="239"/>
      <c r="DY5" s="239"/>
      <c r="DZ5" s="239"/>
      <c r="EA5" s="239"/>
      <c r="EB5" s="239"/>
      <c r="EC5" s="239"/>
      <c r="ED5" s="239"/>
      <c r="EE5" s="239"/>
      <c r="EF5" s="239"/>
      <c r="EG5" s="239"/>
      <c r="EH5" s="239"/>
      <c r="EI5" s="239"/>
      <c r="EJ5" s="239"/>
      <c r="EK5" s="239"/>
      <c r="EL5" s="239"/>
      <c r="EM5" s="239"/>
      <c r="EN5" s="239"/>
      <c r="EO5" s="239"/>
      <c r="EP5" s="239"/>
      <c r="EQ5" s="239"/>
      <c r="ER5" s="239"/>
      <c r="ES5" s="239"/>
      <c r="ET5" s="239"/>
      <c r="EU5" s="239"/>
      <c r="EV5" s="239"/>
      <c r="EW5" s="239"/>
      <c r="EX5" s="239"/>
      <c r="EY5" s="239"/>
      <c r="EZ5" s="239"/>
      <c r="FA5" s="239"/>
      <c r="FB5" s="239"/>
      <c r="FC5" s="239"/>
      <c r="FD5" s="239"/>
      <c r="FE5" s="239"/>
      <c r="FF5" s="239"/>
      <c r="FG5" s="239"/>
      <c r="FH5" s="239"/>
      <c r="FI5" s="239"/>
      <c r="FJ5" s="239"/>
      <c r="FK5" s="239"/>
      <c r="FL5" s="239"/>
      <c r="FM5" s="239"/>
      <c r="FN5" s="239"/>
      <c r="FO5" s="239"/>
      <c r="FP5" s="239"/>
      <c r="FQ5" s="239"/>
      <c r="FR5" s="239"/>
      <c r="FS5" s="239"/>
      <c r="FT5" s="239"/>
      <c r="FU5" s="239"/>
      <c r="FV5" s="239"/>
      <c r="FW5" s="239"/>
      <c r="FX5" s="239"/>
      <c r="FY5" s="239"/>
      <c r="FZ5" s="239"/>
      <c r="GA5" s="239"/>
      <c r="GB5" s="239"/>
      <c r="GC5" s="239"/>
      <c r="GD5" s="239"/>
      <c r="GE5" s="239"/>
      <c r="GF5" s="239"/>
      <c r="GG5" s="239"/>
      <c r="GH5" s="239"/>
      <c r="GI5" s="239"/>
      <c r="GJ5" s="239"/>
      <c r="GK5" s="239"/>
      <c r="GL5" s="239"/>
      <c r="GM5" s="239"/>
      <c r="GN5" s="239"/>
      <c r="GO5" s="239"/>
      <c r="GP5" s="239"/>
      <c r="GQ5" s="239"/>
      <c r="GR5" s="239"/>
      <c r="GS5" s="239"/>
      <c r="GT5" s="239"/>
      <c r="GU5" s="239"/>
      <c r="GV5" s="239"/>
      <c r="GW5" s="239"/>
      <c r="GX5" s="239"/>
      <c r="GY5" s="239"/>
      <c r="GZ5" s="239"/>
      <c r="HA5" s="239"/>
      <c r="HB5" s="239"/>
      <c r="HC5" s="239"/>
      <c r="HD5" s="239"/>
      <c r="HE5" s="239"/>
      <c r="HF5" s="239"/>
      <c r="HG5" s="239"/>
      <c r="HH5" s="239"/>
      <c r="HI5" s="239"/>
      <c r="HJ5" s="239"/>
      <c r="HK5" s="239"/>
      <c r="HL5" s="239"/>
      <c r="HM5" s="239"/>
      <c r="HN5" s="239"/>
      <c r="HO5" s="239"/>
      <c r="HP5" s="239"/>
      <c r="HQ5" s="239"/>
      <c r="HR5" s="239"/>
      <c r="HS5" s="239"/>
      <c r="HT5" s="239"/>
      <c r="HU5" s="239"/>
      <c r="HV5" s="239"/>
      <c r="HW5" s="239"/>
      <c r="HX5" s="239"/>
      <c r="HY5" s="239"/>
      <c r="HZ5" s="239"/>
      <c r="IA5" s="239"/>
      <c r="IB5" s="239"/>
      <c r="IC5" s="239"/>
      <c r="ID5" s="239"/>
      <c r="IE5" s="239"/>
      <c r="IF5" s="239"/>
      <c r="IG5" s="239"/>
      <c r="IH5" s="239"/>
      <c r="II5" s="239"/>
      <c r="IJ5" s="239"/>
      <c r="IK5" s="239"/>
      <c r="IL5" s="239"/>
      <c r="IM5" s="239"/>
      <c r="IN5" s="239"/>
      <c r="IO5" s="239"/>
      <c r="IP5" s="239"/>
      <c r="IQ5" s="239"/>
      <c r="IR5" s="239"/>
      <c r="IS5" s="239"/>
      <c r="IT5" s="239"/>
      <c r="IU5" s="239"/>
      <c r="IV5" s="239"/>
      <c r="IW5" s="239"/>
      <c r="IX5" s="239"/>
      <c r="IY5" s="239"/>
      <c r="IZ5" s="239"/>
      <c r="JA5" s="239"/>
      <c r="JB5" s="239"/>
      <c r="JC5" s="239"/>
      <c r="JD5" s="239"/>
      <c r="JE5" s="239"/>
      <c r="JF5" s="239"/>
      <c r="JG5" s="239"/>
      <c r="JH5" s="239"/>
      <c r="JI5" s="239"/>
      <c r="JJ5" s="239"/>
      <c r="JK5" s="239"/>
      <c r="JL5" s="239"/>
      <c r="JM5" s="239"/>
      <c r="JN5" s="239"/>
      <c r="JO5" s="239"/>
      <c r="JP5" s="239"/>
      <c r="JQ5" s="239"/>
      <c r="JR5" s="239"/>
      <c r="JS5" s="239"/>
      <c r="JT5" s="239"/>
      <c r="JU5" s="239"/>
      <c r="JV5" s="239"/>
      <c r="JW5" s="239"/>
      <c r="JX5" s="239"/>
      <c r="JY5" s="239"/>
      <c r="JZ5" s="239"/>
      <c r="KA5" s="239"/>
      <c r="KB5" s="239"/>
      <c r="KC5" s="239"/>
      <c r="KD5" s="239"/>
      <c r="KE5" s="239"/>
      <c r="KF5" s="239"/>
      <c r="KG5" s="239"/>
      <c r="KH5" s="239"/>
      <c r="KI5" s="239"/>
      <c r="KJ5" s="239"/>
      <c r="KK5" s="239"/>
      <c r="KL5" s="239"/>
      <c r="KM5" s="239"/>
      <c r="KN5" s="239"/>
      <c r="KO5" s="239"/>
      <c r="KP5" s="239"/>
      <c r="KQ5" s="239"/>
      <c r="KR5" s="239"/>
      <c r="KS5" s="239"/>
      <c r="KT5" s="239"/>
      <c r="KU5" s="239"/>
      <c r="KV5" s="239"/>
      <c r="KW5" s="239"/>
      <c r="KX5" s="239"/>
      <c r="KY5" s="239"/>
      <c r="KZ5" s="239"/>
      <c r="LA5" s="239"/>
      <c r="LB5" s="239"/>
      <c r="LC5" s="239"/>
      <c r="LD5" s="239"/>
      <c r="LE5" s="239"/>
      <c r="LF5" s="239"/>
      <c r="LG5" s="239"/>
      <c r="LH5" s="239"/>
      <c r="LI5" s="239"/>
      <c r="LJ5" s="239"/>
      <c r="LK5" s="239"/>
      <c r="LL5" s="239"/>
      <c r="LM5" s="239"/>
      <c r="LN5" s="239"/>
      <c r="LO5" s="239"/>
      <c r="LP5" s="239"/>
      <c r="LQ5" s="239"/>
      <c r="LR5" s="239"/>
      <c r="LS5" s="239"/>
      <c r="LT5" s="239"/>
      <c r="LU5" s="239"/>
      <c r="LV5" s="239"/>
      <c r="LW5" s="239"/>
      <c r="LX5" s="239"/>
      <c r="LY5" s="239"/>
      <c r="LZ5" s="239"/>
      <c r="MA5" s="239"/>
      <c r="MB5" s="239"/>
      <c r="MC5" s="239"/>
      <c r="MD5" s="239"/>
      <c r="ME5" s="239"/>
      <c r="MF5" s="239"/>
      <c r="MG5" s="239"/>
      <c r="MH5" s="239"/>
      <c r="MI5" s="239"/>
      <c r="MJ5" s="239"/>
      <c r="MK5" s="239"/>
      <c r="ML5" s="239"/>
      <c r="MM5" s="239"/>
      <c r="MN5" s="239"/>
      <c r="MO5" s="239"/>
      <c r="MP5" s="239"/>
      <c r="MQ5" s="239"/>
      <c r="MR5" s="239"/>
      <c r="MS5" s="239"/>
      <c r="MT5" s="239"/>
      <c r="MU5" s="239"/>
      <c r="MV5" s="239"/>
      <c r="MW5" s="239"/>
      <c r="MX5" s="239"/>
      <c r="MY5" s="239"/>
      <c r="MZ5" s="239"/>
      <c r="NA5" s="239"/>
      <c r="NB5" s="239"/>
      <c r="NC5" s="239"/>
      <c r="ND5" s="239"/>
      <c r="NE5" s="239"/>
      <c r="NF5" s="239"/>
      <c r="NG5" s="239"/>
      <c r="NH5" s="239"/>
      <c r="NI5" s="239"/>
      <c r="NJ5" s="239"/>
      <c r="NK5" s="239"/>
      <c r="NL5" s="239"/>
      <c r="NM5" s="239"/>
      <c r="NN5" s="239"/>
      <c r="NO5" s="239"/>
      <c r="NP5" s="239"/>
      <c r="NQ5" s="239"/>
      <c r="NR5" s="239"/>
      <c r="NS5" s="239"/>
      <c r="NT5" s="239"/>
      <c r="NU5" s="239"/>
      <c r="NV5" s="239"/>
      <c r="NW5" s="239"/>
      <c r="NX5" s="239"/>
      <c r="NY5" s="239"/>
      <c r="NZ5" s="239"/>
      <c r="OA5" s="239"/>
      <c r="OB5" s="239"/>
      <c r="OC5" s="239"/>
      <c r="OD5" s="239"/>
      <c r="OE5" s="239"/>
      <c r="OF5" s="239"/>
      <c r="OG5" s="239"/>
      <c r="OH5" s="239"/>
      <c r="OI5" s="239"/>
      <c r="OJ5" s="239"/>
      <c r="OK5" s="239"/>
      <c r="OL5" s="239"/>
      <c r="OM5" s="239"/>
      <c r="ON5" s="239"/>
      <c r="OO5" s="239"/>
      <c r="OP5" s="239"/>
      <c r="OQ5" s="239"/>
      <c r="OR5" s="239"/>
      <c r="OS5" s="239"/>
      <c r="OT5" s="239"/>
      <c r="OU5" s="239"/>
      <c r="OV5" s="239"/>
      <c r="OW5" s="239"/>
      <c r="OX5" s="239"/>
      <c r="OY5" s="239"/>
      <c r="OZ5" s="239"/>
      <c r="PA5" s="239"/>
      <c r="PB5" s="239"/>
      <c r="PC5" s="239"/>
      <c r="PD5" s="239"/>
      <c r="PE5" s="239"/>
      <c r="PF5" s="239"/>
      <c r="PG5" s="239"/>
      <c r="PH5" s="239"/>
      <c r="PI5" s="239"/>
      <c r="PJ5" s="239"/>
      <c r="PK5" s="239"/>
      <c r="PL5" s="239"/>
      <c r="PM5" s="239"/>
      <c r="PN5" s="239"/>
      <c r="PO5" s="239"/>
      <c r="PP5" s="239"/>
      <c r="PQ5" s="239"/>
      <c r="PR5" s="239"/>
      <c r="PS5" s="239"/>
      <c r="PT5" s="239"/>
      <c r="PU5" s="239"/>
      <c r="PV5" s="239"/>
      <c r="PW5" s="239"/>
      <c r="PX5" s="239"/>
      <c r="PY5" s="239"/>
      <c r="PZ5" s="239"/>
      <c r="QA5" s="239"/>
      <c r="QB5" s="239"/>
      <c r="QC5" s="239"/>
      <c r="QD5" s="239"/>
      <c r="QE5" s="239"/>
      <c r="QF5" s="239"/>
      <c r="QG5" s="239"/>
      <c r="QH5" s="239"/>
      <c r="QI5" s="239"/>
      <c r="QJ5" s="239"/>
      <c r="QK5" s="239"/>
      <c r="QL5" s="239"/>
      <c r="QM5" s="239"/>
      <c r="QN5" s="239"/>
      <c r="QO5" s="239"/>
      <c r="QP5" s="239"/>
      <c r="QQ5" s="239"/>
      <c r="QR5" s="239"/>
      <c r="QS5" s="239"/>
      <c r="QT5" s="239"/>
      <c r="QU5" s="239"/>
      <c r="QV5" s="239"/>
      <c r="QW5" s="239"/>
      <c r="QX5" s="239"/>
      <c r="QY5" s="239"/>
      <c r="QZ5" s="239"/>
      <c r="RA5" s="239"/>
      <c r="RB5" s="239"/>
      <c r="RC5" s="239"/>
      <c r="RD5" s="239"/>
      <c r="RE5" s="239"/>
      <c r="RF5" s="239"/>
      <c r="RG5" s="239"/>
      <c r="RH5" s="239"/>
      <c r="RI5" s="239"/>
      <c r="RJ5" s="239"/>
      <c r="RK5" s="239"/>
      <c r="RL5" s="239"/>
      <c r="RM5" s="239"/>
      <c r="RN5" s="239"/>
      <c r="RO5" s="239"/>
      <c r="RP5" s="239"/>
      <c r="RQ5" s="239"/>
      <c r="RR5" s="239"/>
      <c r="RS5" s="239"/>
      <c r="RT5" s="239"/>
      <c r="RU5" s="239"/>
      <c r="RV5" s="239"/>
      <c r="RW5" s="239"/>
      <c r="RX5" s="239"/>
      <c r="RY5" s="239"/>
      <c r="RZ5" s="239"/>
      <c r="SA5" s="239"/>
      <c r="SB5" s="239"/>
      <c r="SC5" s="239"/>
      <c r="SD5" s="239"/>
      <c r="SE5" s="239"/>
      <c r="SF5" s="239"/>
      <c r="SG5" s="239"/>
      <c r="SH5" s="239"/>
      <c r="SI5" s="239"/>
      <c r="SJ5" s="239"/>
      <c r="SK5" s="239"/>
      <c r="SL5" s="239"/>
      <c r="SM5" s="239"/>
      <c r="SN5" s="239"/>
      <c r="SO5" s="239"/>
      <c r="SP5" s="239"/>
      <c r="SQ5" s="239"/>
      <c r="SR5" s="239"/>
      <c r="SS5" s="239"/>
      <c r="ST5" s="239"/>
      <c r="SU5" s="239"/>
      <c r="SV5" s="239"/>
      <c r="SW5" s="239"/>
      <c r="SX5" s="239"/>
      <c r="SY5" s="239"/>
      <c r="SZ5" s="239"/>
      <c r="TA5" s="239"/>
      <c r="TB5" s="239"/>
      <c r="TC5" s="239"/>
      <c r="TD5" s="239"/>
      <c r="TE5" s="239"/>
      <c r="TF5" s="239"/>
      <c r="TG5" s="239"/>
      <c r="TH5" s="239"/>
      <c r="TI5" s="239"/>
      <c r="TJ5" s="239"/>
      <c r="TK5" s="239"/>
      <c r="TL5" s="239"/>
      <c r="TM5" s="239"/>
      <c r="TN5" s="239"/>
      <c r="TO5" s="239"/>
      <c r="TP5" s="239"/>
      <c r="TQ5" s="239"/>
      <c r="TR5" s="239"/>
      <c r="TS5" s="239"/>
      <c r="TT5" s="239"/>
      <c r="TU5" s="239"/>
      <c r="TV5" s="239"/>
      <c r="TW5" s="239"/>
      <c r="TX5" s="239"/>
      <c r="TY5" s="239"/>
      <c r="TZ5" s="239"/>
      <c r="UA5" s="239"/>
      <c r="UB5" s="239"/>
      <c r="UC5" s="239"/>
      <c r="UD5" s="239"/>
      <c r="UE5" s="239"/>
      <c r="UF5" s="239"/>
      <c r="UG5" s="239"/>
      <c r="UH5" s="239"/>
      <c r="UI5" s="239"/>
      <c r="UJ5" s="239"/>
      <c r="UK5" s="239"/>
      <c r="UL5" s="239"/>
      <c r="UM5" s="239"/>
      <c r="UN5" s="239"/>
      <c r="UO5" s="239"/>
      <c r="UP5" s="239"/>
      <c r="UQ5" s="239"/>
      <c r="UR5" s="239"/>
      <c r="US5" s="239"/>
      <c r="UT5" s="239"/>
      <c r="UU5" s="239"/>
      <c r="UV5" s="239"/>
      <c r="UW5" s="239"/>
      <c r="UX5" s="239"/>
      <c r="UY5" s="239"/>
      <c r="UZ5" s="239"/>
      <c r="VA5" s="239"/>
      <c r="VB5" s="239"/>
      <c r="VC5" s="239"/>
      <c r="VD5" s="239"/>
      <c r="VE5" s="239"/>
      <c r="VF5" s="239"/>
      <c r="VG5" s="239"/>
      <c r="VH5" s="239"/>
      <c r="VI5" s="239"/>
      <c r="VJ5" s="239"/>
      <c r="VK5" s="239"/>
      <c r="VL5" s="239"/>
      <c r="VM5" s="239"/>
      <c r="VN5" s="239"/>
      <c r="VO5" s="239"/>
      <c r="VP5" s="239"/>
      <c r="VQ5" s="239"/>
      <c r="VR5" s="239"/>
      <c r="VS5" s="239"/>
      <c r="VT5" s="239"/>
      <c r="VU5" s="239"/>
      <c r="VV5" s="239"/>
      <c r="VW5" s="239"/>
      <c r="VX5" s="239"/>
      <c r="VY5" s="239"/>
      <c r="VZ5" s="239"/>
      <c r="WA5" s="239"/>
      <c r="WB5" s="239"/>
      <c r="WC5" s="239"/>
      <c r="WD5" s="239"/>
      <c r="WE5" s="239"/>
      <c r="WF5" s="239"/>
      <c r="WG5" s="239"/>
      <c r="WH5" s="239"/>
      <c r="WI5" s="239"/>
      <c r="WJ5" s="239"/>
      <c r="WK5" s="239"/>
      <c r="WL5" s="239"/>
      <c r="WM5" s="239"/>
      <c r="WN5" s="239"/>
      <c r="WO5" s="239"/>
      <c r="WP5" s="239"/>
      <c r="WQ5" s="239"/>
      <c r="WR5" s="239"/>
      <c r="WS5" s="239"/>
      <c r="WT5" s="239"/>
      <c r="WU5" s="239"/>
      <c r="WV5" s="239"/>
      <c r="WW5" s="239"/>
      <c r="WX5" s="239"/>
      <c r="WY5" s="239"/>
      <c r="WZ5" s="239"/>
      <c r="XA5" s="239"/>
      <c r="XB5" s="239"/>
      <c r="XC5" s="239"/>
      <c r="XD5" s="239"/>
      <c r="XE5" s="239"/>
      <c r="XF5" s="239"/>
      <c r="XG5" s="239"/>
      <c r="XH5" s="239"/>
      <c r="XI5" s="239"/>
      <c r="XJ5" s="239"/>
      <c r="XK5" s="239"/>
      <c r="XL5" s="239"/>
      <c r="XM5" s="239"/>
      <c r="XN5" s="239"/>
      <c r="XO5" s="239"/>
      <c r="XP5" s="239"/>
      <c r="XQ5" s="239"/>
      <c r="XR5" s="239"/>
      <c r="XS5" s="239"/>
      <c r="XT5" s="239"/>
      <c r="XU5" s="239"/>
      <c r="XV5" s="239"/>
      <c r="XW5" s="239"/>
      <c r="XX5" s="239"/>
      <c r="XY5" s="239"/>
      <c r="XZ5" s="239"/>
      <c r="YA5" s="239"/>
      <c r="YB5" s="239"/>
      <c r="YC5" s="239"/>
      <c r="YD5" s="239"/>
      <c r="YE5" s="239"/>
      <c r="YF5" s="239"/>
      <c r="YG5" s="239"/>
      <c r="YH5" s="239"/>
      <c r="YI5" s="239"/>
      <c r="YJ5" s="239"/>
      <c r="YK5" s="239"/>
      <c r="YL5" s="239"/>
      <c r="YM5" s="239"/>
      <c r="YN5" s="239"/>
      <c r="YO5" s="239"/>
      <c r="YP5" s="239"/>
      <c r="YQ5" s="239"/>
      <c r="YR5" s="239"/>
      <c r="YS5" s="239"/>
      <c r="YT5" s="239"/>
      <c r="YU5" s="239"/>
      <c r="YV5" s="239"/>
      <c r="YW5" s="239"/>
      <c r="YX5" s="239"/>
      <c r="YY5" s="239"/>
      <c r="YZ5" s="239"/>
      <c r="ZA5" s="239"/>
      <c r="ZB5" s="239"/>
      <c r="ZC5" s="239"/>
      <c r="ZD5" s="239"/>
      <c r="ZE5" s="239"/>
      <c r="ZF5" s="239"/>
      <c r="ZG5" s="239"/>
      <c r="ZH5" s="239"/>
      <c r="ZI5" s="239"/>
      <c r="ZJ5" s="239"/>
      <c r="ZK5" s="239"/>
      <c r="ZL5" s="239"/>
      <c r="ZM5" s="239"/>
      <c r="ZN5" s="239"/>
      <c r="ZO5" s="239"/>
      <c r="ZP5" s="239"/>
      <c r="ZQ5" s="239"/>
      <c r="ZR5" s="239"/>
      <c r="ZS5" s="239"/>
      <c r="ZT5" s="239"/>
      <c r="ZU5" s="239"/>
      <c r="ZV5" s="239"/>
      <c r="ZW5" s="239"/>
      <c r="ZX5" s="239"/>
      <c r="ZY5" s="239"/>
      <c r="ZZ5" s="239"/>
      <c r="AAA5" s="239"/>
      <c r="AAB5" s="239"/>
      <c r="AAC5" s="239"/>
      <c r="AAD5" s="239"/>
      <c r="AAE5" s="239"/>
      <c r="AAF5" s="239"/>
      <c r="AAG5" s="239"/>
      <c r="AAH5" s="239"/>
      <c r="AAI5" s="239"/>
      <c r="AAJ5" s="239"/>
      <c r="AAK5" s="239"/>
      <c r="AAL5" s="239"/>
      <c r="AAM5" s="239"/>
      <c r="AAN5" s="239"/>
      <c r="AAO5" s="239"/>
      <c r="AAP5" s="239"/>
      <c r="AAQ5" s="239"/>
      <c r="AAR5" s="239"/>
      <c r="AAS5" s="239"/>
      <c r="AAT5" s="239"/>
      <c r="AAU5" s="239"/>
      <c r="AAV5" s="239"/>
      <c r="AAW5" s="239"/>
      <c r="AAX5" s="239"/>
      <c r="AAY5" s="239"/>
      <c r="AAZ5" s="239"/>
      <c r="ABA5" s="239"/>
      <c r="ABB5" s="239"/>
      <c r="ABC5" s="239"/>
      <c r="ABD5" s="239"/>
      <c r="ABE5" s="239"/>
      <c r="ABF5" s="239"/>
      <c r="ABG5" s="239"/>
      <c r="ABH5" s="239"/>
      <c r="ABI5" s="239"/>
      <c r="ABJ5" s="239"/>
      <c r="ABK5" s="239"/>
      <c r="ABL5" s="239"/>
      <c r="ABM5" s="239"/>
      <c r="ABN5" s="239"/>
      <c r="ABO5" s="239"/>
      <c r="ABP5" s="239"/>
      <c r="ABQ5" s="239"/>
      <c r="ABR5" s="239"/>
      <c r="ABS5" s="239"/>
      <c r="ABT5" s="239"/>
      <c r="ABU5" s="239"/>
      <c r="ABV5" s="239"/>
      <c r="ABW5" s="239"/>
      <c r="ABX5" s="239"/>
      <c r="ABY5" s="239"/>
      <c r="ABZ5" s="239"/>
      <c r="ACA5" s="239"/>
      <c r="ACB5" s="239"/>
      <c r="ACC5" s="239"/>
      <c r="ACD5" s="239"/>
      <c r="ACE5" s="239"/>
      <c r="ACF5" s="239"/>
      <c r="ACG5" s="239"/>
      <c r="ACH5" s="239"/>
      <c r="ACI5" s="239"/>
      <c r="ACJ5" s="239"/>
      <c r="ACK5" s="239"/>
      <c r="ACL5" s="239"/>
      <c r="ACM5" s="239"/>
      <c r="ACN5" s="239"/>
      <c r="ACO5" s="239"/>
      <c r="ACP5" s="239"/>
      <c r="ACQ5" s="239"/>
      <c r="ACR5" s="239"/>
      <c r="ACS5" s="239"/>
      <c r="ACT5" s="239"/>
      <c r="ACU5" s="239"/>
      <c r="ACV5" s="239"/>
      <c r="ACW5" s="239"/>
      <c r="ACX5" s="239"/>
      <c r="ACY5" s="239"/>
      <c r="ACZ5" s="239"/>
      <c r="ADA5" s="239"/>
      <c r="ADB5" s="239"/>
      <c r="ADC5" s="239"/>
      <c r="ADD5" s="239"/>
      <c r="ADE5" s="239"/>
      <c r="ADF5" s="239"/>
      <c r="ADG5" s="239"/>
      <c r="ADH5" s="239"/>
      <c r="ADI5" s="239"/>
      <c r="ADJ5" s="239"/>
      <c r="ADK5" s="239"/>
      <c r="ADL5" s="239"/>
      <c r="ADM5" s="239"/>
      <c r="ADN5" s="239"/>
      <c r="ADO5" s="239"/>
      <c r="ADP5" s="239"/>
      <c r="ADQ5" s="239"/>
      <c r="ADR5" s="239"/>
      <c r="ADS5" s="239"/>
      <c r="ADT5" s="239"/>
      <c r="ADU5" s="239"/>
      <c r="ADV5" s="239"/>
      <c r="ADW5" s="239"/>
      <c r="ADX5" s="239"/>
      <c r="ADY5" s="239"/>
      <c r="ADZ5" s="239"/>
      <c r="AEA5" s="239"/>
      <c r="AEB5" s="239"/>
      <c r="AEC5" s="239"/>
      <c r="AED5" s="239"/>
      <c r="AEE5" s="239"/>
      <c r="AEF5" s="239"/>
      <c r="AEG5" s="239"/>
      <c r="AEH5" s="239"/>
      <c r="AEI5" s="239"/>
      <c r="AEJ5" s="239"/>
      <c r="AEK5" s="239"/>
      <c r="AEL5" s="239"/>
      <c r="AEM5" s="239"/>
      <c r="AEN5" s="239"/>
      <c r="AEO5" s="239"/>
      <c r="AEP5" s="239"/>
      <c r="AEQ5" s="239"/>
      <c r="AER5" s="239"/>
      <c r="AES5" s="239"/>
      <c r="AET5" s="239"/>
      <c r="AEU5" s="239"/>
      <c r="AEV5" s="239"/>
      <c r="AEW5" s="239"/>
      <c r="AEX5" s="239"/>
      <c r="AEY5" s="239"/>
      <c r="AEZ5" s="239"/>
      <c r="AFA5" s="239"/>
      <c r="AFB5" s="239"/>
      <c r="AFC5" s="239"/>
      <c r="AFD5" s="239"/>
      <c r="AFE5" s="239"/>
      <c r="AFF5" s="239"/>
      <c r="AFG5" s="239"/>
      <c r="AFH5" s="239"/>
      <c r="AFI5" s="239"/>
      <c r="AFJ5" s="239"/>
      <c r="AFK5" s="239"/>
      <c r="AFL5" s="239"/>
      <c r="AFM5" s="239"/>
      <c r="AFN5" s="239"/>
      <c r="AFO5" s="239"/>
      <c r="AFP5" s="239"/>
      <c r="AFQ5" s="239"/>
      <c r="AFR5" s="239"/>
      <c r="AFS5" s="239"/>
      <c r="AFT5" s="239"/>
      <c r="AFU5" s="239"/>
      <c r="AFV5" s="239"/>
      <c r="AFW5" s="239"/>
      <c r="AFX5" s="239"/>
      <c r="AFY5" s="239"/>
      <c r="AFZ5" s="239"/>
      <c r="AGA5" s="239"/>
      <c r="AGB5" s="239"/>
      <c r="AGC5" s="239"/>
      <c r="AGD5" s="239"/>
      <c r="AGE5" s="239"/>
      <c r="AGF5" s="239"/>
      <c r="AGG5" s="239"/>
      <c r="AGH5" s="239"/>
      <c r="AGI5" s="239"/>
      <c r="AGJ5" s="239"/>
      <c r="AGK5" s="239"/>
      <c r="AGL5" s="239"/>
      <c r="AGM5" s="239"/>
      <c r="AGN5" s="239"/>
      <c r="AGO5" s="239"/>
      <c r="AGP5" s="239"/>
      <c r="AGQ5" s="239"/>
      <c r="AGR5" s="239"/>
      <c r="AGS5" s="239"/>
      <c r="AGT5" s="239"/>
      <c r="AGU5" s="239"/>
      <c r="AGV5" s="239"/>
      <c r="AGW5" s="239"/>
      <c r="AGX5" s="239"/>
      <c r="AGY5" s="239"/>
      <c r="AGZ5" s="239"/>
      <c r="AHA5" s="239"/>
      <c r="AHB5" s="239"/>
      <c r="AHC5" s="239"/>
      <c r="AHD5" s="239"/>
      <c r="AHE5" s="239"/>
      <c r="AHF5" s="239"/>
      <c r="AHG5" s="239"/>
      <c r="AHH5" s="239"/>
      <c r="AHI5" s="239"/>
      <c r="AHJ5" s="239"/>
      <c r="AHK5" s="239"/>
      <c r="AHL5" s="239"/>
      <c r="AHM5" s="239"/>
      <c r="AHN5" s="239"/>
      <c r="AHO5" s="239"/>
      <c r="AHP5" s="239"/>
      <c r="AHQ5" s="239"/>
      <c r="AHR5" s="239"/>
      <c r="AHS5" s="239"/>
      <c r="AHT5" s="239"/>
      <c r="AHU5" s="239"/>
      <c r="AHV5" s="239"/>
      <c r="AHW5" s="239"/>
      <c r="AHX5" s="239"/>
      <c r="AHY5" s="239"/>
      <c r="AHZ5" s="239"/>
      <c r="AIA5" s="239"/>
      <c r="AIB5" s="239"/>
      <c r="AIC5" s="239"/>
      <c r="AID5" s="239"/>
      <c r="AIE5" s="239"/>
      <c r="AIF5" s="239"/>
      <c r="AIG5" s="239"/>
      <c r="AIH5" s="239"/>
      <c r="AII5" s="239"/>
      <c r="AIJ5" s="239"/>
      <c r="AIK5" s="239"/>
      <c r="AIL5" s="239"/>
      <c r="AIM5" s="239"/>
      <c r="AIN5" s="239"/>
      <c r="AIO5" s="239"/>
      <c r="AIP5" s="239"/>
      <c r="AIQ5" s="239"/>
      <c r="AIR5" s="239"/>
      <c r="AIS5" s="239"/>
      <c r="AIT5" s="239"/>
      <c r="AIU5" s="239"/>
      <c r="AIV5" s="239"/>
      <c r="AIW5" s="239"/>
      <c r="AIX5" s="239"/>
      <c r="AIY5" s="239"/>
      <c r="AIZ5" s="239"/>
      <c r="AJA5" s="239"/>
      <c r="AJB5" s="239"/>
      <c r="AJC5" s="239"/>
      <c r="AJD5" s="239"/>
      <c r="AJE5" s="239"/>
      <c r="AJF5" s="239"/>
      <c r="AJG5" s="239"/>
      <c r="AJH5" s="239"/>
      <c r="AJI5" s="239"/>
      <c r="AJJ5" s="239"/>
      <c r="AJK5" s="239"/>
      <c r="AJL5" s="239"/>
      <c r="AJM5" s="239"/>
      <c r="AJN5" s="239"/>
      <c r="AJO5" s="239"/>
      <c r="AJP5" s="239"/>
      <c r="AJQ5" s="239"/>
      <c r="AJR5" s="239"/>
      <c r="AJS5" s="239"/>
      <c r="AJT5" s="239"/>
      <c r="AJU5" s="239"/>
      <c r="AJV5" s="239"/>
      <c r="AJW5" s="239"/>
      <c r="AJX5" s="239"/>
      <c r="AJY5" s="239"/>
      <c r="AJZ5" s="239"/>
      <c r="AKA5" s="239"/>
      <c r="AKB5" s="239"/>
      <c r="AKC5" s="239"/>
      <c r="AKD5" s="239"/>
      <c r="AKE5" s="239"/>
      <c r="AKF5" s="239"/>
      <c r="AKG5" s="239"/>
      <c r="AKH5" s="239"/>
      <c r="AKI5" s="239"/>
      <c r="AKJ5" s="239"/>
      <c r="AKK5" s="239"/>
      <c r="AKL5" s="239"/>
      <c r="AKM5" s="239"/>
      <c r="AKN5" s="239"/>
      <c r="AKO5" s="239"/>
      <c r="AKP5" s="239"/>
      <c r="AKQ5" s="239"/>
      <c r="AKR5" s="239"/>
      <c r="AKS5" s="239"/>
      <c r="AKT5" s="239"/>
      <c r="AKU5" s="239"/>
      <c r="AKV5" s="239"/>
      <c r="AKW5" s="239"/>
      <c r="AKX5" s="239"/>
      <c r="AKY5" s="239"/>
      <c r="AKZ5" s="239"/>
      <c r="ALA5" s="239"/>
      <c r="ALB5" s="239"/>
      <c r="ALC5" s="239"/>
      <c r="ALD5" s="239"/>
      <c r="ALE5" s="239"/>
      <c r="ALF5" s="239"/>
      <c r="ALG5" s="239"/>
      <c r="ALH5" s="239"/>
      <c r="ALI5" s="239"/>
      <c r="ALJ5" s="239"/>
      <c r="ALK5" s="239"/>
      <c r="ALL5" s="239"/>
      <c r="ALM5" s="239"/>
      <c r="ALN5" s="239"/>
      <c r="ALO5" s="239"/>
      <c r="ALP5" s="239"/>
      <c r="ALQ5" s="239"/>
      <c r="ALR5" s="239"/>
      <c r="ALS5" s="239"/>
      <c r="ALT5" s="239"/>
      <c r="ALU5" s="239"/>
      <c r="ALV5" s="239"/>
      <c r="ALW5" s="239"/>
      <c r="ALX5" s="239"/>
      <c r="ALY5" s="239"/>
      <c r="ALZ5" s="239"/>
      <c r="AMA5" s="239"/>
      <c r="AMB5" s="239"/>
      <c r="AMC5" s="239"/>
      <c r="AMD5" s="239"/>
      <c r="AME5" s="239"/>
      <c r="AMF5" s="239"/>
      <c r="AMG5" s="239"/>
      <c r="AMH5" s="239"/>
      <c r="AMI5" s="239"/>
      <c r="AMJ5" s="239"/>
      <c r="AMK5" s="239"/>
      <c r="AML5" s="239"/>
      <c r="AMM5" s="239"/>
      <c r="AMN5" s="239"/>
      <c r="AMO5" s="239"/>
      <c r="AMP5" s="239"/>
      <c r="AMQ5" s="239"/>
      <c r="AMR5" s="239"/>
      <c r="AMS5" s="239"/>
      <c r="AMT5" s="239"/>
      <c r="AMU5" s="239"/>
      <c r="AMV5" s="239"/>
      <c r="AMW5" s="239"/>
      <c r="AMX5" s="239"/>
      <c r="AMY5" s="239"/>
      <c r="AMZ5" s="239"/>
      <c r="ANA5" s="239"/>
      <c r="ANB5" s="239"/>
      <c r="ANC5" s="239"/>
      <c r="AND5" s="239"/>
      <c r="ANE5" s="239"/>
      <c r="ANF5" s="239"/>
      <c r="ANG5" s="239"/>
      <c r="ANH5" s="239"/>
      <c r="ANI5" s="239"/>
      <c r="ANJ5" s="239"/>
      <c r="ANK5" s="239"/>
      <c r="ANL5" s="239"/>
      <c r="ANM5" s="239"/>
      <c r="ANN5" s="239"/>
      <c r="ANO5" s="239"/>
      <c r="ANP5" s="239"/>
      <c r="ANQ5" s="239"/>
      <c r="ANR5" s="239"/>
      <c r="ANS5" s="239"/>
      <c r="ANT5" s="239"/>
      <c r="ANU5" s="239"/>
      <c r="ANV5" s="239"/>
      <c r="ANW5" s="239"/>
      <c r="ANX5" s="239"/>
      <c r="ANY5" s="239"/>
      <c r="ANZ5" s="239"/>
      <c r="AOA5" s="239"/>
      <c r="AOB5" s="239"/>
      <c r="AOC5" s="239"/>
      <c r="AOD5" s="239"/>
      <c r="AOE5" s="239"/>
      <c r="AOF5" s="239"/>
      <c r="AOG5" s="239"/>
      <c r="AOH5" s="239"/>
      <c r="AOI5" s="239"/>
      <c r="AOJ5" s="239"/>
      <c r="AOK5" s="239"/>
      <c r="AOL5" s="239"/>
      <c r="AOM5" s="239"/>
      <c r="AON5" s="239"/>
      <c r="AOO5" s="239"/>
      <c r="AOP5" s="239"/>
      <c r="AOQ5" s="239"/>
      <c r="AOR5" s="239"/>
      <c r="AOS5" s="239"/>
      <c r="AOT5" s="239"/>
      <c r="AOU5" s="239"/>
      <c r="AOV5" s="239"/>
      <c r="AOW5" s="239"/>
      <c r="AOX5" s="239"/>
      <c r="AOY5" s="239"/>
      <c r="AOZ5" s="239"/>
      <c r="APA5" s="239"/>
      <c r="APB5" s="239"/>
      <c r="APC5" s="239"/>
      <c r="APD5" s="239"/>
      <c r="APE5" s="239"/>
      <c r="APF5" s="239"/>
      <c r="APG5" s="239"/>
      <c r="APH5" s="239"/>
      <c r="API5" s="239"/>
      <c r="APJ5" s="239"/>
      <c r="APK5" s="239"/>
      <c r="APL5" s="239"/>
      <c r="APM5" s="239"/>
      <c r="APN5" s="239"/>
      <c r="APO5" s="239"/>
      <c r="APP5" s="239"/>
      <c r="APQ5" s="239"/>
      <c r="APR5" s="239"/>
      <c r="APS5" s="239"/>
      <c r="APT5" s="239"/>
      <c r="APU5" s="239"/>
      <c r="APV5" s="239"/>
      <c r="APW5" s="239"/>
      <c r="APX5" s="239"/>
      <c r="APY5" s="239"/>
      <c r="APZ5" s="239"/>
      <c r="AQA5" s="239"/>
      <c r="AQB5" s="239"/>
      <c r="AQC5" s="239"/>
      <c r="AQD5" s="239"/>
      <c r="AQE5" s="239"/>
      <c r="AQF5" s="239"/>
      <c r="AQG5" s="239"/>
      <c r="AQH5" s="239"/>
      <c r="AQI5" s="239"/>
      <c r="AQJ5" s="239"/>
      <c r="AQK5" s="239"/>
      <c r="AQL5" s="239"/>
      <c r="AQM5" s="239"/>
      <c r="AQN5" s="239"/>
      <c r="AQO5" s="239"/>
      <c r="AQP5" s="239"/>
      <c r="AQQ5" s="239"/>
      <c r="AQR5" s="239"/>
      <c r="AQS5" s="239"/>
      <c r="AQT5" s="239"/>
      <c r="AQU5" s="239"/>
      <c r="AQV5" s="239"/>
      <c r="AQW5" s="239"/>
      <c r="AQX5" s="239"/>
      <c r="AQY5" s="239"/>
      <c r="AQZ5" s="239"/>
      <c r="ARA5" s="239"/>
      <c r="ARB5" s="239"/>
      <c r="ARC5" s="239"/>
      <c r="ARD5" s="239"/>
      <c r="ARE5" s="239"/>
      <c r="ARF5" s="239"/>
      <c r="ARG5" s="239"/>
      <c r="ARH5" s="239"/>
      <c r="ARI5" s="239"/>
      <c r="ARJ5" s="239"/>
      <c r="ARK5" s="239"/>
      <c r="ARL5" s="239"/>
      <c r="ARM5" s="239"/>
      <c r="ARN5" s="239"/>
      <c r="ARO5" s="239"/>
      <c r="ARP5" s="239"/>
      <c r="ARQ5" s="239"/>
      <c r="ARR5" s="239"/>
      <c r="ARS5" s="239"/>
      <c r="ART5" s="239"/>
      <c r="ARU5" s="239"/>
      <c r="ARV5" s="239"/>
      <c r="ARW5" s="239"/>
      <c r="ARX5" s="239"/>
      <c r="ARY5" s="239"/>
      <c r="ARZ5" s="239"/>
      <c r="ASA5" s="239"/>
      <c r="ASB5" s="239"/>
      <c r="ASC5" s="239"/>
      <c r="ASD5" s="239"/>
      <c r="ASE5" s="239"/>
      <c r="ASF5" s="239"/>
      <c r="ASG5" s="239"/>
      <c r="ASH5" s="239"/>
      <c r="ASI5" s="239"/>
      <c r="ASJ5" s="239"/>
      <c r="ASK5" s="239"/>
      <c r="ASL5" s="239"/>
      <c r="ASM5" s="239"/>
      <c r="ASN5" s="239"/>
      <c r="ASO5" s="239"/>
      <c r="ASP5" s="239"/>
      <c r="ASQ5" s="239"/>
      <c r="ASR5" s="239"/>
      <c r="ASS5" s="239"/>
      <c r="AST5" s="239"/>
      <c r="ASU5" s="239"/>
      <c r="ASV5" s="239"/>
      <c r="ASW5" s="239"/>
      <c r="ASX5" s="239"/>
      <c r="ASY5" s="239"/>
      <c r="ASZ5" s="239"/>
      <c r="ATA5" s="239"/>
      <c r="ATB5" s="239"/>
      <c r="ATC5" s="239"/>
      <c r="ATD5" s="239"/>
      <c r="ATE5" s="239"/>
      <c r="ATF5" s="239"/>
      <c r="ATG5" s="239"/>
      <c r="ATH5" s="239"/>
      <c r="ATI5" s="239"/>
      <c r="ATJ5" s="239"/>
      <c r="ATK5" s="239"/>
      <c r="ATL5" s="239"/>
      <c r="ATM5" s="239"/>
      <c r="ATN5" s="239"/>
      <c r="ATO5" s="239"/>
      <c r="ATP5" s="239"/>
      <c r="ATQ5" s="239"/>
      <c r="ATR5" s="239"/>
      <c r="ATS5" s="239"/>
      <c r="ATT5" s="239"/>
      <c r="ATU5" s="239"/>
      <c r="ATV5" s="239"/>
      <c r="ATW5" s="239"/>
      <c r="ATX5" s="239"/>
      <c r="ATY5" s="239"/>
      <c r="ATZ5" s="239"/>
      <c r="AUA5" s="239"/>
      <c r="AUB5" s="239"/>
      <c r="AUC5" s="239"/>
      <c r="AUD5" s="239"/>
      <c r="AUE5" s="239"/>
      <c r="AUF5" s="239"/>
      <c r="AUG5" s="239"/>
      <c r="AUH5" s="239"/>
      <c r="AUI5" s="239"/>
      <c r="AUJ5" s="239"/>
      <c r="AUK5" s="239"/>
      <c r="AUL5" s="239"/>
      <c r="AUM5" s="239"/>
      <c r="AUN5" s="239"/>
      <c r="AUO5" s="239"/>
      <c r="AUP5" s="239"/>
      <c r="AUQ5" s="239"/>
      <c r="AUR5" s="239"/>
      <c r="AUS5" s="239"/>
      <c r="AUT5" s="239"/>
      <c r="AUU5" s="239"/>
      <c r="AUV5" s="239"/>
      <c r="AUW5" s="239"/>
      <c r="AUX5" s="239"/>
      <c r="AUY5" s="239"/>
      <c r="AUZ5" s="239"/>
      <c r="AVA5" s="239"/>
      <c r="AVB5" s="239"/>
      <c r="AVC5" s="239"/>
      <c r="AVD5" s="239"/>
      <c r="AVE5" s="239"/>
      <c r="AVF5" s="239"/>
      <c r="AVG5" s="239"/>
      <c r="AVH5" s="239"/>
      <c r="AVI5" s="239"/>
      <c r="AVJ5" s="239"/>
      <c r="AVK5" s="239"/>
      <c r="AVL5" s="239"/>
      <c r="AVM5" s="239"/>
      <c r="AVN5" s="239"/>
      <c r="AVO5" s="239"/>
      <c r="AVP5" s="239"/>
      <c r="AVQ5" s="239"/>
      <c r="AVR5" s="239"/>
      <c r="AVS5" s="239"/>
      <c r="AVT5" s="239"/>
      <c r="AVU5" s="239"/>
      <c r="AVV5" s="239"/>
      <c r="AVW5" s="239"/>
      <c r="AVX5" s="239"/>
      <c r="AVY5" s="239"/>
      <c r="AVZ5" s="239"/>
      <c r="AWA5" s="239"/>
      <c r="AWB5" s="239"/>
      <c r="AWC5" s="239"/>
      <c r="AWD5" s="239"/>
      <c r="AWE5" s="239"/>
      <c r="AWF5" s="239"/>
      <c r="AWG5" s="239"/>
      <c r="AWH5" s="239"/>
      <c r="AWI5" s="239"/>
      <c r="AWJ5" s="239"/>
      <c r="AWK5" s="239"/>
      <c r="AWL5" s="239"/>
      <c r="AWM5" s="239"/>
      <c r="AWN5" s="239"/>
      <c r="AWO5" s="239"/>
      <c r="AWP5" s="239"/>
      <c r="AWQ5" s="239"/>
      <c r="AWR5" s="239"/>
      <c r="AWS5" s="239"/>
      <c r="AWT5" s="239"/>
      <c r="AWU5" s="239"/>
      <c r="AWV5" s="239"/>
      <c r="AWW5" s="239"/>
      <c r="AWX5" s="239"/>
      <c r="AWY5" s="239"/>
      <c r="AWZ5" s="239"/>
      <c r="AXA5" s="239"/>
      <c r="AXB5" s="239"/>
      <c r="AXC5" s="239"/>
      <c r="AXD5" s="239"/>
      <c r="AXE5" s="239"/>
      <c r="AXF5" s="239"/>
      <c r="AXG5" s="239"/>
      <c r="AXH5" s="239"/>
      <c r="AXI5" s="239"/>
      <c r="AXJ5" s="239"/>
      <c r="AXK5" s="239"/>
      <c r="AXL5" s="239"/>
      <c r="AXM5" s="239"/>
      <c r="AXN5" s="239"/>
      <c r="AXO5" s="239"/>
      <c r="AXP5" s="239"/>
      <c r="AXQ5" s="239"/>
      <c r="AXR5" s="239"/>
      <c r="AXS5" s="239"/>
      <c r="AXT5" s="239"/>
      <c r="AXU5" s="239"/>
      <c r="AXV5" s="239"/>
      <c r="AXW5" s="239"/>
      <c r="AXX5" s="239"/>
      <c r="AXY5" s="239"/>
      <c r="AXZ5" s="239"/>
      <c r="AYA5" s="239"/>
      <c r="AYB5" s="239"/>
      <c r="AYC5" s="239"/>
      <c r="AYD5" s="239"/>
      <c r="AYE5" s="239"/>
      <c r="AYF5" s="239"/>
      <c r="AYG5" s="239"/>
      <c r="AYH5" s="239"/>
      <c r="AYI5" s="239"/>
      <c r="AYJ5" s="239"/>
      <c r="AYK5" s="239"/>
      <c r="AYL5" s="239"/>
      <c r="AYM5" s="239"/>
      <c r="AYN5" s="239"/>
      <c r="AYO5" s="239"/>
      <c r="AYP5" s="239"/>
      <c r="AYQ5" s="239"/>
      <c r="AYR5" s="239"/>
      <c r="AYS5" s="239"/>
      <c r="AYT5" s="239"/>
      <c r="AYU5" s="239"/>
      <c r="AYV5" s="239"/>
      <c r="AYW5" s="239"/>
      <c r="AYX5" s="239"/>
      <c r="AYY5" s="239"/>
      <c r="AYZ5" s="239"/>
      <c r="AZA5" s="239"/>
      <c r="AZB5" s="239"/>
      <c r="AZC5" s="239"/>
      <c r="AZD5" s="239"/>
      <c r="AZE5" s="239"/>
      <c r="AZF5" s="239"/>
      <c r="AZG5" s="239"/>
      <c r="AZH5" s="239"/>
      <c r="AZI5" s="239"/>
      <c r="AZJ5" s="239"/>
      <c r="AZK5" s="239"/>
      <c r="AZL5" s="239"/>
      <c r="AZM5" s="239"/>
      <c r="AZN5" s="239"/>
      <c r="AZO5" s="239"/>
      <c r="AZP5" s="239"/>
      <c r="AZQ5" s="239"/>
      <c r="AZR5" s="239"/>
      <c r="AZS5" s="239"/>
      <c r="AZT5" s="239"/>
      <c r="AZU5" s="239"/>
      <c r="AZV5" s="239"/>
      <c r="AZW5" s="239"/>
      <c r="AZX5" s="239"/>
      <c r="AZY5" s="239"/>
      <c r="AZZ5" s="239"/>
      <c r="BAA5" s="239"/>
      <c r="BAB5" s="239"/>
      <c r="BAC5" s="239"/>
      <c r="BAD5" s="239"/>
      <c r="BAE5" s="239"/>
      <c r="BAF5" s="239"/>
      <c r="BAG5" s="239"/>
      <c r="BAH5" s="239"/>
      <c r="BAI5" s="239"/>
      <c r="BAJ5" s="239"/>
      <c r="BAK5" s="239"/>
      <c r="BAL5" s="239"/>
      <c r="BAM5" s="239"/>
      <c r="BAN5" s="239"/>
      <c r="BAO5" s="239"/>
      <c r="BAP5" s="239"/>
      <c r="BAQ5" s="239"/>
      <c r="BAR5" s="239"/>
      <c r="BAS5" s="239"/>
      <c r="BAT5" s="239"/>
      <c r="BAU5" s="239"/>
      <c r="BAV5" s="239"/>
      <c r="BAW5" s="239"/>
      <c r="BAX5" s="239"/>
      <c r="BAY5" s="239"/>
      <c r="BAZ5" s="239"/>
      <c r="BBA5" s="239"/>
      <c r="BBB5" s="239"/>
      <c r="BBC5" s="239"/>
      <c r="BBD5" s="239"/>
      <c r="BBE5" s="239"/>
      <c r="BBF5" s="239"/>
      <c r="BBG5" s="239"/>
      <c r="BBH5" s="239"/>
      <c r="BBI5" s="239"/>
      <c r="BBJ5" s="239"/>
      <c r="BBK5" s="239"/>
      <c r="BBL5" s="239"/>
      <c r="BBM5" s="239"/>
      <c r="BBN5" s="239"/>
      <c r="BBO5" s="239"/>
      <c r="BBP5" s="239"/>
      <c r="BBQ5" s="239"/>
      <c r="BBR5" s="239"/>
      <c r="BBS5" s="239"/>
      <c r="BBT5" s="239"/>
      <c r="BBU5" s="239"/>
      <c r="BBV5" s="239"/>
      <c r="BBW5" s="239"/>
      <c r="BBX5" s="239"/>
      <c r="BBY5" s="239"/>
      <c r="BBZ5" s="239"/>
      <c r="BCA5" s="239"/>
      <c r="BCB5" s="239"/>
      <c r="BCC5" s="239"/>
      <c r="BCD5" s="239"/>
      <c r="BCE5" s="239"/>
      <c r="BCF5" s="239"/>
      <c r="BCG5" s="239"/>
      <c r="BCH5" s="239"/>
      <c r="BCI5" s="239"/>
      <c r="BCJ5" s="239"/>
      <c r="BCK5" s="239"/>
      <c r="BCL5" s="239"/>
      <c r="BCM5" s="239"/>
      <c r="BCN5" s="239"/>
      <c r="BCO5" s="239"/>
      <c r="BCP5" s="239"/>
      <c r="BCQ5" s="239"/>
      <c r="BCR5" s="239"/>
      <c r="BCS5" s="239"/>
      <c r="BCT5" s="239"/>
      <c r="BCU5" s="239"/>
      <c r="BCV5" s="239"/>
      <c r="BCW5" s="239"/>
      <c r="BCX5" s="239"/>
      <c r="BCY5" s="239"/>
      <c r="BCZ5" s="239"/>
      <c r="BDA5" s="239"/>
      <c r="BDB5" s="239"/>
      <c r="BDC5" s="239"/>
      <c r="BDD5" s="239"/>
      <c r="BDE5" s="239"/>
      <c r="BDF5" s="239"/>
      <c r="BDG5" s="239"/>
      <c r="BDH5" s="239"/>
      <c r="BDI5" s="239"/>
      <c r="BDJ5" s="239"/>
      <c r="BDK5" s="239"/>
      <c r="BDL5" s="239"/>
      <c r="BDM5" s="239"/>
      <c r="BDN5" s="239"/>
      <c r="BDO5" s="239"/>
      <c r="BDP5" s="239"/>
      <c r="BDQ5" s="239"/>
      <c r="BDR5" s="239"/>
      <c r="BDS5" s="239"/>
      <c r="BDT5" s="239"/>
      <c r="BDU5" s="239"/>
      <c r="BDV5" s="239"/>
      <c r="BDW5" s="239"/>
      <c r="BDX5" s="239"/>
      <c r="BDY5" s="239"/>
      <c r="BDZ5" s="239"/>
      <c r="BEA5" s="239"/>
      <c r="BEB5" s="239"/>
      <c r="BEC5" s="239"/>
      <c r="BED5" s="239"/>
      <c r="BEE5" s="239"/>
      <c r="BEF5" s="239"/>
      <c r="BEG5" s="239"/>
      <c r="BEH5" s="239"/>
      <c r="BEI5" s="239"/>
      <c r="BEJ5" s="239"/>
      <c r="BEK5" s="239"/>
      <c r="BEL5" s="239"/>
      <c r="BEM5" s="239"/>
      <c r="BEN5" s="239"/>
      <c r="BEO5" s="239"/>
      <c r="BEP5" s="239"/>
      <c r="BEQ5" s="239"/>
      <c r="BER5" s="239"/>
      <c r="BES5" s="239"/>
      <c r="BET5" s="239"/>
      <c r="BEU5" s="239"/>
      <c r="BEV5" s="239"/>
      <c r="BEW5" s="239"/>
      <c r="BEX5" s="239"/>
      <c r="BEY5" s="239"/>
      <c r="BEZ5" s="239"/>
      <c r="BFA5" s="239"/>
      <c r="BFB5" s="239"/>
      <c r="BFC5" s="239"/>
      <c r="BFD5" s="239"/>
      <c r="BFE5" s="239"/>
      <c r="BFF5" s="239"/>
      <c r="BFG5" s="239"/>
      <c r="BFH5" s="239"/>
      <c r="BFI5" s="239"/>
      <c r="BFJ5" s="239"/>
      <c r="BFK5" s="239"/>
      <c r="BFL5" s="239"/>
      <c r="BFM5" s="239"/>
      <c r="BFN5" s="239"/>
      <c r="BFO5" s="239"/>
      <c r="BFP5" s="239"/>
      <c r="BFQ5" s="239"/>
      <c r="BFR5" s="239"/>
      <c r="BFS5" s="239"/>
      <c r="BFT5" s="239"/>
      <c r="BFU5" s="239"/>
      <c r="BFV5" s="239"/>
      <c r="BFW5" s="239"/>
      <c r="BFX5" s="239"/>
      <c r="BFY5" s="239"/>
      <c r="BFZ5" s="239"/>
      <c r="BGA5" s="239"/>
      <c r="BGB5" s="239"/>
      <c r="BGC5" s="239"/>
      <c r="BGD5" s="239"/>
      <c r="BGE5" s="239"/>
      <c r="BGF5" s="239"/>
      <c r="BGG5" s="239"/>
      <c r="BGH5" s="239"/>
      <c r="BGI5" s="239"/>
      <c r="BGJ5" s="239"/>
      <c r="BGK5" s="239"/>
      <c r="BGL5" s="239"/>
      <c r="BGM5" s="239"/>
      <c r="BGN5" s="239"/>
      <c r="BGO5" s="239"/>
      <c r="BGP5" s="239"/>
      <c r="BGQ5" s="239"/>
      <c r="BGR5" s="239"/>
      <c r="BGS5" s="239"/>
      <c r="BGT5" s="239"/>
      <c r="BGU5" s="239"/>
      <c r="BGV5" s="239"/>
      <c r="BGW5" s="239"/>
      <c r="BGX5" s="239"/>
      <c r="BGY5" s="239"/>
      <c r="BGZ5" s="239"/>
      <c r="BHA5" s="239"/>
      <c r="BHB5" s="239"/>
      <c r="BHC5" s="239"/>
      <c r="BHD5" s="239"/>
      <c r="BHE5" s="239"/>
      <c r="BHF5" s="239"/>
      <c r="BHG5" s="239"/>
      <c r="BHH5" s="239"/>
      <c r="BHI5" s="239"/>
      <c r="BHJ5" s="239"/>
      <c r="BHK5" s="239"/>
      <c r="BHL5" s="239"/>
      <c r="BHM5" s="239"/>
      <c r="BHN5" s="239"/>
      <c r="BHO5" s="239"/>
      <c r="BHP5" s="239"/>
      <c r="BHQ5" s="239"/>
      <c r="BHR5" s="239"/>
      <c r="BHS5" s="239"/>
      <c r="BHT5" s="239"/>
      <c r="BHU5" s="239"/>
      <c r="BHV5" s="239"/>
      <c r="BHW5" s="239"/>
      <c r="BHX5" s="239"/>
      <c r="BHY5" s="239"/>
      <c r="BHZ5" s="239"/>
      <c r="BIA5" s="239"/>
      <c r="BIB5" s="239"/>
      <c r="BIC5" s="239"/>
      <c r="BID5" s="239"/>
      <c r="BIE5" s="239"/>
      <c r="BIF5" s="239"/>
      <c r="BIG5" s="239"/>
      <c r="BIH5" s="239"/>
      <c r="BII5" s="239"/>
      <c r="BIJ5" s="239"/>
      <c r="BIK5" s="239"/>
      <c r="BIL5" s="239"/>
      <c r="BIM5" s="239"/>
      <c r="BIN5" s="239"/>
      <c r="BIO5" s="239"/>
      <c r="BIP5" s="239"/>
      <c r="BIQ5" s="239"/>
      <c r="BIR5" s="239"/>
      <c r="BIS5" s="239"/>
      <c r="BIT5" s="239"/>
      <c r="BIU5" s="239"/>
      <c r="BIV5" s="239"/>
      <c r="BIW5" s="239"/>
      <c r="BIX5" s="239"/>
      <c r="BIY5" s="239"/>
      <c r="BIZ5" s="239"/>
      <c r="BJA5" s="239"/>
      <c r="BJB5" s="239"/>
      <c r="BJC5" s="239"/>
      <c r="BJD5" s="239"/>
      <c r="BJE5" s="239"/>
      <c r="BJF5" s="239"/>
      <c r="BJG5" s="239"/>
      <c r="BJH5" s="239"/>
      <c r="BJI5" s="239"/>
      <c r="BJJ5" s="239"/>
      <c r="BJK5" s="239"/>
      <c r="BJL5" s="239"/>
      <c r="BJM5" s="239"/>
      <c r="BJN5" s="239"/>
      <c r="BJO5" s="239"/>
      <c r="BJP5" s="239"/>
      <c r="BJQ5" s="239"/>
      <c r="BJR5" s="239"/>
      <c r="BJS5" s="239"/>
      <c r="BJT5" s="239"/>
      <c r="BJU5" s="239"/>
      <c r="BJV5" s="239"/>
      <c r="BJW5" s="239"/>
      <c r="BJX5" s="239"/>
      <c r="BJY5" s="239"/>
      <c r="BJZ5" s="239"/>
      <c r="BKA5" s="239"/>
      <c r="BKB5" s="239"/>
      <c r="BKC5" s="239"/>
      <c r="BKD5" s="239"/>
      <c r="BKE5" s="239"/>
      <c r="BKF5" s="239"/>
      <c r="BKG5" s="239"/>
      <c r="BKH5" s="239"/>
      <c r="BKI5" s="239"/>
      <c r="BKJ5" s="239"/>
      <c r="BKK5" s="239"/>
      <c r="BKL5" s="239"/>
      <c r="BKM5" s="239"/>
      <c r="BKN5" s="239"/>
      <c r="BKO5" s="239"/>
      <c r="BKP5" s="239"/>
      <c r="BKQ5" s="239"/>
      <c r="BKR5" s="239"/>
      <c r="BKS5" s="239"/>
      <c r="BKT5" s="239"/>
      <c r="BKU5" s="239"/>
      <c r="BKV5" s="239"/>
      <c r="BKW5" s="239"/>
      <c r="BKX5" s="239"/>
      <c r="BKY5" s="239"/>
      <c r="BKZ5" s="239"/>
      <c r="BLA5" s="239"/>
      <c r="BLB5" s="239"/>
      <c r="BLC5" s="239"/>
      <c r="BLD5" s="239"/>
      <c r="BLE5" s="239"/>
      <c r="BLF5" s="239"/>
      <c r="BLG5" s="239"/>
      <c r="BLH5" s="239"/>
      <c r="BLI5" s="239"/>
      <c r="BLJ5" s="239"/>
      <c r="BLK5" s="239"/>
      <c r="BLL5" s="239"/>
      <c r="BLM5" s="239"/>
      <c r="BLN5" s="239"/>
      <c r="BLO5" s="239"/>
      <c r="BLP5" s="239"/>
      <c r="BLQ5" s="239"/>
      <c r="BLR5" s="239"/>
      <c r="BLS5" s="239"/>
      <c r="BLT5" s="239"/>
      <c r="BLU5" s="239"/>
      <c r="BLV5" s="239"/>
      <c r="BLW5" s="239"/>
      <c r="BLX5" s="239"/>
      <c r="BLY5" s="239"/>
      <c r="BLZ5" s="239"/>
      <c r="BMA5" s="239"/>
      <c r="BMB5" s="239"/>
      <c r="BMC5" s="239"/>
      <c r="BMD5" s="239"/>
      <c r="BME5" s="239"/>
      <c r="BMF5" s="239"/>
      <c r="BMG5" s="239"/>
      <c r="BMH5" s="239"/>
      <c r="BMI5" s="239"/>
      <c r="BMJ5" s="239"/>
      <c r="BMK5" s="239"/>
      <c r="BML5" s="239"/>
      <c r="BMM5" s="239"/>
      <c r="BMN5" s="239"/>
      <c r="BMO5" s="239"/>
      <c r="BMP5" s="239"/>
      <c r="BMQ5" s="239"/>
      <c r="BMR5" s="239"/>
      <c r="BMS5" s="239"/>
      <c r="BMT5" s="239"/>
      <c r="BMU5" s="239"/>
      <c r="BMV5" s="239"/>
      <c r="BMW5" s="239"/>
      <c r="BMX5" s="239"/>
      <c r="BMY5" s="239"/>
      <c r="BMZ5" s="239"/>
      <c r="BNA5" s="239"/>
      <c r="BNB5" s="239"/>
      <c r="BNC5" s="239"/>
      <c r="BND5" s="239"/>
      <c r="BNE5" s="239"/>
      <c r="BNF5" s="239"/>
      <c r="BNG5" s="239"/>
      <c r="BNH5" s="239"/>
      <c r="BNI5" s="239"/>
      <c r="BNJ5" s="239"/>
      <c r="BNK5" s="239"/>
      <c r="BNL5" s="239"/>
      <c r="BNM5" s="239"/>
      <c r="BNN5" s="239"/>
      <c r="BNO5" s="239"/>
      <c r="BNP5" s="239"/>
      <c r="BNQ5" s="239"/>
      <c r="BNR5" s="239"/>
      <c r="BNS5" s="239"/>
      <c r="BNT5" s="239"/>
      <c r="BNU5" s="239"/>
      <c r="BNV5" s="239"/>
      <c r="BNW5" s="239"/>
      <c r="BNX5" s="239"/>
      <c r="BNY5" s="239"/>
      <c r="BNZ5" s="239"/>
      <c r="BOA5" s="239"/>
      <c r="BOB5" s="239"/>
      <c r="BOC5" s="239"/>
      <c r="BOD5" s="239"/>
      <c r="BOE5" s="239"/>
      <c r="BOF5" s="239"/>
      <c r="BOG5" s="239"/>
      <c r="BOH5" s="239"/>
      <c r="BOI5" s="239"/>
      <c r="BOJ5" s="239"/>
      <c r="BOK5" s="239"/>
      <c r="BOL5" s="239"/>
      <c r="BOM5" s="239"/>
      <c r="BON5" s="239"/>
      <c r="BOO5" s="239"/>
      <c r="BOP5" s="239"/>
      <c r="BOQ5" s="239"/>
      <c r="BOR5" s="239"/>
      <c r="BOS5" s="239"/>
      <c r="BOT5" s="239"/>
      <c r="BOU5" s="239"/>
      <c r="BOV5" s="239"/>
      <c r="BOW5" s="239"/>
      <c r="BOX5" s="239"/>
      <c r="BOY5" s="239"/>
      <c r="BOZ5" s="239"/>
      <c r="BPA5" s="239"/>
      <c r="BPB5" s="239"/>
      <c r="BPC5" s="239"/>
      <c r="BPD5" s="239"/>
      <c r="BPE5" s="239"/>
      <c r="BPF5" s="239"/>
      <c r="BPG5" s="239"/>
      <c r="BPH5" s="239"/>
      <c r="BPI5" s="239"/>
      <c r="BPJ5" s="239"/>
      <c r="BPK5" s="239"/>
      <c r="BPL5" s="239"/>
      <c r="BPM5" s="239"/>
      <c r="BPN5" s="239"/>
      <c r="BPO5" s="239"/>
      <c r="BPP5" s="239"/>
      <c r="BPQ5" s="239"/>
      <c r="BPR5" s="239"/>
      <c r="BPS5" s="239"/>
      <c r="BPT5" s="239"/>
      <c r="BPU5" s="239"/>
      <c r="BPV5" s="239"/>
      <c r="BPW5" s="239"/>
      <c r="BPX5" s="239"/>
      <c r="BPY5" s="239"/>
      <c r="BPZ5" s="239"/>
      <c r="BQA5" s="239"/>
      <c r="BQB5" s="239"/>
      <c r="BQC5" s="239"/>
      <c r="BQD5" s="239"/>
      <c r="BQE5" s="239"/>
      <c r="BQF5" s="239"/>
      <c r="BQG5" s="239"/>
      <c r="BQH5" s="239"/>
      <c r="BQI5" s="239"/>
      <c r="BQJ5" s="239"/>
      <c r="BQK5" s="239"/>
      <c r="BQL5" s="239"/>
      <c r="BQM5" s="239"/>
      <c r="BQN5" s="239"/>
      <c r="BQO5" s="239"/>
      <c r="BQP5" s="239"/>
      <c r="BQQ5" s="239"/>
      <c r="BQR5" s="239"/>
      <c r="BQS5" s="239"/>
      <c r="BQT5" s="239"/>
      <c r="BQU5" s="239"/>
      <c r="BQV5" s="239"/>
      <c r="BQW5" s="239"/>
      <c r="BQX5" s="239"/>
      <c r="BQY5" s="239"/>
      <c r="BQZ5" s="239"/>
      <c r="BRA5" s="239"/>
      <c r="BRB5" s="239"/>
      <c r="BRC5" s="239"/>
      <c r="BRD5" s="239"/>
      <c r="BRE5" s="239"/>
      <c r="BRF5" s="239"/>
      <c r="BRG5" s="239"/>
      <c r="BRH5" s="239"/>
      <c r="BRI5" s="239"/>
      <c r="BRJ5" s="239"/>
      <c r="BRK5" s="239"/>
      <c r="BRL5" s="239"/>
      <c r="BRM5" s="239"/>
      <c r="BRN5" s="239"/>
      <c r="BRO5" s="239"/>
      <c r="BRP5" s="239"/>
      <c r="BRQ5" s="239"/>
      <c r="BRR5" s="239"/>
      <c r="BRS5" s="239"/>
      <c r="BRT5" s="239"/>
      <c r="BRU5" s="239"/>
      <c r="BRV5" s="239"/>
      <c r="BRW5" s="239"/>
      <c r="BRX5" s="239"/>
      <c r="BRY5" s="239"/>
      <c r="BRZ5" s="239"/>
      <c r="BSA5" s="239"/>
      <c r="BSB5" s="239"/>
      <c r="BSC5" s="239"/>
      <c r="BSD5" s="239"/>
      <c r="BSE5" s="239"/>
      <c r="BSF5" s="239"/>
      <c r="BSG5" s="239"/>
      <c r="BSH5" s="239"/>
      <c r="BSI5" s="239"/>
      <c r="BSJ5" s="239"/>
      <c r="BSK5" s="239"/>
      <c r="BSL5" s="239"/>
      <c r="BSM5" s="239"/>
      <c r="BSN5" s="239"/>
      <c r="BSO5" s="239"/>
      <c r="BSP5" s="239"/>
      <c r="BSQ5" s="239"/>
      <c r="BSR5" s="239"/>
      <c r="BSS5" s="239"/>
      <c r="BST5" s="239"/>
      <c r="BSU5" s="239"/>
      <c r="BSV5" s="239"/>
      <c r="BSW5" s="239"/>
      <c r="BSX5" s="239"/>
      <c r="BSY5" s="239"/>
      <c r="BSZ5" s="239"/>
      <c r="BTA5" s="239"/>
      <c r="BTB5" s="239"/>
      <c r="BTC5" s="239"/>
      <c r="BTD5" s="239"/>
      <c r="BTE5" s="239"/>
      <c r="BTF5" s="239"/>
      <c r="BTG5" s="239"/>
      <c r="BTH5" s="239"/>
      <c r="BTI5" s="239"/>
      <c r="BTJ5" s="239"/>
      <c r="BTK5" s="239"/>
      <c r="BTL5" s="239"/>
      <c r="BTM5" s="239"/>
      <c r="BTN5" s="239"/>
      <c r="BTO5" s="239"/>
      <c r="BTP5" s="239"/>
      <c r="BTQ5" s="239"/>
      <c r="BTR5" s="239"/>
      <c r="BTS5" s="239"/>
      <c r="BTT5" s="239"/>
      <c r="BTU5" s="239"/>
      <c r="BTV5" s="239"/>
      <c r="BTW5" s="239"/>
      <c r="BTX5" s="239"/>
      <c r="BTY5" s="239"/>
      <c r="BTZ5" s="239"/>
      <c r="BUA5" s="239"/>
      <c r="BUB5" s="239"/>
      <c r="BUC5" s="239"/>
      <c r="BUD5" s="239"/>
      <c r="BUE5" s="239"/>
      <c r="BUF5" s="239"/>
      <c r="BUG5" s="239"/>
      <c r="BUH5" s="239"/>
      <c r="BUI5" s="239"/>
      <c r="BUJ5" s="239"/>
      <c r="BUK5" s="239"/>
      <c r="BUL5" s="239"/>
      <c r="BUM5" s="239"/>
      <c r="BUN5" s="239"/>
      <c r="BUO5" s="239"/>
      <c r="BUP5" s="239"/>
      <c r="BUQ5" s="239"/>
      <c r="BUR5" s="239"/>
      <c r="BUS5" s="239"/>
      <c r="BUT5" s="239"/>
      <c r="BUU5" s="239"/>
      <c r="BUV5" s="239"/>
      <c r="BUW5" s="239"/>
      <c r="BUX5" s="239"/>
      <c r="BUY5" s="239"/>
      <c r="BUZ5" s="239"/>
      <c r="BVA5" s="239"/>
      <c r="BVB5" s="239"/>
      <c r="BVC5" s="239"/>
      <c r="BVD5" s="239"/>
      <c r="BVE5" s="239"/>
      <c r="BVF5" s="239"/>
      <c r="BVG5" s="239"/>
      <c r="BVH5" s="239"/>
      <c r="BVI5" s="239"/>
      <c r="BVJ5" s="239"/>
      <c r="BVK5" s="239"/>
      <c r="BVL5" s="239"/>
      <c r="BVM5" s="239"/>
      <c r="BVN5" s="239"/>
      <c r="BVO5" s="239"/>
      <c r="BVP5" s="239"/>
      <c r="BVQ5" s="239"/>
      <c r="BVR5" s="239"/>
      <c r="BVS5" s="239"/>
      <c r="BVT5" s="239"/>
      <c r="BVU5" s="239"/>
      <c r="BVV5" s="239"/>
      <c r="BVW5" s="239"/>
      <c r="BVX5" s="239"/>
      <c r="BVY5" s="239"/>
      <c r="BVZ5" s="239"/>
      <c r="BWA5" s="239"/>
      <c r="BWB5" s="239"/>
      <c r="BWC5" s="239"/>
      <c r="BWD5" s="239"/>
      <c r="BWE5" s="239"/>
      <c r="BWF5" s="239"/>
      <c r="BWG5" s="239"/>
      <c r="BWH5" s="239"/>
      <c r="BWI5" s="239"/>
      <c r="BWJ5" s="239"/>
      <c r="BWK5" s="239"/>
      <c r="BWL5" s="239"/>
      <c r="BWM5" s="239"/>
      <c r="BWN5" s="239"/>
      <c r="BWO5" s="239"/>
      <c r="BWP5" s="239"/>
      <c r="BWQ5" s="239"/>
      <c r="BWR5" s="239"/>
      <c r="BWS5" s="239"/>
      <c r="BWT5" s="239"/>
      <c r="BWU5" s="239"/>
      <c r="BWV5" s="239"/>
      <c r="BWW5" s="239"/>
      <c r="BWX5" s="239"/>
      <c r="BWY5" s="239"/>
      <c r="BWZ5" s="239"/>
      <c r="BXA5" s="239"/>
      <c r="BXB5" s="239"/>
      <c r="BXC5" s="239"/>
      <c r="BXD5" s="239"/>
      <c r="BXE5" s="239"/>
      <c r="BXF5" s="239"/>
      <c r="BXG5" s="239"/>
      <c r="BXH5" s="239"/>
      <c r="BXI5" s="239"/>
      <c r="BXJ5" s="239"/>
      <c r="BXK5" s="239"/>
      <c r="BXL5" s="239"/>
      <c r="BXM5" s="239"/>
      <c r="BXN5" s="239"/>
      <c r="BXO5" s="239"/>
      <c r="BXP5" s="239"/>
      <c r="BXQ5" s="239"/>
      <c r="BXR5" s="239"/>
      <c r="BXS5" s="239"/>
      <c r="BXT5" s="239"/>
      <c r="BXU5" s="239"/>
      <c r="BXV5" s="239"/>
      <c r="BXW5" s="239"/>
      <c r="BXX5" s="239"/>
      <c r="BXY5" s="239"/>
      <c r="BXZ5" s="239"/>
      <c r="BYA5" s="239"/>
      <c r="BYB5" s="239"/>
      <c r="BYC5" s="239"/>
      <c r="BYD5" s="239"/>
      <c r="BYE5" s="239"/>
      <c r="BYF5" s="239"/>
      <c r="BYG5" s="239"/>
      <c r="BYH5" s="239"/>
      <c r="BYI5" s="239"/>
      <c r="BYJ5" s="239"/>
      <c r="BYK5" s="239"/>
      <c r="BYL5" s="239"/>
      <c r="BYM5" s="239"/>
      <c r="BYN5" s="239"/>
      <c r="BYO5" s="239"/>
      <c r="BYP5" s="239"/>
      <c r="BYQ5" s="239"/>
      <c r="BYR5" s="239"/>
      <c r="BYS5" s="239"/>
      <c r="BYT5" s="239"/>
      <c r="BYU5" s="239"/>
      <c r="BYV5" s="239"/>
      <c r="BYW5" s="239"/>
      <c r="BYX5" s="239"/>
      <c r="BYY5" s="239"/>
      <c r="BYZ5" s="239"/>
      <c r="BZA5" s="239"/>
      <c r="BZB5" s="239"/>
      <c r="BZC5" s="239"/>
      <c r="BZD5" s="239"/>
      <c r="BZE5" s="239"/>
      <c r="BZF5" s="239"/>
      <c r="BZG5" s="239"/>
      <c r="BZH5" s="239"/>
      <c r="BZI5" s="239"/>
      <c r="BZJ5" s="239"/>
      <c r="BZK5" s="239"/>
      <c r="BZL5" s="239"/>
      <c r="BZM5" s="239"/>
      <c r="BZN5" s="239"/>
      <c r="BZO5" s="239"/>
      <c r="BZP5" s="239"/>
      <c r="BZQ5" s="239"/>
      <c r="BZR5" s="239"/>
      <c r="BZS5" s="239"/>
      <c r="BZT5" s="239"/>
      <c r="BZU5" s="239"/>
      <c r="BZV5" s="239"/>
      <c r="BZW5" s="239"/>
      <c r="BZX5" s="239"/>
      <c r="BZY5" s="239"/>
      <c r="BZZ5" s="239"/>
      <c r="CAA5" s="239"/>
      <c r="CAB5" s="239"/>
      <c r="CAC5" s="239"/>
      <c r="CAD5" s="239"/>
      <c r="CAE5" s="239"/>
      <c r="CAF5" s="239"/>
      <c r="CAG5" s="239"/>
      <c r="CAH5" s="239"/>
      <c r="CAI5" s="239"/>
      <c r="CAJ5" s="239"/>
      <c r="CAK5" s="239"/>
      <c r="CAL5" s="239"/>
      <c r="CAM5" s="239"/>
      <c r="CAN5" s="239"/>
      <c r="CAO5" s="239"/>
      <c r="CAP5" s="239"/>
      <c r="CAQ5" s="239"/>
      <c r="CAR5" s="239"/>
      <c r="CAS5" s="239"/>
      <c r="CAT5" s="239"/>
      <c r="CAU5" s="239"/>
      <c r="CAV5" s="239"/>
      <c r="CAW5" s="239"/>
      <c r="CAX5" s="239"/>
      <c r="CAY5" s="239"/>
      <c r="CAZ5" s="239"/>
      <c r="CBA5" s="239"/>
      <c r="CBB5" s="239"/>
      <c r="CBC5" s="239"/>
      <c r="CBD5" s="239"/>
      <c r="CBE5" s="239"/>
      <c r="CBF5" s="239"/>
      <c r="CBG5" s="239"/>
      <c r="CBH5" s="239"/>
      <c r="CBI5" s="239"/>
      <c r="CBJ5" s="239"/>
      <c r="CBK5" s="239"/>
      <c r="CBL5" s="239"/>
      <c r="CBM5" s="239"/>
      <c r="CBN5" s="239"/>
      <c r="CBO5" s="239"/>
      <c r="CBP5" s="239"/>
      <c r="CBQ5" s="239"/>
      <c r="CBR5" s="239"/>
      <c r="CBS5" s="239"/>
      <c r="CBT5" s="239"/>
      <c r="CBU5" s="239"/>
      <c r="CBV5" s="239"/>
      <c r="CBW5" s="239"/>
      <c r="CBX5" s="239"/>
      <c r="CBY5" s="239"/>
      <c r="CBZ5" s="239"/>
      <c r="CCA5" s="239"/>
      <c r="CCB5" s="239"/>
      <c r="CCC5" s="239"/>
      <c r="CCD5" s="239"/>
      <c r="CCE5" s="239"/>
      <c r="CCF5" s="239"/>
      <c r="CCG5" s="239"/>
      <c r="CCH5" s="239"/>
      <c r="CCI5" s="239"/>
      <c r="CCJ5" s="239"/>
      <c r="CCK5" s="239"/>
      <c r="CCL5" s="239"/>
      <c r="CCM5" s="239"/>
      <c r="CCN5" s="239"/>
      <c r="CCO5" s="239"/>
      <c r="CCP5" s="239"/>
      <c r="CCQ5" s="239"/>
      <c r="CCR5" s="239"/>
      <c r="CCS5" s="239"/>
      <c r="CCT5" s="239"/>
      <c r="CCU5" s="239"/>
      <c r="CCV5" s="239"/>
      <c r="CCW5" s="239"/>
      <c r="CCX5" s="239"/>
      <c r="CCY5" s="239"/>
      <c r="CCZ5" s="239"/>
      <c r="CDA5" s="239"/>
      <c r="CDB5" s="239"/>
      <c r="CDC5" s="239"/>
      <c r="CDD5" s="239"/>
      <c r="CDE5" s="239"/>
      <c r="CDF5" s="239"/>
      <c r="CDG5" s="239"/>
      <c r="CDH5" s="239"/>
      <c r="CDI5" s="239"/>
      <c r="CDJ5" s="239"/>
      <c r="CDK5" s="239"/>
      <c r="CDL5" s="239"/>
      <c r="CDM5" s="239"/>
      <c r="CDN5" s="239"/>
      <c r="CDO5" s="239"/>
      <c r="CDP5" s="239"/>
      <c r="CDQ5" s="239"/>
      <c r="CDR5" s="239"/>
      <c r="CDS5" s="239"/>
      <c r="CDT5" s="239"/>
      <c r="CDU5" s="239"/>
      <c r="CDV5" s="239"/>
      <c r="CDW5" s="239"/>
      <c r="CDX5" s="239"/>
      <c r="CDY5" s="239"/>
      <c r="CDZ5" s="239"/>
      <c r="CEA5" s="239"/>
      <c r="CEB5" s="239"/>
      <c r="CEC5" s="239"/>
      <c r="CED5" s="239"/>
      <c r="CEE5" s="239"/>
      <c r="CEF5" s="239"/>
      <c r="CEG5" s="239"/>
      <c r="CEH5" s="239"/>
      <c r="CEI5" s="239"/>
      <c r="CEJ5" s="239"/>
      <c r="CEK5" s="239"/>
      <c r="CEL5" s="239"/>
      <c r="CEM5" s="239"/>
      <c r="CEN5" s="239"/>
      <c r="CEO5" s="239"/>
      <c r="CEP5" s="239"/>
      <c r="CEQ5" s="239"/>
      <c r="CER5" s="239"/>
      <c r="CES5" s="239"/>
      <c r="CET5" s="239"/>
      <c r="CEU5" s="239"/>
      <c r="CEV5" s="239"/>
      <c r="CEW5" s="239"/>
      <c r="CEX5" s="239"/>
      <c r="CEY5" s="239"/>
      <c r="CEZ5" s="239"/>
      <c r="CFA5" s="239"/>
      <c r="CFB5" s="239"/>
      <c r="CFC5" s="239"/>
      <c r="CFD5" s="239"/>
      <c r="CFE5" s="239"/>
      <c r="CFF5" s="239"/>
      <c r="CFG5" s="239"/>
      <c r="CFH5" s="239"/>
      <c r="CFI5" s="239"/>
      <c r="CFJ5" s="239"/>
      <c r="CFK5" s="239"/>
      <c r="CFL5" s="239"/>
      <c r="CFM5" s="239"/>
      <c r="CFN5" s="239"/>
      <c r="CFO5" s="239"/>
      <c r="CFP5" s="239"/>
      <c r="CFQ5" s="239"/>
      <c r="CFR5" s="239"/>
      <c r="CFS5" s="239"/>
      <c r="CFT5" s="239"/>
      <c r="CFU5" s="239"/>
      <c r="CFV5" s="239"/>
      <c r="CFW5" s="239"/>
      <c r="CFX5" s="239"/>
      <c r="CFY5" s="239"/>
      <c r="CFZ5" s="239"/>
      <c r="CGA5" s="239"/>
      <c r="CGB5" s="239"/>
      <c r="CGC5" s="239"/>
      <c r="CGD5" s="239"/>
      <c r="CGE5" s="239"/>
      <c r="CGF5" s="239"/>
      <c r="CGG5" s="239"/>
      <c r="CGH5" s="239"/>
      <c r="CGI5" s="239"/>
      <c r="CGJ5" s="239"/>
      <c r="CGK5" s="239"/>
      <c r="CGL5" s="239"/>
      <c r="CGM5" s="239"/>
      <c r="CGN5" s="239"/>
      <c r="CGO5" s="239"/>
      <c r="CGP5" s="239"/>
      <c r="CGQ5" s="239"/>
      <c r="CGR5" s="239"/>
      <c r="CGS5" s="239"/>
      <c r="CGT5" s="239"/>
      <c r="CGU5" s="239"/>
      <c r="CGV5" s="239"/>
      <c r="CGW5" s="239"/>
      <c r="CGX5" s="239"/>
      <c r="CGY5" s="239"/>
      <c r="CGZ5" s="239"/>
      <c r="CHA5" s="239"/>
      <c r="CHB5" s="239"/>
      <c r="CHC5" s="239"/>
      <c r="CHD5" s="239"/>
      <c r="CHE5" s="239"/>
      <c r="CHF5" s="239"/>
      <c r="CHG5" s="239"/>
      <c r="CHH5" s="239"/>
      <c r="CHI5" s="239"/>
      <c r="CHJ5" s="239"/>
      <c r="CHK5" s="239"/>
      <c r="CHL5" s="239"/>
      <c r="CHM5" s="239"/>
      <c r="CHN5" s="239"/>
      <c r="CHO5" s="239"/>
      <c r="CHP5" s="239"/>
      <c r="CHQ5" s="239"/>
      <c r="CHR5" s="239"/>
      <c r="CHS5" s="239"/>
      <c r="CHT5" s="239"/>
      <c r="CHU5" s="239"/>
      <c r="CHV5" s="239"/>
      <c r="CHW5" s="239"/>
      <c r="CHX5" s="239"/>
      <c r="CHY5" s="239"/>
      <c r="CHZ5" s="239"/>
      <c r="CIA5" s="239"/>
      <c r="CIB5" s="239"/>
      <c r="CIC5" s="239"/>
      <c r="CID5" s="239"/>
      <c r="CIE5" s="239"/>
      <c r="CIF5" s="239"/>
      <c r="CIG5" s="239"/>
      <c r="CIH5" s="239"/>
      <c r="CII5" s="239"/>
      <c r="CIJ5" s="239"/>
      <c r="CIK5" s="239"/>
      <c r="CIL5" s="239"/>
      <c r="CIM5" s="239"/>
      <c r="CIN5" s="239"/>
      <c r="CIO5" s="239"/>
      <c r="CIP5" s="239"/>
      <c r="CIQ5" s="239"/>
      <c r="CIR5" s="239"/>
      <c r="CIS5" s="239"/>
      <c r="CIT5" s="239"/>
      <c r="CIU5" s="239"/>
      <c r="CIV5" s="239"/>
      <c r="CIW5" s="239"/>
      <c r="CIX5" s="239"/>
      <c r="CIY5" s="239"/>
      <c r="CIZ5" s="239"/>
      <c r="CJA5" s="239"/>
      <c r="CJB5" s="239"/>
      <c r="CJC5" s="239"/>
      <c r="CJD5" s="239"/>
      <c r="CJE5" s="239"/>
      <c r="CJF5" s="239"/>
      <c r="CJG5" s="239"/>
      <c r="CJH5" s="239"/>
      <c r="CJI5" s="239"/>
      <c r="CJJ5" s="239"/>
      <c r="CJK5" s="239"/>
      <c r="CJL5" s="239"/>
      <c r="CJM5" s="239"/>
      <c r="CJN5" s="239"/>
      <c r="CJO5" s="239"/>
      <c r="CJP5" s="239"/>
      <c r="CJQ5" s="239"/>
      <c r="CJR5" s="239"/>
      <c r="CJS5" s="239"/>
      <c r="CJT5" s="239"/>
      <c r="CJU5" s="239"/>
      <c r="CJV5" s="239"/>
      <c r="CJW5" s="239"/>
      <c r="CJX5" s="239"/>
      <c r="CJY5" s="239"/>
      <c r="CJZ5" s="239"/>
      <c r="CKA5" s="239"/>
      <c r="CKB5" s="239"/>
      <c r="CKC5" s="239"/>
      <c r="CKD5" s="239"/>
      <c r="CKE5" s="239"/>
      <c r="CKF5" s="239"/>
      <c r="CKG5" s="239"/>
      <c r="CKH5" s="239"/>
      <c r="CKI5" s="239"/>
      <c r="CKJ5" s="239"/>
      <c r="CKK5" s="239"/>
      <c r="CKL5" s="239"/>
      <c r="CKM5" s="239"/>
      <c r="CKN5" s="239"/>
      <c r="CKO5" s="239"/>
      <c r="CKP5" s="239"/>
      <c r="CKQ5" s="239"/>
      <c r="CKR5" s="239"/>
      <c r="CKS5" s="239"/>
      <c r="CKT5" s="239"/>
      <c r="CKU5" s="239"/>
      <c r="CKV5" s="239"/>
      <c r="CKW5" s="239"/>
      <c r="CKX5" s="239"/>
      <c r="CKY5" s="239"/>
      <c r="CKZ5" s="239"/>
      <c r="CLA5" s="239"/>
      <c r="CLB5" s="239"/>
      <c r="CLC5" s="239"/>
      <c r="CLD5" s="239"/>
      <c r="CLE5" s="239"/>
      <c r="CLF5" s="239"/>
    </row>
    <row r="6" spans="1:8915" s="47" customFormat="1" hidden="1">
      <c r="A6" s="52"/>
      <c r="B6" s="101">
        <v>45749</v>
      </c>
      <c r="C6" s="101" t="s">
        <v>194</v>
      </c>
      <c r="D6" s="119">
        <v>3672.8832000000157</v>
      </c>
      <c r="E6" s="119">
        <v>4693.5552000001207</v>
      </c>
      <c r="F6" s="119">
        <v>677.37999999988824</v>
      </c>
      <c r="G6" s="119">
        <v>689.89000000001397</v>
      </c>
      <c r="H6" s="119">
        <v>897.75000000002547</v>
      </c>
      <c r="I6" s="119">
        <v>569.68000000000029</v>
      </c>
      <c r="J6" s="119">
        <v>1318.2624000000562</v>
      </c>
      <c r="K6" s="119">
        <v>1721.0648000000735</v>
      </c>
      <c r="L6" s="119">
        <v>7257.7300000004616</v>
      </c>
      <c r="M6" s="119">
        <v>794.62000000011176</v>
      </c>
      <c r="N6" s="119">
        <v>188.29</v>
      </c>
      <c r="O6" s="119">
        <v>2158.295999998963</v>
      </c>
      <c r="P6" s="141">
        <f t="shared" ref="P6:P34" si="0">SUM(D6:O6)</f>
        <v>24639.401599999728</v>
      </c>
      <c r="Q6" s="119">
        <v>14681.299999999874</v>
      </c>
      <c r="R6" s="119">
        <v>22549.999600000261</v>
      </c>
      <c r="S6" s="119">
        <v>1154.5435999999636</v>
      </c>
      <c r="T6" s="119">
        <v>1581.1936000000123</v>
      </c>
      <c r="U6" s="119">
        <v>2178.427599999894</v>
      </c>
      <c r="V6" s="141">
        <f t="shared" ref="V6:V34" si="1">SUM(P6:S6)+T6+U6</f>
        <v>66784.865999999733</v>
      </c>
      <c r="W6" s="53"/>
      <c r="X6" s="262">
        <f>Summary!K6</f>
        <v>66784.865999999718</v>
      </c>
      <c r="Y6" s="239"/>
      <c r="Z6" s="281">
        <f t="shared" ref="Z6:Z32" si="2">X6-V6</f>
        <v>0</v>
      </c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39"/>
      <c r="AU6" s="239"/>
      <c r="AV6" s="239"/>
      <c r="AW6" s="239"/>
      <c r="AX6" s="239"/>
      <c r="AY6" s="239"/>
      <c r="AZ6" s="239"/>
      <c r="BA6" s="239"/>
      <c r="BB6" s="239"/>
      <c r="BC6" s="239"/>
      <c r="BD6" s="239"/>
      <c r="BE6" s="239"/>
      <c r="BF6" s="239"/>
      <c r="BG6" s="239"/>
      <c r="BH6" s="239"/>
      <c r="BI6" s="239"/>
      <c r="BJ6" s="239"/>
      <c r="BK6" s="239"/>
      <c r="BL6" s="239"/>
      <c r="BM6" s="239"/>
      <c r="BN6" s="239"/>
      <c r="BO6" s="239"/>
      <c r="BP6" s="239"/>
      <c r="BQ6" s="239"/>
      <c r="BR6" s="239"/>
      <c r="BS6" s="239"/>
      <c r="BT6" s="239"/>
      <c r="BU6" s="239"/>
      <c r="BV6" s="239"/>
      <c r="BW6" s="239"/>
      <c r="BX6" s="239"/>
      <c r="BY6" s="239"/>
      <c r="BZ6" s="239"/>
      <c r="CA6" s="239"/>
      <c r="CB6" s="239"/>
      <c r="CC6" s="239"/>
      <c r="CD6" s="239"/>
      <c r="CE6" s="239"/>
      <c r="CF6" s="239"/>
      <c r="CG6" s="239"/>
      <c r="CH6" s="239"/>
      <c r="CI6" s="239"/>
      <c r="CJ6" s="239"/>
      <c r="CK6" s="239"/>
      <c r="CL6" s="239"/>
      <c r="CM6" s="239"/>
      <c r="CN6" s="239"/>
      <c r="CO6" s="239"/>
      <c r="CP6" s="239"/>
      <c r="CQ6" s="239"/>
      <c r="CR6" s="239"/>
      <c r="CS6" s="239"/>
      <c r="CT6" s="239"/>
      <c r="CU6" s="239"/>
      <c r="CV6" s="239"/>
      <c r="CW6" s="239"/>
      <c r="CX6" s="239"/>
      <c r="CY6" s="239"/>
      <c r="CZ6" s="239"/>
      <c r="DA6" s="239"/>
      <c r="DB6" s="239"/>
      <c r="DC6" s="239"/>
      <c r="DD6" s="239"/>
      <c r="DE6" s="239"/>
      <c r="DF6" s="239"/>
      <c r="DG6" s="239"/>
      <c r="DH6" s="239"/>
      <c r="DI6" s="239"/>
      <c r="DJ6" s="239"/>
      <c r="DK6" s="239"/>
      <c r="DL6" s="239"/>
      <c r="DM6" s="239"/>
      <c r="DN6" s="239"/>
      <c r="DO6" s="239"/>
      <c r="DP6" s="239"/>
      <c r="DQ6" s="239"/>
      <c r="DR6" s="239"/>
      <c r="DS6" s="239"/>
      <c r="DT6" s="239"/>
      <c r="DU6" s="239"/>
      <c r="DV6" s="239"/>
      <c r="DW6" s="239"/>
      <c r="DX6" s="239"/>
      <c r="DY6" s="239"/>
      <c r="DZ6" s="239"/>
      <c r="EA6" s="239"/>
      <c r="EB6" s="239"/>
      <c r="EC6" s="239"/>
      <c r="ED6" s="239"/>
      <c r="EE6" s="239"/>
      <c r="EF6" s="239"/>
      <c r="EG6" s="239"/>
      <c r="EH6" s="239"/>
      <c r="EI6" s="239"/>
      <c r="EJ6" s="239"/>
      <c r="EK6" s="239"/>
      <c r="EL6" s="239"/>
      <c r="EM6" s="239"/>
      <c r="EN6" s="239"/>
      <c r="EO6" s="239"/>
      <c r="EP6" s="239"/>
      <c r="EQ6" s="239"/>
      <c r="ER6" s="239"/>
      <c r="ES6" s="239"/>
      <c r="ET6" s="239"/>
      <c r="EU6" s="239"/>
      <c r="EV6" s="239"/>
      <c r="EW6" s="239"/>
      <c r="EX6" s="239"/>
      <c r="EY6" s="239"/>
      <c r="EZ6" s="239"/>
      <c r="FA6" s="239"/>
      <c r="FB6" s="239"/>
      <c r="FC6" s="239"/>
      <c r="FD6" s="239"/>
      <c r="FE6" s="239"/>
      <c r="FF6" s="239"/>
      <c r="FG6" s="239"/>
      <c r="FH6" s="239"/>
      <c r="FI6" s="239"/>
      <c r="FJ6" s="239"/>
      <c r="FK6" s="239"/>
      <c r="FL6" s="239"/>
      <c r="FM6" s="239"/>
      <c r="FN6" s="239"/>
      <c r="FO6" s="239"/>
      <c r="FP6" s="239"/>
      <c r="FQ6" s="239"/>
      <c r="FR6" s="239"/>
      <c r="FS6" s="239"/>
      <c r="FT6" s="239"/>
      <c r="FU6" s="239"/>
      <c r="FV6" s="239"/>
      <c r="FW6" s="239"/>
      <c r="FX6" s="239"/>
      <c r="FY6" s="239"/>
      <c r="FZ6" s="239"/>
      <c r="GA6" s="239"/>
      <c r="GB6" s="239"/>
      <c r="GC6" s="239"/>
      <c r="GD6" s="239"/>
      <c r="GE6" s="239"/>
      <c r="GF6" s="239"/>
      <c r="GG6" s="239"/>
      <c r="GH6" s="239"/>
      <c r="GI6" s="239"/>
      <c r="GJ6" s="239"/>
      <c r="GK6" s="239"/>
      <c r="GL6" s="239"/>
      <c r="GM6" s="239"/>
      <c r="GN6" s="239"/>
      <c r="GO6" s="239"/>
      <c r="GP6" s="239"/>
      <c r="GQ6" s="239"/>
      <c r="GR6" s="239"/>
      <c r="GS6" s="239"/>
      <c r="GT6" s="239"/>
      <c r="GU6" s="239"/>
      <c r="GV6" s="239"/>
      <c r="GW6" s="239"/>
      <c r="GX6" s="239"/>
      <c r="GY6" s="239"/>
      <c r="GZ6" s="239"/>
      <c r="HA6" s="239"/>
      <c r="HB6" s="239"/>
      <c r="HC6" s="239"/>
      <c r="HD6" s="239"/>
      <c r="HE6" s="239"/>
      <c r="HF6" s="239"/>
      <c r="HG6" s="239"/>
      <c r="HH6" s="239"/>
      <c r="HI6" s="239"/>
      <c r="HJ6" s="239"/>
      <c r="HK6" s="239"/>
      <c r="HL6" s="239"/>
      <c r="HM6" s="239"/>
      <c r="HN6" s="239"/>
      <c r="HO6" s="239"/>
      <c r="HP6" s="239"/>
      <c r="HQ6" s="239"/>
      <c r="HR6" s="239"/>
      <c r="HS6" s="239"/>
      <c r="HT6" s="239"/>
      <c r="HU6" s="239"/>
      <c r="HV6" s="239"/>
      <c r="HW6" s="239"/>
      <c r="HX6" s="239"/>
      <c r="HY6" s="239"/>
      <c r="HZ6" s="239"/>
      <c r="IA6" s="239"/>
      <c r="IB6" s="239"/>
      <c r="IC6" s="239"/>
      <c r="ID6" s="239"/>
      <c r="IE6" s="239"/>
      <c r="IF6" s="239"/>
      <c r="IG6" s="239"/>
      <c r="IH6" s="239"/>
      <c r="II6" s="239"/>
      <c r="IJ6" s="239"/>
      <c r="IK6" s="239"/>
      <c r="IL6" s="239"/>
      <c r="IM6" s="239"/>
      <c r="IN6" s="239"/>
      <c r="IO6" s="239"/>
      <c r="IP6" s="239"/>
      <c r="IQ6" s="239"/>
      <c r="IR6" s="239"/>
      <c r="IS6" s="239"/>
      <c r="IT6" s="239"/>
      <c r="IU6" s="239"/>
      <c r="IV6" s="239"/>
      <c r="IW6" s="239"/>
      <c r="IX6" s="239"/>
      <c r="IY6" s="239"/>
      <c r="IZ6" s="239"/>
      <c r="JA6" s="239"/>
      <c r="JB6" s="239"/>
      <c r="JC6" s="239"/>
      <c r="JD6" s="239"/>
      <c r="JE6" s="239"/>
      <c r="JF6" s="239"/>
      <c r="JG6" s="239"/>
      <c r="JH6" s="239"/>
      <c r="JI6" s="239"/>
      <c r="JJ6" s="239"/>
      <c r="JK6" s="239"/>
      <c r="JL6" s="239"/>
      <c r="JM6" s="239"/>
      <c r="JN6" s="239"/>
      <c r="JO6" s="239"/>
      <c r="JP6" s="239"/>
      <c r="JQ6" s="239"/>
      <c r="JR6" s="239"/>
      <c r="JS6" s="239"/>
      <c r="JT6" s="239"/>
      <c r="JU6" s="239"/>
      <c r="JV6" s="239"/>
      <c r="JW6" s="239"/>
      <c r="JX6" s="239"/>
      <c r="JY6" s="239"/>
      <c r="JZ6" s="239"/>
      <c r="KA6" s="239"/>
      <c r="KB6" s="239"/>
      <c r="KC6" s="239"/>
      <c r="KD6" s="239"/>
      <c r="KE6" s="239"/>
      <c r="KF6" s="239"/>
      <c r="KG6" s="239"/>
      <c r="KH6" s="239"/>
      <c r="KI6" s="239"/>
      <c r="KJ6" s="239"/>
      <c r="KK6" s="239"/>
      <c r="KL6" s="239"/>
      <c r="KM6" s="239"/>
      <c r="KN6" s="239"/>
      <c r="KO6" s="239"/>
      <c r="KP6" s="239"/>
      <c r="KQ6" s="239"/>
      <c r="KR6" s="239"/>
      <c r="KS6" s="239"/>
      <c r="KT6" s="239"/>
      <c r="KU6" s="239"/>
      <c r="KV6" s="239"/>
      <c r="KW6" s="239"/>
      <c r="KX6" s="239"/>
      <c r="KY6" s="239"/>
      <c r="KZ6" s="239"/>
      <c r="LA6" s="239"/>
      <c r="LB6" s="239"/>
      <c r="LC6" s="239"/>
      <c r="LD6" s="239"/>
      <c r="LE6" s="239"/>
      <c r="LF6" s="239"/>
      <c r="LG6" s="239"/>
      <c r="LH6" s="239"/>
      <c r="LI6" s="239"/>
      <c r="LJ6" s="239"/>
      <c r="LK6" s="239"/>
      <c r="LL6" s="239"/>
      <c r="LM6" s="239"/>
      <c r="LN6" s="239"/>
      <c r="LO6" s="239"/>
      <c r="LP6" s="239"/>
      <c r="LQ6" s="239"/>
      <c r="LR6" s="239"/>
      <c r="LS6" s="239"/>
      <c r="LT6" s="239"/>
      <c r="LU6" s="239"/>
      <c r="LV6" s="239"/>
      <c r="LW6" s="239"/>
      <c r="LX6" s="239"/>
      <c r="LY6" s="239"/>
      <c r="LZ6" s="239"/>
      <c r="MA6" s="239"/>
      <c r="MB6" s="239"/>
      <c r="MC6" s="239"/>
      <c r="MD6" s="239"/>
      <c r="ME6" s="239"/>
      <c r="MF6" s="239"/>
      <c r="MG6" s="239"/>
      <c r="MH6" s="239"/>
      <c r="MI6" s="239"/>
      <c r="MJ6" s="239"/>
      <c r="MK6" s="239"/>
      <c r="ML6" s="239"/>
      <c r="MM6" s="239"/>
      <c r="MN6" s="239"/>
      <c r="MO6" s="239"/>
      <c r="MP6" s="239"/>
      <c r="MQ6" s="239"/>
      <c r="MR6" s="239"/>
      <c r="MS6" s="239"/>
      <c r="MT6" s="239"/>
      <c r="MU6" s="239"/>
      <c r="MV6" s="239"/>
      <c r="MW6" s="239"/>
      <c r="MX6" s="239"/>
      <c r="MY6" s="239"/>
      <c r="MZ6" s="239"/>
      <c r="NA6" s="239"/>
      <c r="NB6" s="239"/>
      <c r="NC6" s="239"/>
      <c r="ND6" s="239"/>
      <c r="NE6" s="239"/>
      <c r="NF6" s="239"/>
      <c r="NG6" s="239"/>
      <c r="NH6" s="239"/>
      <c r="NI6" s="239"/>
      <c r="NJ6" s="239"/>
      <c r="NK6" s="239"/>
      <c r="NL6" s="239"/>
      <c r="NM6" s="239"/>
      <c r="NN6" s="239"/>
      <c r="NO6" s="239"/>
      <c r="NP6" s="239"/>
      <c r="NQ6" s="239"/>
      <c r="NR6" s="239"/>
      <c r="NS6" s="239"/>
      <c r="NT6" s="239"/>
      <c r="NU6" s="239"/>
      <c r="NV6" s="239"/>
      <c r="NW6" s="239"/>
      <c r="NX6" s="239"/>
      <c r="NY6" s="239"/>
      <c r="NZ6" s="239"/>
      <c r="OA6" s="239"/>
      <c r="OB6" s="239"/>
      <c r="OC6" s="239"/>
      <c r="OD6" s="239"/>
      <c r="OE6" s="239"/>
      <c r="OF6" s="239"/>
      <c r="OG6" s="239"/>
      <c r="OH6" s="239"/>
      <c r="OI6" s="239"/>
      <c r="OJ6" s="239"/>
      <c r="OK6" s="239"/>
      <c r="OL6" s="239"/>
      <c r="OM6" s="239"/>
      <c r="ON6" s="239"/>
      <c r="OO6" s="239"/>
      <c r="OP6" s="239"/>
      <c r="OQ6" s="239"/>
      <c r="OR6" s="239"/>
      <c r="OS6" s="239"/>
      <c r="OT6" s="239"/>
      <c r="OU6" s="239"/>
      <c r="OV6" s="239"/>
      <c r="OW6" s="239"/>
      <c r="OX6" s="239"/>
      <c r="OY6" s="239"/>
      <c r="OZ6" s="239"/>
      <c r="PA6" s="239"/>
      <c r="PB6" s="239"/>
      <c r="PC6" s="239"/>
      <c r="PD6" s="239"/>
      <c r="PE6" s="239"/>
      <c r="PF6" s="239"/>
      <c r="PG6" s="239"/>
      <c r="PH6" s="239"/>
      <c r="PI6" s="239"/>
      <c r="PJ6" s="239"/>
      <c r="PK6" s="239"/>
      <c r="PL6" s="239"/>
      <c r="PM6" s="239"/>
      <c r="PN6" s="239"/>
      <c r="PO6" s="239"/>
      <c r="PP6" s="239"/>
      <c r="PQ6" s="239"/>
      <c r="PR6" s="239"/>
      <c r="PS6" s="239"/>
      <c r="PT6" s="239"/>
      <c r="PU6" s="239"/>
      <c r="PV6" s="239"/>
      <c r="PW6" s="239"/>
      <c r="PX6" s="239"/>
      <c r="PY6" s="239"/>
      <c r="PZ6" s="239"/>
      <c r="QA6" s="239"/>
      <c r="QB6" s="239"/>
      <c r="QC6" s="239"/>
      <c r="QD6" s="239"/>
      <c r="QE6" s="239"/>
      <c r="QF6" s="239"/>
      <c r="QG6" s="239"/>
      <c r="QH6" s="239"/>
      <c r="QI6" s="239"/>
      <c r="QJ6" s="239"/>
      <c r="QK6" s="239"/>
      <c r="QL6" s="239"/>
      <c r="QM6" s="239"/>
      <c r="QN6" s="239"/>
      <c r="QO6" s="239"/>
      <c r="QP6" s="239"/>
      <c r="QQ6" s="239"/>
      <c r="QR6" s="239"/>
      <c r="QS6" s="239"/>
      <c r="QT6" s="239"/>
      <c r="QU6" s="239"/>
      <c r="QV6" s="239"/>
      <c r="QW6" s="239"/>
      <c r="QX6" s="239"/>
      <c r="QY6" s="239"/>
      <c r="QZ6" s="239"/>
      <c r="RA6" s="239"/>
      <c r="RB6" s="239"/>
      <c r="RC6" s="239"/>
      <c r="RD6" s="239"/>
      <c r="RE6" s="239"/>
      <c r="RF6" s="239"/>
      <c r="RG6" s="239"/>
      <c r="RH6" s="239"/>
      <c r="RI6" s="239"/>
      <c r="RJ6" s="239"/>
      <c r="RK6" s="239"/>
      <c r="RL6" s="239"/>
      <c r="RM6" s="239"/>
      <c r="RN6" s="239"/>
      <c r="RO6" s="239"/>
      <c r="RP6" s="239"/>
      <c r="RQ6" s="239"/>
      <c r="RR6" s="239"/>
      <c r="RS6" s="239"/>
      <c r="RT6" s="239"/>
      <c r="RU6" s="239"/>
      <c r="RV6" s="239"/>
      <c r="RW6" s="239"/>
      <c r="RX6" s="239"/>
      <c r="RY6" s="239"/>
      <c r="RZ6" s="239"/>
      <c r="SA6" s="239"/>
      <c r="SB6" s="239"/>
      <c r="SC6" s="239"/>
      <c r="SD6" s="239"/>
      <c r="SE6" s="239"/>
      <c r="SF6" s="239"/>
      <c r="SG6" s="239"/>
      <c r="SH6" s="239"/>
      <c r="SI6" s="239"/>
      <c r="SJ6" s="239"/>
      <c r="SK6" s="239"/>
      <c r="SL6" s="239"/>
      <c r="SM6" s="239"/>
      <c r="SN6" s="239"/>
      <c r="SO6" s="239"/>
      <c r="SP6" s="239"/>
      <c r="SQ6" s="239"/>
      <c r="SR6" s="239"/>
      <c r="SS6" s="239"/>
      <c r="ST6" s="239"/>
      <c r="SU6" s="239"/>
      <c r="SV6" s="239"/>
      <c r="SW6" s="239"/>
      <c r="SX6" s="239"/>
      <c r="SY6" s="239"/>
      <c r="SZ6" s="239"/>
      <c r="TA6" s="239"/>
      <c r="TB6" s="239"/>
      <c r="TC6" s="239"/>
      <c r="TD6" s="239"/>
      <c r="TE6" s="239"/>
      <c r="TF6" s="239"/>
      <c r="TG6" s="239"/>
      <c r="TH6" s="239"/>
      <c r="TI6" s="239"/>
      <c r="TJ6" s="239"/>
      <c r="TK6" s="239"/>
      <c r="TL6" s="239"/>
      <c r="TM6" s="239"/>
      <c r="TN6" s="239"/>
      <c r="TO6" s="239"/>
      <c r="TP6" s="239"/>
      <c r="TQ6" s="239"/>
      <c r="TR6" s="239"/>
      <c r="TS6" s="239"/>
      <c r="TT6" s="239"/>
      <c r="TU6" s="239"/>
      <c r="TV6" s="239"/>
      <c r="TW6" s="239"/>
      <c r="TX6" s="239"/>
      <c r="TY6" s="239"/>
      <c r="TZ6" s="239"/>
      <c r="UA6" s="239"/>
      <c r="UB6" s="239"/>
      <c r="UC6" s="239"/>
      <c r="UD6" s="239"/>
      <c r="UE6" s="239"/>
      <c r="UF6" s="239"/>
      <c r="UG6" s="239"/>
      <c r="UH6" s="239"/>
      <c r="UI6" s="239"/>
      <c r="UJ6" s="239"/>
      <c r="UK6" s="239"/>
      <c r="UL6" s="239"/>
      <c r="UM6" s="239"/>
      <c r="UN6" s="239"/>
      <c r="UO6" s="239"/>
      <c r="UP6" s="239"/>
      <c r="UQ6" s="239"/>
      <c r="UR6" s="239"/>
      <c r="US6" s="239"/>
      <c r="UT6" s="239"/>
      <c r="UU6" s="239"/>
      <c r="UV6" s="239"/>
      <c r="UW6" s="239"/>
      <c r="UX6" s="239"/>
      <c r="UY6" s="239"/>
      <c r="UZ6" s="239"/>
      <c r="VA6" s="239"/>
      <c r="VB6" s="239"/>
      <c r="VC6" s="239"/>
      <c r="VD6" s="239"/>
      <c r="VE6" s="239"/>
      <c r="VF6" s="239"/>
      <c r="VG6" s="239"/>
      <c r="VH6" s="239"/>
      <c r="VI6" s="239"/>
      <c r="VJ6" s="239"/>
      <c r="VK6" s="239"/>
      <c r="VL6" s="239"/>
      <c r="VM6" s="239"/>
      <c r="VN6" s="239"/>
      <c r="VO6" s="239"/>
      <c r="VP6" s="239"/>
      <c r="VQ6" s="239"/>
      <c r="VR6" s="239"/>
      <c r="VS6" s="239"/>
      <c r="VT6" s="239"/>
      <c r="VU6" s="239"/>
      <c r="VV6" s="239"/>
      <c r="VW6" s="239"/>
      <c r="VX6" s="239"/>
      <c r="VY6" s="239"/>
      <c r="VZ6" s="239"/>
      <c r="WA6" s="239"/>
      <c r="WB6" s="239"/>
      <c r="WC6" s="239"/>
      <c r="WD6" s="239"/>
      <c r="WE6" s="239"/>
      <c r="WF6" s="239"/>
      <c r="WG6" s="239"/>
      <c r="WH6" s="239"/>
      <c r="WI6" s="239"/>
      <c r="WJ6" s="239"/>
      <c r="WK6" s="239"/>
      <c r="WL6" s="239"/>
      <c r="WM6" s="239"/>
      <c r="WN6" s="239"/>
      <c r="WO6" s="239"/>
      <c r="WP6" s="239"/>
      <c r="WQ6" s="239"/>
      <c r="WR6" s="239"/>
      <c r="WS6" s="239"/>
      <c r="WT6" s="239"/>
      <c r="WU6" s="239"/>
      <c r="WV6" s="239"/>
      <c r="WW6" s="239"/>
      <c r="WX6" s="239"/>
      <c r="WY6" s="239"/>
      <c r="WZ6" s="239"/>
      <c r="XA6" s="239"/>
      <c r="XB6" s="239"/>
      <c r="XC6" s="239"/>
      <c r="XD6" s="239"/>
      <c r="XE6" s="239"/>
      <c r="XF6" s="239"/>
      <c r="XG6" s="239"/>
      <c r="XH6" s="239"/>
      <c r="XI6" s="239"/>
      <c r="XJ6" s="239"/>
      <c r="XK6" s="239"/>
      <c r="XL6" s="239"/>
      <c r="XM6" s="239"/>
      <c r="XN6" s="239"/>
      <c r="XO6" s="239"/>
      <c r="XP6" s="239"/>
      <c r="XQ6" s="239"/>
      <c r="XR6" s="239"/>
      <c r="XS6" s="239"/>
      <c r="XT6" s="239"/>
      <c r="XU6" s="239"/>
      <c r="XV6" s="239"/>
      <c r="XW6" s="239"/>
      <c r="XX6" s="239"/>
      <c r="XY6" s="239"/>
      <c r="XZ6" s="239"/>
      <c r="YA6" s="239"/>
      <c r="YB6" s="239"/>
      <c r="YC6" s="239"/>
      <c r="YD6" s="239"/>
      <c r="YE6" s="239"/>
      <c r="YF6" s="239"/>
      <c r="YG6" s="239"/>
      <c r="YH6" s="239"/>
      <c r="YI6" s="239"/>
      <c r="YJ6" s="239"/>
      <c r="YK6" s="239"/>
      <c r="YL6" s="239"/>
      <c r="YM6" s="239"/>
      <c r="YN6" s="239"/>
      <c r="YO6" s="239"/>
      <c r="YP6" s="239"/>
      <c r="YQ6" s="239"/>
      <c r="YR6" s="239"/>
      <c r="YS6" s="239"/>
      <c r="YT6" s="239"/>
      <c r="YU6" s="239"/>
      <c r="YV6" s="239"/>
      <c r="YW6" s="239"/>
      <c r="YX6" s="239"/>
      <c r="YY6" s="239"/>
      <c r="YZ6" s="239"/>
      <c r="ZA6" s="239"/>
      <c r="ZB6" s="239"/>
      <c r="ZC6" s="239"/>
      <c r="ZD6" s="239"/>
      <c r="ZE6" s="239"/>
      <c r="ZF6" s="239"/>
      <c r="ZG6" s="239"/>
      <c r="ZH6" s="239"/>
      <c r="ZI6" s="239"/>
      <c r="ZJ6" s="239"/>
      <c r="ZK6" s="239"/>
      <c r="ZL6" s="239"/>
      <c r="ZM6" s="239"/>
      <c r="ZN6" s="239"/>
      <c r="ZO6" s="239"/>
      <c r="ZP6" s="239"/>
      <c r="ZQ6" s="239"/>
      <c r="ZR6" s="239"/>
      <c r="ZS6" s="239"/>
      <c r="ZT6" s="239"/>
      <c r="ZU6" s="239"/>
      <c r="ZV6" s="239"/>
      <c r="ZW6" s="239"/>
      <c r="ZX6" s="239"/>
      <c r="ZY6" s="239"/>
      <c r="ZZ6" s="239"/>
      <c r="AAA6" s="239"/>
      <c r="AAB6" s="239"/>
      <c r="AAC6" s="239"/>
      <c r="AAD6" s="239"/>
      <c r="AAE6" s="239"/>
      <c r="AAF6" s="239"/>
      <c r="AAG6" s="239"/>
      <c r="AAH6" s="239"/>
      <c r="AAI6" s="239"/>
      <c r="AAJ6" s="239"/>
      <c r="AAK6" s="239"/>
      <c r="AAL6" s="239"/>
      <c r="AAM6" s="239"/>
      <c r="AAN6" s="239"/>
      <c r="AAO6" s="239"/>
      <c r="AAP6" s="239"/>
      <c r="AAQ6" s="239"/>
      <c r="AAR6" s="239"/>
      <c r="AAS6" s="239"/>
      <c r="AAT6" s="239"/>
      <c r="AAU6" s="239"/>
      <c r="AAV6" s="239"/>
      <c r="AAW6" s="239"/>
      <c r="AAX6" s="239"/>
      <c r="AAY6" s="239"/>
      <c r="AAZ6" s="239"/>
      <c r="ABA6" s="239"/>
      <c r="ABB6" s="239"/>
      <c r="ABC6" s="239"/>
      <c r="ABD6" s="239"/>
      <c r="ABE6" s="239"/>
      <c r="ABF6" s="239"/>
      <c r="ABG6" s="239"/>
      <c r="ABH6" s="239"/>
      <c r="ABI6" s="239"/>
      <c r="ABJ6" s="239"/>
      <c r="ABK6" s="239"/>
      <c r="ABL6" s="239"/>
      <c r="ABM6" s="239"/>
      <c r="ABN6" s="239"/>
      <c r="ABO6" s="239"/>
      <c r="ABP6" s="239"/>
      <c r="ABQ6" s="239"/>
      <c r="ABR6" s="239"/>
      <c r="ABS6" s="239"/>
      <c r="ABT6" s="239"/>
      <c r="ABU6" s="239"/>
      <c r="ABV6" s="239"/>
      <c r="ABW6" s="239"/>
      <c r="ABX6" s="239"/>
      <c r="ABY6" s="239"/>
      <c r="ABZ6" s="239"/>
      <c r="ACA6" s="239"/>
      <c r="ACB6" s="239"/>
      <c r="ACC6" s="239"/>
      <c r="ACD6" s="239"/>
      <c r="ACE6" s="239"/>
      <c r="ACF6" s="239"/>
      <c r="ACG6" s="239"/>
      <c r="ACH6" s="239"/>
      <c r="ACI6" s="239"/>
      <c r="ACJ6" s="239"/>
      <c r="ACK6" s="239"/>
      <c r="ACL6" s="239"/>
      <c r="ACM6" s="239"/>
      <c r="ACN6" s="239"/>
      <c r="ACO6" s="239"/>
      <c r="ACP6" s="239"/>
      <c r="ACQ6" s="239"/>
      <c r="ACR6" s="239"/>
      <c r="ACS6" s="239"/>
      <c r="ACT6" s="239"/>
      <c r="ACU6" s="239"/>
      <c r="ACV6" s="239"/>
      <c r="ACW6" s="239"/>
      <c r="ACX6" s="239"/>
      <c r="ACY6" s="239"/>
      <c r="ACZ6" s="239"/>
      <c r="ADA6" s="239"/>
      <c r="ADB6" s="239"/>
      <c r="ADC6" s="239"/>
      <c r="ADD6" s="239"/>
      <c r="ADE6" s="239"/>
      <c r="ADF6" s="239"/>
      <c r="ADG6" s="239"/>
      <c r="ADH6" s="239"/>
      <c r="ADI6" s="239"/>
      <c r="ADJ6" s="239"/>
      <c r="ADK6" s="239"/>
      <c r="ADL6" s="239"/>
      <c r="ADM6" s="239"/>
      <c r="ADN6" s="239"/>
      <c r="ADO6" s="239"/>
      <c r="ADP6" s="239"/>
      <c r="ADQ6" s="239"/>
      <c r="ADR6" s="239"/>
      <c r="ADS6" s="239"/>
      <c r="ADT6" s="239"/>
      <c r="ADU6" s="239"/>
      <c r="ADV6" s="239"/>
      <c r="ADW6" s="239"/>
      <c r="ADX6" s="239"/>
      <c r="ADY6" s="239"/>
      <c r="ADZ6" s="239"/>
      <c r="AEA6" s="239"/>
      <c r="AEB6" s="239"/>
      <c r="AEC6" s="239"/>
      <c r="AED6" s="239"/>
      <c r="AEE6" s="239"/>
      <c r="AEF6" s="239"/>
      <c r="AEG6" s="239"/>
      <c r="AEH6" s="239"/>
      <c r="AEI6" s="239"/>
      <c r="AEJ6" s="239"/>
      <c r="AEK6" s="239"/>
      <c r="AEL6" s="239"/>
      <c r="AEM6" s="239"/>
      <c r="AEN6" s="239"/>
      <c r="AEO6" s="239"/>
      <c r="AEP6" s="239"/>
      <c r="AEQ6" s="239"/>
      <c r="AER6" s="239"/>
      <c r="AES6" s="239"/>
      <c r="AET6" s="239"/>
      <c r="AEU6" s="239"/>
      <c r="AEV6" s="239"/>
      <c r="AEW6" s="239"/>
      <c r="AEX6" s="239"/>
      <c r="AEY6" s="239"/>
      <c r="AEZ6" s="239"/>
      <c r="AFA6" s="239"/>
      <c r="AFB6" s="239"/>
      <c r="AFC6" s="239"/>
      <c r="AFD6" s="239"/>
      <c r="AFE6" s="239"/>
      <c r="AFF6" s="239"/>
      <c r="AFG6" s="239"/>
      <c r="AFH6" s="239"/>
      <c r="AFI6" s="239"/>
      <c r="AFJ6" s="239"/>
      <c r="AFK6" s="239"/>
      <c r="AFL6" s="239"/>
      <c r="AFM6" s="239"/>
      <c r="AFN6" s="239"/>
      <c r="AFO6" s="239"/>
      <c r="AFP6" s="239"/>
      <c r="AFQ6" s="239"/>
      <c r="AFR6" s="239"/>
      <c r="AFS6" s="239"/>
      <c r="AFT6" s="239"/>
      <c r="AFU6" s="239"/>
      <c r="AFV6" s="239"/>
      <c r="AFW6" s="239"/>
      <c r="AFX6" s="239"/>
      <c r="AFY6" s="239"/>
      <c r="AFZ6" s="239"/>
      <c r="AGA6" s="239"/>
      <c r="AGB6" s="239"/>
      <c r="AGC6" s="239"/>
      <c r="AGD6" s="239"/>
      <c r="AGE6" s="239"/>
      <c r="AGF6" s="239"/>
      <c r="AGG6" s="239"/>
      <c r="AGH6" s="239"/>
      <c r="AGI6" s="239"/>
      <c r="AGJ6" s="239"/>
      <c r="AGK6" s="239"/>
      <c r="AGL6" s="239"/>
      <c r="AGM6" s="239"/>
      <c r="AGN6" s="239"/>
      <c r="AGO6" s="239"/>
      <c r="AGP6" s="239"/>
      <c r="AGQ6" s="239"/>
      <c r="AGR6" s="239"/>
      <c r="AGS6" s="239"/>
      <c r="AGT6" s="239"/>
      <c r="AGU6" s="239"/>
      <c r="AGV6" s="239"/>
      <c r="AGW6" s="239"/>
      <c r="AGX6" s="239"/>
      <c r="AGY6" s="239"/>
      <c r="AGZ6" s="239"/>
      <c r="AHA6" s="239"/>
      <c r="AHB6" s="239"/>
      <c r="AHC6" s="239"/>
      <c r="AHD6" s="239"/>
      <c r="AHE6" s="239"/>
      <c r="AHF6" s="239"/>
      <c r="AHG6" s="239"/>
      <c r="AHH6" s="239"/>
      <c r="AHI6" s="239"/>
      <c r="AHJ6" s="239"/>
      <c r="AHK6" s="239"/>
      <c r="AHL6" s="239"/>
      <c r="AHM6" s="239"/>
      <c r="AHN6" s="239"/>
      <c r="AHO6" s="239"/>
      <c r="AHP6" s="239"/>
      <c r="AHQ6" s="239"/>
      <c r="AHR6" s="239"/>
      <c r="AHS6" s="239"/>
      <c r="AHT6" s="239"/>
      <c r="AHU6" s="239"/>
      <c r="AHV6" s="239"/>
      <c r="AHW6" s="239"/>
      <c r="AHX6" s="239"/>
      <c r="AHY6" s="239"/>
      <c r="AHZ6" s="239"/>
      <c r="AIA6" s="239"/>
      <c r="AIB6" s="239"/>
      <c r="AIC6" s="239"/>
      <c r="AID6" s="239"/>
      <c r="AIE6" s="239"/>
      <c r="AIF6" s="239"/>
      <c r="AIG6" s="239"/>
      <c r="AIH6" s="239"/>
      <c r="AII6" s="239"/>
      <c r="AIJ6" s="239"/>
      <c r="AIK6" s="239"/>
      <c r="AIL6" s="239"/>
      <c r="AIM6" s="239"/>
      <c r="AIN6" s="239"/>
      <c r="AIO6" s="239"/>
      <c r="AIP6" s="239"/>
      <c r="AIQ6" s="239"/>
      <c r="AIR6" s="239"/>
      <c r="AIS6" s="239"/>
      <c r="AIT6" s="239"/>
      <c r="AIU6" s="239"/>
      <c r="AIV6" s="239"/>
      <c r="AIW6" s="239"/>
      <c r="AIX6" s="239"/>
      <c r="AIY6" s="239"/>
      <c r="AIZ6" s="239"/>
      <c r="AJA6" s="239"/>
      <c r="AJB6" s="239"/>
      <c r="AJC6" s="239"/>
      <c r="AJD6" s="239"/>
      <c r="AJE6" s="239"/>
      <c r="AJF6" s="239"/>
      <c r="AJG6" s="239"/>
      <c r="AJH6" s="239"/>
      <c r="AJI6" s="239"/>
      <c r="AJJ6" s="239"/>
      <c r="AJK6" s="239"/>
      <c r="AJL6" s="239"/>
      <c r="AJM6" s="239"/>
      <c r="AJN6" s="239"/>
      <c r="AJO6" s="239"/>
      <c r="AJP6" s="239"/>
      <c r="AJQ6" s="239"/>
      <c r="AJR6" s="239"/>
      <c r="AJS6" s="239"/>
      <c r="AJT6" s="239"/>
      <c r="AJU6" s="239"/>
      <c r="AJV6" s="239"/>
      <c r="AJW6" s="239"/>
      <c r="AJX6" s="239"/>
      <c r="AJY6" s="239"/>
      <c r="AJZ6" s="239"/>
      <c r="AKA6" s="239"/>
      <c r="AKB6" s="239"/>
      <c r="AKC6" s="239"/>
      <c r="AKD6" s="239"/>
      <c r="AKE6" s="239"/>
      <c r="AKF6" s="239"/>
      <c r="AKG6" s="239"/>
      <c r="AKH6" s="239"/>
      <c r="AKI6" s="239"/>
      <c r="AKJ6" s="239"/>
      <c r="AKK6" s="239"/>
      <c r="AKL6" s="239"/>
      <c r="AKM6" s="239"/>
      <c r="AKN6" s="239"/>
      <c r="AKO6" s="239"/>
      <c r="AKP6" s="239"/>
      <c r="AKQ6" s="239"/>
      <c r="AKR6" s="239"/>
      <c r="AKS6" s="239"/>
      <c r="AKT6" s="239"/>
      <c r="AKU6" s="239"/>
      <c r="AKV6" s="239"/>
      <c r="AKW6" s="239"/>
      <c r="AKX6" s="239"/>
      <c r="AKY6" s="239"/>
      <c r="AKZ6" s="239"/>
      <c r="ALA6" s="239"/>
      <c r="ALB6" s="239"/>
      <c r="ALC6" s="239"/>
      <c r="ALD6" s="239"/>
      <c r="ALE6" s="239"/>
      <c r="ALF6" s="239"/>
      <c r="ALG6" s="239"/>
      <c r="ALH6" s="239"/>
      <c r="ALI6" s="239"/>
      <c r="ALJ6" s="239"/>
      <c r="ALK6" s="239"/>
      <c r="ALL6" s="239"/>
      <c r="ALM6" s="239"/>
      <c r="ALN6" s="239"/>
      <c r="ALO6" s="239"/>
      <c r="ALP6" s="239"/>
      <c r="ALQ6" s="239"/>
      <c r="ALR6" s="239"/>
      <c r="ALS6" s="239"/>
      <c r="ALT6" s="239"/>
      <c r="ALU6" s="239"/>
      <c r="ALV6" s="239"/>
      <c r="ALW6" s="239"/>
      <c r="ALX6" s="239"/>
      <c r="ALY6" s="239"/>
      <c r="ALZ6" s="239"/>
      <c r="AMA6" s="239"/>
      <c r="AMB6" s="239"/>
      <c r="AMC6" s="239"/>
      <c r="AMD6" s="239"/>
      <c r="AME6" s="239"/>
      <c r="AMF6" s="239"/>
      <c r="AMG6" s="239"/>
      <c r="AMH6" s="239"/>
      <c r="AMI6" s="239"/>
      <c r="AMJ6" s="239"/>
      <c r="AMK6" s="239"/>
      <c r="AML6" s="239"/>
      <c r="AMM6" s="239"/>
      <c r="AMN6" s="239"/>
      <c r="AMO6" s="239"/>
      <c r="AMP6" s="239"/>
      <c r="AMQ6" s="239"/>
      <c r="AMR6" s="239"/>
      <c r="AMS6" s="239"/>
      <c r="AMT6" s="239"/>
      <c r="AMU6" s="239"/>
      <c r="AMV6" s="239"/>
      <c r="AMW6" s="239"/>
      <c r="AMX6" s="239"/>
      <c r="AMY6" s="239"/>
      <c r="AMZ6" s="239"/>
      <c r="ANA6" s="239"/>
      <c r="ANB6" s="239"/>
      <c r="ANC6" s="239"/>
      <c r="AND6" s="239"/>
      <c r="ANE6" s="239"/>
      <c r="ANF6" s="239"/>
      <c r="ANG6" s="239"/>
      <c r="ANH6" s="239"/>
      <c r="ANI6" s="239"/>
      <c r="ANJ6" s="239"/>
      <c r="ANK6" s="239"/>
      <c r="ANL6" s="239"/>
      <c r="ANM6" s="239"/>
      <c r="ANN6" s="239"/>
      <c r="ANO6" s="239"/>
      <c r="ANP6" s="239"/>
      <c r="ANQ6" s="239"/>
      <c r="ANR6" s="239"/>
      <c r="ANS6" s="239"/>
      <c r="ANT6" s="239"/>
      <c r="ANU6" s="239"/>
      <c r="ANV6" s="239"/>
      <c r="ANW6" s="239"/>
      <c r="ANX6" s="239"/>
      <c r="ANY6" s="239"/>
      <c r="ANZ6" s="239"/>
      <c r="AOA6" s="239"/>
      <c r="AOB6" s="239"/>
      <c r="AOC6" s="239"/>
      <c r="AOD6" s="239"/>
      <c r="AOE6" s="239"/>
      <c r="AOF6" s="239"/>
      <c r="AOG6" s="239"/>
      <c r="AOH6" s="239"/>
      <c r="AOI6" s="239"/>
      <c r="AOJ6" s="239"/>
      <c r="AOK6" s="239"/>
      <c r="AOL6" s="239"/>
      <c r="AOM6" s="239"/>
      <c r="AON6" s="239"/>
      <c r="AOO6" s="239"/>
      <c r="AOP6" s="239"/>
      <c r="AOQ6" s="239"/>
      <c r="AOR6" s="239"/>
      <c r="AOS6" s="239"/>
      <c r="AOT6" s="239"/>
      <c r="AOU6" s="239"/>
      <c r="AOV6" s="239"/>
      <c r="AOW6" s="239"/>
      <c r="AOX6" s="239"/>
      <c r="AOY6" s="239"/>
      <c r="AOZ6" s="239"/>
      <c r="APA6" s="239"/>
      <c r="APB6" s="239"/>
      <c r="APC6" s="239"/>
      <c r="APD6" s="239"/>
      <c r="APE6" s="239"/>
      <c r="APF6" s="239"/>
      <c r="APG6" s="239"/>
      <c r="APH6" s="239"/>
      <c r="API6" s="239"/>
      <c r="APJ6" s="239"/>
      <c r="APK6" s="239"/>
      <c r="APL6" s="239"/>
      <c r="APM6" s="239"/>
      <c r="APN6" s="239"/>
      <c r="APO6" s="239"/>
      <c r="APP6" s="239"/>
      <c r="APQ6" s="239"/>
      <c r="APR6" s="239"/>
      <c r="APS6" s="239"/>
      <c r="APT6" s="239"/>
      <c r="APU6" s="239"/>
      <c r="APV6" s="239"/>
      <c r="APW6" s="239"/>
      <c r="APX6" s="239"/>
      <c r="APY6" s="239"/>
      <c r="APZ6" s="239"/>
      <c r="AQA6" s="239"/>
      <c r="AQB6" s="239"/>
      <c r="AQC6" s="239"/>
      <c r="AQD6" s="239"/>
      <c r="AQE6" s="239"/>
      <c r="AQF6" s="239"/>
      <c r="AQG6" s="239"/>
      <c r="AQH6" s="239"/>
      <c r="AQI6" s="239"/>
      <c r="AQJ6" s="239"/>
      <c r="AQK6" s="239"/>
      <c r="AQL6" s="239"/>
      <c r="AQM6" s="239"/>
      <c r="AQN6" s="239"/>
      <c r="AQO6" s="239"/>
      <c r="AQP6" s="239"/>
      <c r="AQQ6" s="239"/>
      <c r="AQR6" s="239"/>
      <c r="AQS6" s="239"/>
      <c r="AQT6" s="239"/>
      <c r="AQU6" s="239"/>
      <c r="AQV6" s="239"/>
      <c r="AQW6" s="239"/>
      <c r="AQX6" s="239"/>
      <c r="AQY6" s="239"/>
      <c r="AQZ6" s="239"/>
      <c r="ARA6" s="239"/>
      <c r="ARB6" s="239"/>
      <c r="ARC6" s="239"/>
      <c r="ARD6" s="239"/>
      <c r="ARE6" s="239"/>
      <c r="ARF6" s="239"/>
      <c r="ARG6" s="239"/>
      <c r="ARH6" s="239"/>
      <c r="ARI6" s="239"/>
      <c r="ARJ6" s="239"/>
      <c r="ARK6" s="239"/>
      <c r="ARL6" s="239"/>
      <c r="ARM6" s="239"/>
      <c r="ARN6" s="239"/>
      <c r="ARO6" s="239"/>
      <c r="ARP6" s="239"/>
      <c r="ARQ6" s="239"/>
      <c r="ARR6" s="239"/>
      <c r="ARS6" s="239"/>
      <c r="ART6" s="239"/>
      <c r="ARU6" s="239"/>
      <c r="ARV6" s="239"/>
      <c r="ARW6" s="239"/>
      <c r="ARX6" s="239"/>
      <c r="ARY6" s="239"/>
      <c r="ARZ6" s="239"/>
      <c r="ASA6" s="239"/>
      <c r="ASB6" s="239"/>
      <c r="ASC6" s="239"/>
      <c r="ASD6" s="239"/>
      <c r="ASE6" s="239"/>
      <c r="ASF6" s="239"/>
      <c r="ASG6" s="239"/>
      <c r="ASH6" s="239"/>
      <c r="ASI6" s="239"/>
      <c r="ASJ6" s="239"/>
      <c r="ASK6" s="239"/>
      <c r="ASL6" s="239"/>
      <c r="ASM6" s="239"/>
      <c r="ASN6" s="239"/>
      <c r="ASO6" s="239"/>
      <c r="ASP6" s="239"/>
      <c r="ASQ6" s="239"/>
      <c r="ASR6" s="239"/>
      <c r="ASS6" s="239"/>
      <c r="AST6" s="239"/>
      <c r="ASU6" s="239"/>
      <c r="ASV6" s="239"/>
      <c r="ASW6" s="239"/>
      <c r="ASX6" s="239"/>
      <c r="ASY6" s="239"/>
      <c r="ASZ6" s="239"/>
      <c r="ATA6" s="239"/>
      <c r="ATB6" s="239"/>
      <c r="ATC6" s="239"/>
      <c r="ATD6" s="239"/>
      <c r="ATE6" s="239"/>
      <c r="ATF6" s="239"/>
      <c r="ATG6" s="239"/>
      <c r="ATH6" s="239"/>
      <c r="ATI6" s="239"/>
      <c r="ATJ6" s="239"/>
      <c r="ATK6" s="239"/>
      <c r="ATL6" s="239"/>
      <c r="ATM6" s="239"/>
      <c r="ATN6" s="239"/>
      <c r="ATO6" s="239"/>
      <c r="ATP6" s="239"/>
      <c r="ATQ6" s="239"/>
      <c r="ATR6" s="239"/>
      <c r="ATS6" s="239"/>
      <c r="ATT6" s="239"/>
      <c r="ATU6" s="239"/>
      <c r="ATV6" s="239"/>
      <c r="ATW6" s="239"/>
      <c r="ATX6" s="239"/>
      <c r="ATY6" s="239"/>
      <c r="ATZ6" s="239"/>
      <c r="AUA6" s="239"/>
      <c r="AUB6" s="239"/>
      <c r="AUC6" s="239"/>
      <c r="AUD6" s="239"/>
      <c r="AUE6" s="239"/>
      <c r="AUF6" s="239"/>
      <c r="AUG6" s="239"/>
      <c r="AUH6" s="239"/>
      <c r="AUI6" s="239"/>
      <c r="AUJ6" s="239"/>
      <c r="AUK6" s="239"/>
      <c r="AUL6" s="239"/>
      <c r="AUM6" s="239"/>
      <c r="AUN6" s="239"/>
      <c r="AUO6" s="239"/>
      <c r="AUP6" s="239"/>
      <c r="AUQ6" s="239"/>
      <c r="AUR6" s="239"/>
      <c r="AUS6" s="239"/>
      <c r="AUT6" s="239"/>
      <c r="AUU6" s="239"/>
      <c r="AUV6" s="239"/>
      <c r="AUW6" s="239"/>
      <c r="AUX6" s="239"/>
      <c r="AUY6" s="239"/>
      <c r="AUZ6" s="239"/>
      <c r="AVA6" s="239"/>
      <c r="AVB6" s="239"/>
      <c r="AVC6" s="239"/>
      <c r="AVD6" s="239"/>
      <c r="AVE6" s="239"/>
      <c r="AVF6" s="239"/>
      <c r="AVG6" s="239"/>
      <c r="AVH6" s="239"/>
      <c r="AVI6" s="239"/>
      <c r="AVJ6" s="239"/>
      <c r="AVK6" s="239"/>
      <c r="AVL6" s="239"/>
      <c r="AVM6" s="239"/>
      <c r="AVN6" s="239"/>
      <c r="AVO6" s="239"/>
      <c r="AVP6" s="239"/>
      <c r="AVQ6" s="239"/>
      <c r="AVR6" s="239"/>
      <c r="AVS6" s="239"/>
      <c r="AVT6" s="239"/>
      <c r="AVU6" s="239"/>
      <c r="AVV6" s="239"/>
      <c r="AVW6" s="239"/>
      <c r="AVX6" s="239"/>
      <c r="AVY6" s="239"/>
      <c r="AVZ6" s="239"/>
      <c r="AWA6" s="239"/>
      <c r="AWB6" s="239"/>
      <c r="AWC6" s="239"/>
      <c r="AWD6" s="239"/>
      <c r="AWE6" s="239"/>
      <c r="AWF6" s="239"/>
      <c r="AWG6" s="239"/>
      <c r="AWH6" s="239"/>
      <c r="AWI6" s="239"/>
      <c r="AWJ6" s="239"/>
      <c r="AWK6" s="239"/>
      <c r="AWL6" s="239"/>
      <c r="AWM6" s="239"/>
      <c r="AWN6" s="239"/>
      <c r="AWO6" s="239"/>
      <c r="AWP6" s="239"/>
      <c r="AWQ6" s="239"/>
      <c r="AWR6" s="239"/>
      <c r="AWS6" s="239"/>
      <c r="AWT6" s="239"/>
      <c r="AWU6" s="239"/>
      <c r="AWV6" s="239"/>
      <c r="AWW6" s="239"/>
      <c r="AWX6" s="239"/>
      <c r="AWY6" s="239"/>
      <c r="AWZ6" s="239"/>
      <c r="AXA6" s="239"/>
      <c r="AXB6" s="239"/>
      <c r="AXC6" s="239"/>
      <c r="AXD6" s="239"/>
      <c r="AXE6" s="239"/>
      <c r="AXF6" s="239"/>
      <c r="AXG6" s="239"/>
      <c r="AXH6" s="239"/>
      <c r="AXI6" s="239"/>
      <c r="AXJ6" s="239"/>
      <c r="AXK6" s="239"/>
      <c r="AXL6" s="239"/>
      <c r="AXM6" s="239"/>
      <c r="AXN6" s="239"/>
      <c r="AXO6" s="239"/>
      <c r="AXP6" s="239"/>
      <c r="AXQ6" s="239"/>
      <c r="AXR6" s="239"/>
      <c r="AXS6" s="239"/>
      <c r="AXT6" s="239"/>
      <c r="AXU6" s="239"/>
      <c r="AXV6" s="239"/>
      <c r="AXW6" s="239"/>
      <c r="AXX6" s="239"/>
      <c r="AXY6" s="239"/>
      <c r="AXZ6" s="239"/>
      <c r="AYA6" s="239"/>
      <c r="AYB6" s="239"/>
      <c r="AYC6" s="239"/>
      <c r="AYD6" s="239"/>
      <c r="AYE6" s="239"/>
      <c r="AYF6" s="239"/>
      <c r="AYG6" s="239"/>
      <c r="AYH6" s="239"/>
      <c r="AYI6" s="239"/>
      <c r="AYJ6" s="239"/>
      <c r="AYK6" s="239"/>
      <c r="AYL6" s="239"/>
      <c r="AYM6" s="239"/>
      <c r="AYN6" s="239"/>
      <c r="AYO6" s="239"/>
      <c r="AYP6" s="239"/>
      <c r="AYQ6" s="239"/>
      <c r="AYR6" s="239"/>
      <c r="AYS6" s="239"/>
      <c r="AYT6" s="239"/>
      <c r="AYU6" s="239"/>
      <c r="AYV6" s="239"/>
      <c r="AYW6" s="239"/>
      <c r="AYX6" s="239"/>
      <c r="AYY6" s="239"/>
      <c r="AYZ6" s="239"/>
      <c r="AZA6" s="239"/>
      <c r="AZB6" s="239"/>
      <c r="AZC6" s="239"/>
      <c r="AZD6" s="239"/>
      <c r="AZE6" s="239"/>
      <c r="AZF6" s="239"/>
      <c r="AZG6" s="239"/>
      <c r="AZH6" s="239"/>
      <c r="AZI6" s="239"/>
      <c r="AZJ6" s="239"/>
      <c r="AZK6" s="239"/>
      <c r="AZL6" s="239"/>
      <c r="AZM6" s="239"/>
      <c r="AZN6" s="239"/>
      <c r="AZO6" s="239"/>
      <c r="AZP6" s="239"/>
      <c r="AZQ6" s="239"/>
      <c r="AZR6" s="239"/>
      <c r="AZS6" s="239"/>
      <c r="AZT6" s="239"/>
      <c r="AZU6" s="239"/>
      <c r="AZV6" s="239"/>
      <c r="AZW6" s="239"/>
      <c r="AZX6" s="239"/>
      <c r="AZY6" s="239"/>
      <c r="AZZ6" s="239"/>
      <c r="BAA6" s="239"/>
      <c r="BAB6" s="239"/>
      <c r="BAC6" s="239"/>
      <c r="BAD6" s="239"/>
      <c r="BAE6" s="239"/>
      <c r="BAF6" s="239"/>
      <c r="BAG6" s="239"/>
      <c r="BAH6" s="239"/>
      <c r="BAI6" s="239"/>
      <c r="BAJ6" s="239"/>
      <c r="BAK6" s="239"/>
      <c r="BAL6" s="239"/>
      <c r="BAM6" s="239"/>
      <c r="BAN6" s="239"/>
      <c r="BAO6" s="239"/>
      <c r="BAP6" s="239"/>
      <c r="BAQ6" s="239"/>
      <c r="BAR6" s="239"/>
      <c r="BAS6" s="239"/>
      <c r="BAT6" s="239"/>
      <c r="BAU6" s="239"/>
      <c r="BAV6" s="239"/>
      <c r="BAW6" s="239"/>
      <c r="BAX6" s="239"/>
      <c r="BAY6" s="239"/>
      <c r="BAZ6" s="239"/>
      <c r="BBA6" s="239"/>
      <c r="BBB6" s="239"/>
      <c r="BBC6" s="239"/>
      <c r="BBD6" s="239"/>
      <c r="BBE6" s="239"/>
      <c r="BBF6" s="239"/>
      <c r="BBG6" s="239"/>
      <c r="BBH6" s="239"/>
      <c r="BBI6" s="239"/>
      <c r="BBJ6" s="239"/>
      <c r="BBK6" s="239"/>
      <c r="BBL6" s="239"/>
      <c r="BBM6" s="239"/>
      <c r="BBN6" s="239"/>
      <c r="BBO6" s="239"/>
      <c r="BBP6" s="239"/>
      <c r="BBQ6" s="239"/>
      <c r="BBR6" s="239"/>
      <c r="BBS6" s="239"/>
      <c r="BBT6" s="239"/>
      <c r="BBU6" s="239"/>
      <c r="BBV6" s="239"/>
      <c r="BBW6" s="239"/>
      <c r="BBX6" s="239"/>
      <c r="BBY6" s="239"/>
      <c r="BBZ6" s="239"/>
      <c r="BCA6" s="239"/>
      <c r="BCB6" s="239"/>
      <c r="BCC6" s="239"/>
      <c r="BCD6" s="239"/>
      <c r="BCE6" s="239"/>
      <c r="BCF6" s="239"/>
      <c r="BCG6" s="239"/>
      <c r="BCH6" s="239"/>
      <c r="BCI6" s="239"/>
      <c r="BCJ6" s="239"/>
      <c r="BCK6" s="239"/>
      <c r="BCL6" s="239"/>
      <c r="BCM6" s="239"/>
      <c r="BCN6" s="239"/>
      <c r="BCO6" s="239"/>
      <c r="BCP6" s="239"/>
      <c r="BCQ6" s="239"/>
      <c r="BCR6" s="239"/>
      <c r="BCS6" s="239"/>
      <c r="BCT6" s="239"/>
      <c r="BCU6" s="239"/>
      <c r="BCV6" s="239"/>
      <c r="BCW6" s="239"/>
      <c r="BCX6" s="239"/>
      <c r="BCY6" s="239"/>
      <c r="BCZ6" s="239"/>
      <c r="BDA6" s="239"/>
      <c r="BDB6" s="239"/>
      <c r="BDC6" s="239"/>
      <c r="BDD6" s="239"/>
      <c r="BDE6" s="239"/>
      <c r="BDF6" s="239"/>
      <c r="BDG6" s="239"/>
      <c r="BDH6" s="239"/>
      <c r="BDI6" s="239"/>
      <c r="BDJ6" s="239"/>
      <c r="BDK6" s="239"/>
      <c r="BDL6" s="239"/>
      <c r="BDM6" s="239"/>
      <c r="BDN6" s="239"/>
      <c r="BDO6" s="239"/>
      <c r="BDP6" s="239"/>
      <c r="BDQ6" s="239"/>
      <c r="BDR6" s="239"/>
      <c r="BDS6" s="239"/>
      <c r="BDT6" s="239"/>
      <c r="BDU6" s="239"/>
      <c r="BDV6" s="239"/>
      <c r="BDW6" s="239"/>
      <c r="BDX6" s="239"/>
      <c r="BDY6" s="239"/>
      <c r="BDZ6" s="239"/>
      <c r="BEA6" s="239"/>
      <c r="BEB6" s="239"/>
      <c r="BEC6" s="239"/>
      <c r="BED6" s="239"/>
      <c r="BEE6" s="239"/>
      <c r="BEF6" s="239"/>
      <c r="BEG6" s="239"/>
      <c r="BEH6" s="239"/>
      <c r="BEI6" s="239"/>
      <c r="BEJ6" s="239"/>
      <c r="BEK6" s="239"/>
      <c r="BEL6" s="239"/>
      <c r="BEM6" s="239"/>
      <c r="BEN6" s="239"/>
      <c r="BEO6" s="239"/>
      <c r="BEP6" s="239"/>
      <c r="BEQ6" s="239"/>
      <c r="BER6" s="239"/>
      <c r="BES6" s="239"/>
      <c r="BET6" s="239"/>
      <c r="BEU6" s="239"/>
      <c r="BEV6" s="239"/>
      <c r="BEW6" s="239"/>
      <c r="BEX6" s="239"/>
      <c r="BEY6" s="239"/>
      <c r="BEZ6" s="239"/>
      <c r="BFA6" s="239"/>
      <c r="BFB6" s="239"/>
      <c r="BFC6" s="239"/>
      <c r="BFD6" s="239"/>
      <c r="BFE6" s="239"/>
      <c r="BFF6" s="239"/>
      <c r="BFG6" s="239"/>
      <c r="BFH6" s="239"/>
      <c r="BFI6" s="239"/>
      <c r="BFJ6" s="239"/>
      <c r="BFK6" s="239"/>
      <c r="BFL6" s="239"/>
      <c r="BFM6" s="239"/>
      <c r="BFN6" s="239"/>
      <c r="BFO6" s="239"/>
      <c r="BFP6" s="239"/>
      <c r="BFQ6" s="239"/>
      <c r="BFR6" s="239"/>
      <c r="BFS6" s="239"/>
      <c r="BFT6" s="239"/>
      <c r="BFU6" s="239"/>
      <c r="BFV6" s="239"/>
      <c r="BFW6" s="239"/>
      <c r="BFX6" s="239"/>
      <c r="BFY6" s="239"/>
      <c r="BFZ6" s="239"/>
      <c r="BGA6" s="239"/>
      <c r="BGB6" s="239"/>
      <c r="BGC6" s="239"/>
      <c r="BGD6" s="239"/>
      <c r="BGE6" s="239"/>
      <c r="BGF6" s="239"/>
      <c r="BGG6" s="239"/>
      <c r="BGH6" s="239"/>
      <c r="BGI6" s="239"/>
      <c r="BGJ6" s="239"/>
      <c r="BGK6" s="239"/>
      <c r="BGL6" s="239"/>
      <c r="BGM6" s="239"/>
      <c r="BGN6" s="239"/>
      <c r="BGO6" s="239"/>
      <c r="BGP6" s="239"/>
      <c r="BGQ6" s="239"/>
      <c r="BGR6" s="239"/>
      <c r="BGS6" s="239"/>
      <c r="BGT6" s="239"/>
      <c r="BGU6" s="239"/>
      <c r="BGV6" s="239"/>
      <c r="BGW6" s="239"/>
      <c r="BGX6" s="239"/>
      <c r="BGY6" s="239"/>
      <c r="BGZ6" s="239"/>
      <c r="BHA6" s="239"/>
      <c r="BHB6" s="239"/>
      <c r="BHC6" s="239"/>
      <c r="BHD6" s="239"/>
      <c r="BHE6" s="239"/>
      <c r="BHF6" s="239"/>
      <c r="BHG6" s="239"/>
      <c r="BHH6" s="239"/>
      <c r="BHI6" s="239"/>
      <c r="BHJ6" s="239"/>
      <c r="BHK6" s="239"/>
      <c r="BHL6" s="239"/>
      <c r="BHM6" s="239"/>
      <c r="BHN6" s="239"/>
      <c r="BHO6" s="239"/>
      <c r="BHP6" s="239"/>
      <c r="BHQ6" s="239"/>
      <c r="BHR6" s="239"/>
      <c r="BHS6" s="239"/>
      <c r="BHT6" s="239"/>
      <c r="BHU6" s="239"/>
      <c r="BHV6" s="239"/>
      <c r="BHW6" s="239"/>
      <c r="BHX6" s="239"/>
      <c r="BHY6" s="239"/>
      <c r="BHZ6" s="239"/>
      <c r="BIA6" s="239"/>
      <c r="BIB6" s="239"/>
      <c r="BIC6" s="239"/>
      <c r="BID6" s="239"/>
      <c r="BIE6" s="239"/>
      <c r="BIF6" s="239"/>
      <c r="BIG6" s="239"/>
      <c r="BIH6" s="239"/>
      <c r="BII6" s="239"/>
      <c r="BIJ6" s="239"/>
      <c r="BIK6" s="239"/>
      <c r="BIL6" s="239"/>
      <c r="BIM6" s="239"/>
      <c r="BIN6" s="239"/>
      <c r="BIO6" s="239"/>
      <c r="BIP6" s="239"/>
      <c r="BIQ6" s="239"/>
      <c r="BIR6" s="239"/>
      <c r="BIS6" s="239"/>
      <c r="BIT6" s="239"/>
      <c r="BIU6" s="239"/>
      <c r="BIV6" s="239"/>
      <c r="BIW6" s="239"/>
      <c r="BIX6" s="239"/>
      <c r="BIY6" s="239"/>
      <c r="BIZ6" s="239"/>
      <c r="BJA6" s="239"/>
      <c r="BJB6" s="239"/>
      <c r="BJC6" s="239"/>
      <c r="BJD6" s="239"/>
      <c r="BJE6" s="239"/>
      <c r="BJF6" s="239"/>
      <c r="BJG6" s="239"/>
      <c r="BJH6" s="239"/>
      <c r="BJI6" s="239"/>
      <c r="BJJ6" s="239"/>
      <c r="BJK6" s="239"/>
      <c r="BJL6" s="239"/>
      <c r="BJM6" s="239"/>
      <c r="BJN6" s="239"/>
      <c r="BJO6" s="239"/>
      <c r="BJP6" s="239"/>
      <c r="BJQ6" s="239"/>
      <c r="BJR6" s="239"/>
      <c r="BJS6" s="239"/>
      <c r="BJT6" s="239"/>
      <c r="BJU6" s="239"/>
      <c r="BJV6" s="239"/>
      <c r="BJW6" s="239"/>
      <c r="BJX6" s="239"/>
      <c r="BJY6" s="239"/>
      <c r="BJZ6" s="239"/>
      <c r="BKA6" s="239"/>
      <c r="BKB6" s="239"/>
      <c r="BKC6" s="239"/>
      <c r="BKD6" s="239"/>
      <c r="BKE6" s="239"/>
      <c r="BKF6" s="239"/>
      <c r="BKG6" s="239"/>
      <c r="BKH6" s="239"/>
      <c r="BKI6" s="239"/>
      <c r="BKJ6" s="239"/>
      <c r="BKK6" s="239"/>
      <c r="BKL6" s="239"/>
      <c r="BKM6" s="239"/>
      <c r="BKN6" s="239"/>
      <c r="BKO6" s="239"/>
      <c r="BKP6" s="239"/>
      <c r="BKQ6" s="239"/>
      <c r="BKR6" s="239"/>
      <c r="BKS6" s="239"/>
      <c r="BKT6" s="239"/>
      <c r="BKU6" s="239"/>
      <c r="BKV6" s="239"/>
      <c r="BKW6" s="239"/>
      <c r="BKX6" s="239"/>
      <c r="BKY6" s="239"/>
      <c r="BKZ6" s="239"/>
      <c r="BLA6" s="239"/>
      <c r="BLB6" s="239"/>
      <c r="BLC6" s="239"/>
      <c r="BLD6" s="239"/>
      <c r="BLE6" s="239"/>
      <c r="BLF6" s="239"/>
      <c r="BLG6" s="239"/>
      <c r="BLH6" s="239"/>
      <c r="BLI6" s="239"/>
      <c r="BLJ6" s="239"/>
      <c r="BLK6" s="239"/>
      <c r="BLL6" s="239"/>
      <c r="BLM6" s="239"/>
      <c r="BLN6" s="239"/>
      <c r="BLO6" s="239"/>
      <c r="BLP6" s="239"/>
      <c r="BLQ6" s="239"/>
      <c r="BLR6" s="239"/>
      <c r="BLS6" s="239"/>
      <c r="BLT6" s="239"/>
      <c r="BLU6" s="239"/>
      <c r="BLV6" s="239"/>
      <c r="BLW6" s="239"/>
      <c r="BLX6" s="239"/>
      <c r="BLY6" s="239"/>
      <c r="BLZ6" s="239"/>
      <c r="BMA6" s="239"/>
      <c r="BMB6" s="239"/>
      <c r="BMC6" s="239"/>
      <c r="BMD6" s="239"/>
      <c r="BME6" s="239"/>
      <c r="BMF6" s="239"/>
      <c r="BMG6" s="239"/>
      <c r="BMH6" s="239"/>
      <c r="BMI6" s="239"/>
      <c r="BMJ6" s="239"/>
      <c r="BMK6" s="239"/>
      <c r="BML6" s="239"/>
      <c r="BMM6" s="239"/>
      <c r="BMN6" s="239"/>
      <c r="BMO6" s="239"/>
      <c r="BMP6" s="239"/>
      <c r="BMQ6" s="239"/>
      <c r="BMR6" s="239"/>
      <c r="BMS6" s="239"/>
      <c r="BMT6" s="239"/>
      <c r="BMU6" s="239"/>
      <c r="BMV6" s="239"/>
      <c r="BMW6" s="239"/>
      <c r="BMX6" s="239"/>
      <c r="BMY6" s="239"/>
      <c r="BMZ6" s="239"/>
      <c r="BNA6" s="239"/>
      <c r="BNB6" s="239"/>
      <c r="BNC6" s="239"/>
      <c r="BND6" s="239"/>
      <c r="BNE6" s="239"/>
      <c r="BNF6" s="239"/>
      <c r="BNG6" s="239"/>
      <c r="BNH6" s="239"/>
      <c r="BNI6" s="239"/>
      <c r="BNJ6" s="239"/>
      <c r="BNK6" s="239"/>
      <c r="BNL6" s="239"/>
      <c r="BNM6" s="239"/>
      <c r="BNN6" s="239"/>
      <c r="BNO6" s="239"/>
      <c r="BNP6" s="239"/>
      <c r="BNQ6" s="239"/>
      <c r="BNR6" s="239"/>
      <c r="BNS6" s="239"/>
      <c r="BNT6" s="239"/>
      <c r="BNU6" s="239"/>
      <c r="BNV6" s="239"/>
      <c r="BNW6" s="239"/>
      <c r="BNX6" s="239"/>
      <c r="BNY6" s="239"/>
      <c r="BNZ6" s="239"/>
      <c r="BOA6" s="239"/>
      <c r="BOB6" s="239"/>
      <c r="BOC6" s="239"/>
      <c r="BOD6" s="239"/>
      <c r="BOE6" s="239"/>
      <c r="BOF6" s="239"/>
      <c r="BOG6" s="239"/>
      <c r="BOH6" s="239"/>
      <c r="BOI6" s="239"/>
      <c r="BOJ6" s="239"/>
      <c r="BOK6" s="239"/>
      <c r="BOL6" s="239"/>
      <c r="BOM6" s="239"/>
      <c r="BON6" s="239"/>
      <c r="BOO6" s="239"/>
      <c r="BOP6" s="239"/>
      <c r="BOQ6" s="239"/>
      <c r="BOR6" s="239"/>
      <c r="BOS6" s="239"/>
      <c r="BOT6" s="239"/>
      <c r="BOU6" s="239"/>
      <c r="BOV6" s="239"/>
      <c r="BOW6" s="239"/>
      <c r="BOX6" s="239"/>
      <c r="BOY6" s="239"/>
      <c r="BOZ6" s="239"/>
      <c r="BPA6" s="239"/>
      <c r="BPB6" s="239"/>
      <c r="BPC6" s="239"/>
      <c r="BPD6" s="239"/>
      <c r="BPE6" s="239"/>
      <c r="BPF6" s="239"/>
      <c r="BPG6" s="239"/>
      <c r="BPH6" s="239"/>
      <c r="BPI6" s="239"/>
      <c r="BPJ6" s="239"/>
      <c r="BPK6" s="239"/>
      <c r="BPL6" s="239"/>
      <c r="BPM6" s="239"/>
      <c r="BPN6" s="239"/>
      <c r="BPO6" s="239"/>
      <c r="BPP6" s="239"/>
      <c r="BPQ6" s="239"/>
      <c r="BPR6" s="239"/>
      <c r="BPS6" s="239"/>
      <c r="BPT6" s="239"/>
      <c r="BPU6" s="239"/>
      <c r="BPV6" s="239"/>
      <c r="BPW6" s="239"/>
      <c r="BPX6" s="239"/>
      <c r="BPY6" s="239"/>
      <c r="BPZ6" s="239"/>
      <c r="BQA6" s="239"/>
      <c r="BQB6" s="239"/>
      <c r="BQC6" s="239"/>
      <c r="BQD6" s="239"/>
      <c r="BQE6" s="239"/>
      <c r="BQF6" s="239"/>
      <c r="BQG6" s="239"/>
      <c r="BQH6" s="239"/>
      <c r="BQI6" s="239"/>
      <c r="BQJ6" s="239"/>
      <c r="BQK6" s="239"/>
      <c r="BQL6" s="239"/>
      <c r="BQM6" s="239"/>
      <c r="BQN6" s="239"/>
      <c r="BQO6" s="239"/>
      <c r="BQP6" s="239"/>
      <c r="BQQ6" s="239"/>
      <c r="BQR6" s="239"/>
      <c r="BQS6" s="239"/>
      <c r="BQT6" s="239"/>
      <c r="BQU6" s="239"/>
      <c r="BQV6" s="239"/>
      <c r="BQW6" s="239"/>
      <c r="BQX6" s="239"/>
      <c r="BQY6" s="239"/>
      <c r="BQZ6" s="239"/>
      <c r="BRA6" s="239"/>
      <c r="BRB6" s="239"/>
      <c r="BRC6" s="239"/>
      <c r="BRD6" s="239"/>
      <c r="BRE6" s="239"/>
      <c r="BRF6" s="239"/>
      <c r="BRG6" s="239"/>
      <c r="BRH6" s="239"/>
      <c r="BRI6" s="239"/>
      <c r="BRJ6" s="239"/>
      <c r="BRK6" s="239"/>
      <c r="BRL6" s="239"/>
      <c r="BRM6" s="239"/>
      <c r="BRN6" s="239"/>
      <c r="BRO6" s="239"/>
      <c r="BRP6" s="239"/>
      <c r="BRQ6" s="239"/>
      <c r="BRR6" s="239"/>
      <c r="BRS6" s="239"/>
      <c r="BRT6" s="239"/>
      <c r="BRU6" s="239"/>
      <c r="BRV6" s="239"/>
      <c r="BRW6" s="239"/>
      <c r="BRX6" s="239"/>
      <c r="BRY6" s="239"/>
      <c r="BRZ6" s="239"/>
      <c r="BSA6" s="239"/>
      <c r="BSB6" s="239"/>
      <c r="BSC6" s="239"/>
      <c r="BSD6" s="239"/>
      <c r="BSE6" s="239"/>
      <c r="BSF6" s="239"/>
      <c r="BSG6" s="239"/>
      <c r="BSH6" s="239"/>
      <c r="BSI6" s="239"/>
      <c r="BSJ6" s="239"/>
      <c r="BSK6" s="239"/>
      <c r="BSL6" s="239"/>
      <c r="BSM6" s="239"/>
      <c r="BSN6" s="239"/>
      <c r="BSO6" s="239"/>
      <c r="BSP6" s="239"/>
      <c r="BSQ6" s="239"/>
      <c r="BSR6" s="239"/>
      <c r="BSS6" s="239"/>
      <c r="BST6" s="239"/>
      <c r="BSU6" s="239"/>
      <c r="BSV6" s="239"/>
      <c r="BSW6" s="239"/>
      <c r="BSX6" s="239"/>
      <c r="BSY6" s="239"/>
      <c r="BSZ6" s="239"/>
      <c r="BTA6" s="239"/>
      <c r="BTB6" s="239"/>
      <c r="BTC6" s="239"/>
      <c r="BTD6" s="239"/>
      <c r="BTE6" s="239"/>
      <c r="BTF6" s="239"/>
      <c r="BTG6" s="239"/>
      <c r="BTH6" s="239"/>
      <c r="BTI6" s="239"/>
      <c r="BTJ6" s="239"/>
      <c r="BTK6" s="239"/>
      <c r="BTL6" s="239"/>
      <c r="BTM6" s="239"/>
      <c r="BTN6" s="239"/>
      <c r="BTO6" s="239"/>
      <c r="BTP6" s="239"/>
      <c r="BTQ6" s="239"/>
      <c r="BTR6" s="239"/>
      <c r="BTS6" s="239"/>
      <c r="BTT6" s="239"/>
      <c r="BTU6" s="239"/>
      <c r="BTV6" s="239"/>
      <c r="BTW6" s="239"/>
      <c r="BTX6" s="239"/>
      <c r="BTY6" s="239"/>
      <c r="BTZ6" s="239"/>
      <c r="BUA6" s="239"/>
      <c r="BUB6" s="239"/>
      <c r="BUC6" s="239"/>
      <c r="BUD6" s="239"/>
      <c r="BUE6" s="239"/>
      <c r="BUF6" s="239"/>
      <c r="BUG6" s="239"/>
      <c r="BUH6" s="239"/>
      <c r="BUI6" s="239"/>
      <c r="BUJ6" s="239"/>
      <c r="BUK6" s="239"/>
      <c r="BUL6" s="239"/>
      <c r="BUM6" s="239"/>
      <c r="BUN6" s="239"/>
      <c r="BUO6" s="239"/>
      <c r="BUP6" s="239"/>
      <c r="BUQ6" s="239"/>
      <c r="BUR6" s="239"/>
      <c r="BUS6" s="239"/>
      <c r="BUT6" s="239"/>
      <c r="BUU6" s="239"/>
      <c r="BUV6" s="239"/>
      <c r="BUW6" s="239"/>
      <c r="BUX6" s="239"/>
      <c r="BUY6" s="239"/>
      <c r="BUZ6" s="239"/>
      <c r="BVA6" s="239"/>
      <c r="BVB6" s="239"/>
      <c r="BVC6" s="239"/>
      <c r="BVD6" s="239"/>
      <c r="BVE6" s="239"/>
      <c r="BVF6" s="239"/>
      <c r="BVG6" s="239"/>
      <c r="BVH6" s="239"/>
      <c r="BVI6" s="239"/>
      <c r="BVJ6" s="239"/>
      <c r="BVK6" s="239"/>
      <c r="BVL6" s="239"/>
      <c r="BVM6" s="239"/>
      <c r="BVN6" s="239"/>
      <c r="BVO6" s="239"/>
      <c r="BVP6" s="239"/>
      <c r="BVQ6" s="239"/>
      <c r="BVR6" s="239"/>
      <c r="BVS6" s="239"/>
      <c r="BVT6" s="239"/>
      <c r="BVU6" s="239"/>
      <c r="BVV6" s="239"/>
      <c r="BVW6" s="239"/>
      <c r="BVX6" s="239"/>
      <c r="BVY6" s="239"/>
      <c r="BVZ6" s="239"/>
      <c r="BWA6" s="239"/>
      <c r="BWB6" s="239"/>
      <c r="BWC6" s="239"/>
      <c r="BWD6" s="239"/>
      <c r="BWE6" s="239"/>
      <c r="BWF6" s="239"/>
      <c r="BWG6" s="239"/>
      <c r="BWH6" s="239"/>
      <c r="BWI6" s="239"/>
      <c r="BWJ6" s="239"/>
      <c r="BWK6" s="239"/>
      <c r="BWL6" s="239"/>
      <c r="BWM6" s="239"/>
      <c r="BWN6" s="239"/>
      <c r="BWO6" s="239"/>
      <c r="BWP6" s="239"/>
      <c r="BWQ6" s="239"/>
      <c r="BWR6" s="239"/>
      <c r="BWS6" s="239"/>
      <c r="BWT6" s="239"/>
      <c r="BWU6" s="239"/>
      <c r="BWV6" s="239"/>
      <c r="BWW6" s="239"/>
      <c r="BWX6" s="239"/>
      <c r="BWY6" s="239"/>
      <c r="BWZ6" s="239"/>
      <c r="BXA6" s="239"/>
      <c r="BXB6" s="239"/>
      <c r="BXC6" s="239"/>
      <c r="BXD6" s="239"/>
      <c r="BXE6" s="239"/>
      <c r="BXF6" s="239"/>
      <c r="BXG6" s="239"/>
      <c r="BXH6" s="239"/>
      <c r="BXI6" s="239"/>
      <c r="BXJ6" s="239"/>
      <c r="BXK6" s="239"/>
      <c r="BXL6" s="239"/>
      <c r="BXM6" s="239"/>
      <c r="BXN6" s="239"/>
      <c r="BXO6" s="239"/>
      <c r="BXP6" s="239"/>
      <c r="BXQ6" s="239"/>
      <c r="BXR6" s="239"/>
      <c r="BXS6" s="239"/>
      <c r="BXT6" s="239"/>
      <c r="BXU6" s="239"/>
      <c r="BXV6" s="239"/>
      <c r="BXW6" s="239"/>
      <c r="BXX6" s="239"/>
      <c r="BXY6" s="239"/>
      <c r="BXZ6" s="239"/>
      <c r="BYA6" s="239"/>
      <c r="BYB6" s="239"/>
      <c r="BYC6" s="239"/>
      <c r="BYD6" s="239"/>
      <c r="BYE6" s="239"/>
      <c r="BYF6" s="239"/>
      <c r="BYG6" s="239"/>
      <c r="BYH6" s="239"/>
      <c r="BYI6" s="239"/>
      <c r="BYJ6" s="239"/>
      <c r="BYK6" s="239"/>
      <c r="BYL6" s="239"/>
      <c r="BYM6" s="239"/>
      <c r="BYN6" s="239"/>
      <c r="BYO6" s="239"/>
      <c r="BYP6" s="239"/>
      <c r="BYQ6" s="239"/>
      <c r="BYR6" s="239"/>
      <c r="BYS6" s="239"/>
      <c r="BYT6" s="239"/>
      <c r="BYU6" s="239"/>
      <c r="BYV6" s="239"/>
      <c r="BYW6" s="239"/>
      <c r="BYX6" s="239"/>
      <c r="BYY6" s="239"/>
      <c r="BYZ6" s="239"/>
      <c r="BZA6" s="239"/>
      <c r="BZB6" s="239"/>
      <c r="BZC6" s="239"/>
      <c r="BZD6" s="239"/>
      <c r="BZE6" s="239"/>
      <c r="BZF6" s="239"/>
      <c r="BZG6" s="239"/>
      <c r="BZH6" s="239"/>
      <c r="BZI6" s="239"/>
      <c r="BZJ6" s="239"/>
      <c r="BZK6" s="239"/>
      <c r="BZL6" s="239"/>
      <c r="BZM6" s="239"/>
      <c r="BZN6" s="239"/>
      <c r="BZO6" s="239"/>
      <c r="BZP6" s="239"/>
      <c r="BZQ6" s="239"/>
      <c r="BZR6" s="239"/>
      <c r="BZS6" s="239"/>
      <c r="BZT6" s="239"/>
      <c r="BZU6" s="239"/>
      <c r="BZV6" s="239"/>
      <c r="BZW6" s="239"/>
      <c r="BZX6" s="239"/>
      <c r="BZY6" s="239"/>
      <c r="BZZ6" s="239"/>
      <c r="CAA6" s="239"/>
      <c r="CAB6" s="239"/>
      <c r="CAC6" s="239"/>
      <c r="CAD6" s="239"/>
      <c r="CAE6" s="239"/>
      <c r="CAF6" s="239"/>
      <c r="CAG6" s="239"/>
      <c r="CAH6" s="239"/>
      <c r="CAI6" s="239"/>
      <c r="CAJ6" s="239"/>
      <c r="CAK6" s="239"/>
      <c r="CAL6" s="239"/>
      <c r="CAM6" s="239"/>
      <c r="CAN6" s="239"/>
      <c r="CAO6" s="239"/>
      <c r="CAP6" s="239"/>
      <c r="CAQ6" s="239"/>
      <c r="CAR6" s="239"/>
      <c r="CAS6" s="239"/>
      <c r="CAT6" s="239"/>
      <c r="CAU6" s="239"/>
      <c r="CAV6" s="239"/>
      <c r="CAW6" s="239"/>
      <c r="CAX6" s="239"/>
      <c r="CAY6" s="239"/>
      <c r="CAZ6" s="239"/>
      <c r="CBA6" s="239"/>
      <c r="CBB6" s="239"/>
      <c r="CBC6" s="239"/>
      <c r="CBD6" s="239"/>
      <c r="CBE6" s="239"/>
      <c r="CBF6" s="239"/>
      <c r="CBG6" s="239"/>
      <c r="CBH6" s="239"/>
      <c r="CBI6" s="239"/>
      <c r="CBJ6" s="239"/>
      <c r="CBK6" s="239"/>
      <c r="CBL6" s="239"/>
      <c r="CBM6" s="239"/>
      <c r="CBN6" s="239"/>
      <c r="CBO6" s="239"/>
      <c r="CBP6" s="239"/>
      <c r="CBQ6" s="239"/>
      <c r="CBR6" s="239"/>
      <c r="CBS6" s="239"/>
      <c r="CBT6" s="239"/>
      <c r="CBU6" s="239"/>
      <c r="CBV6" s="239"/>
      <c r="CBW6" s="239"/>
      <c r="CBX6" s="239"/>
      <c r="CBY6" s="239"/>
      <c r="CBZ6" s="239"/>
      <c r="CCA6" s="239"/>
      <c r="CCB6" s="239"/>
      <c r="CCC6" s="239"/>
      <c r="CCD6" s="239"/>
      <c r="CCE6" s="239"/>
      <c r="CCF6" s="239"/>
      <c r="CCG6" s="239"/>
      <c r="CCH6" s="239"/>
      <c r="CCI6" s="239"/>
      <c r="CCJ6" s="239"/>
      <c r="CCK6" s="239"/>
      <c r="CCL6" s="239"/>
      <c r="CCM6" s="239"/>
      <c r="CCN6" s="239"/>
      <c r="CCO6" s="239"/>
      <c r="CCP6" s="239"/>
      <c r="CCQ6" s="239"/>
      <c r="CCR6" s="239"/>
      <c r="CCS6" s="239"/>
      <c r="CCT6" s="239"/>
      <c r="CCU6" s="239"/>
      <c r="CCV6" s="239"/>
      <c r="CCW6" s="239"/>
      <c r="CCX6" s="239"/>
      <c r="CCY6" s="239"/>
      <c r="CCZ6" s="239"/>
      <c r="CDA6" s="239"/>
      <c r="CDB6" s="239"/>
      <c r="CDC6" s="239"/>
      <c r="CDD6" s="239"/>
      <c r="CDE6" s="239"/>
      <c r="CDF6" s="239"/>
      <c r="CDG6" s="239"/>
      <c r="CDH6" s="239"/>
      <c r="CDI6" s="239"/>
      <c r="CDJ6" s="239"/>
      <c r="CDK6" s="239"/>
      <c r="CDL6" s="239"/>
      <c r="CDM6" s="239"/>
      <c r="CDN6" s="239"/>
      <c r="CDO6" s="239"/>
      <c r="CDP6" s="239"/>
      <c r="CDQ6" s="239"/>
      <c r="CDR6" s="239"/>
      <c r="CDS6" s="239"/>
      <c r="CDT6" s="239"/>
      <c r="CDU6" s="239"/>
      <c r="CDV6" s="239"/>
      <c r="CDW6" s="239"/>
      <c r="CDX6" s="239"/>
      <c r="CDY6" s="239"/>
      <c r="CDZ6" s="239"/>
      <c r="CEA6" s="239"/>
      <c r="CEB6" s="239"/>
      <c r="CEC6" s="239"/>
      <c r="CED6" s="239"/>
      <c r="CEE6" s="239"/>
      <c r="CEF6" s="239"/>
      <c r="CEG6" s="239"/>
      <c r="CEH6" s="239"/>
      <c r="CEI6" s="239"/>
      <c r="CEJ6" s="239"/>
      <c r="CEK6" s="239"/>
      <c r="CEL6" s="239"/>
      <c r="CEM6" s="239"/>
      <c r="CEN6" s="239"/>
      <c r="CEO6" s="239"/>
      <c r="CEP6" s="239"/>
      <c r="CEQ6" s="239"/>
      <c r="CER6" s="239"/>
      <c r="CES6" s="239"/>
      <c r="CET6" s="239"/>
      <c r="CEU6" s="239"/>
      <c r="CEV6" s="239"/>
      <c r="CEW6" s="239"/>
      <c r="CEX6" s="239"/>
      <c r="CEY6" s="239"/>
      <c r="CEZ6" s="239"/>
      <c r="CFA6" s="239"/>
      <c r="CFB6" s="239"/>
      <c r="CFC6" s="239"/>
      <c r="CFD6" s="239"/>
      <c r="CFE6" s="239"/>
      <c r="CFF6" s="239"/>
      <c r="CFG6" s="239"/>
      <c r="CFH6" s="239"/>
      <c r="CFI6" s="239"/>
      <c r="CFJ6" s="239"/>
      <c r="CFK6" s="239"/>
      <c r="CFL6" s="239"/>
      <c r="CFM6" s="239"/>
      <c r="CFN6" s="239"/>
      <c r="CFO6" s="239"/>
      <c r="CFP6" s="239"/>
      <c r="CFQ6" s="239"/>
      <c r="CFR6" s="239"/>
      <c r="CFS6" s="239"/>
      <c r="CFT6" s="239"/>
      <c r="CFU6" s="239"/>
      <c r="CFV6" s="239"/>
      <c r="CFW6" s="239"/>
      <c r="CFX6" s="239"/>
      <c r="CFY6" s="239"/>
      <c r="CFZ6" s="239"/>
      <c r="CGA6" s="239"/>
      <c r="CGB6" s="239"/>
      <c r="CGC6" s="239"/>
      <c r="CGD6" s="239"/>
      <c r="CGE6" s="239"/>
      <c r="CGF6" s="239"/>
      <c r="CGG6" s="239"/>
      <c r="CGH6" s="239"/>
      <c r="CGI6" s="239"/>
      <c r="CGJ6" s="239"/>
      <c r="CGK6" s="239"/>
      <c r="CGL6" s="239"/>
      <c r="CGM6" s="239"/>
      <c r="CGN6" s="239"/>
      <c r="CGO6" s="239"/>
      <c r="CGP6" s="239"/>
      <c r="CGQ6" s="239"/>
      <c r="CGR6" s="239"/>
      <c r="CGS6" s="239"/>
      <c r="CGT6" s="239"/>
      <c r="CGU6" s="239"/>
      <c r="CGV6" s="239"/>
      <c r="CGW6" s="239"/>
      <c r="CGX6" s="239"/>
      <c r="CGY6" s="239"/>
      <c r="CGZ6" s="239"/>
      <c r="CHA6" s="239"/>
      <c r="CHB6" s="239"/>
      <c r="CHC6" s="239"/>
      <c r="CHD6" s="239"/>
      <c r="CHE6" s="239"/>
      <c r="CHF6" s="239"/>
      <c r="CHG6" s="239"/>
      <c r="CHH6" s="239"/>
      <c r="CHI6" s="239"/>
      <c r="CHJ6" s="239"/>
      <c r="CHK6" s="239"/>
      <c r="CHL6" s="239"/>
      <c r="CHM6" s="239"/>
      <c r="CHN6" s="239"/>
      <c r="CHO6" s="239"/>
      <c r="CHP6" s="239"/>
      <c r="CHQ6" s="239"/>
      <c r="CHR6" s="239"/>
      <c r="CHS6" s="239"/>
      <c r="CHT6" s="239"/>
      <c r="CHU6" s="239"/>
      <c r="CHV6" s="239"/>
      <c r="CHW6" s="239"/>
      <c r="CHX6" s="239"/>
      <c r="CHY6" s="239"/>
      <c r="CHZ6" s="239"/>
      <c r="CIA6" s="239"/>
      <c r="CIB6" s="239"/>
      <c r="CIC6" s="239"/>
      <c r="CID6" s="239"/>
      <c r="CIE6" s="239"/>
      <c r="CIF6" s="239"/>
      <c r="CIG6" s="239"/>
      <c r="CIH6" s="239"/>
      <c r="CII6" s="239"/>
      <c r="CIJ6" s="239"/>
      <c r="CIK6" s="239"/>
      <c r="CIL6" s="239"/>
      <c r="CIM6" s="239"/>
      <c r="CIN6" s="239"/>
      <c r="CIO6" s="239"/>
      <c r="CIP6" s="239"/>
      <c r="CIQ6" s="239"/>
      <c r="CIR6" s="239"/>
      <c r="CIS6" s="239"/>
      <c r="CIT6" s="239"/>
      <c r="CIU6" s="239"/>
      <c r="CIV6" s="239"/>
      <c r="CIW6" s="239"/>
      <c r="CIX6" s="239"/>
      <c r="CIY6" s="239"/>
      <c r="CIZ6" s="239"/>
      <c r="CJA6" s="239"/>
      <c r="CJB6" s="239"/>
      <c r="CJC6" s="239"/>
      <c r="CJD6" s="239"/>
      <c r="CJE6" s="239"/>
      <c r="CJF6" s="239"/>
      <c r="CJG6" s="239"/>
      <c r="CJH6" s="239"/>
      <c r="CJI6" s="239"/>
      <c r="CJJ6" s="239"/>
      <c r="CJK6" s="239"/>
      <c r="CJL6" s="239"/>
      <c r="CJM6" s="239"/>
      <c r="CJN6" s="239"/>
      <c r="CJO6" s="239"/>
      <c r="CJP6" s="239"/>
      <c r="CJQ6" s="239"/>
      <c r="CJR6" s="239"/>
      <c r="CJS6" s="239"/>
      <c r="CJT6" s="239"/>
      <c r="CJU6" s="239"/>
      <c r="CJV6" s="239"/>
      <c r="CJW6" s="239"/>
      <c r="CJX6" s="239"/>
      <c r="CJY6" s="239"/>
      <c r="CJZ6" s="239"/>
      <c r="CKA6" s="239"/>
      <c r="CKB6" s="239"/>
      <c r="CKC6" s="239"/>
      <c r="CKD6" s="239"/>
      <c r="CKE6" s="239"/>
      <c r="CKF6" s="239"/>
      <c r="CKG6" s="239"/>
      <c r="CKH6" s="239"/>
      <c r="CKI6" s="239"/>
      <c r="CKJ6" s="239"/>
      <c r="CKK6" s="239"/>
      <c r="CKL6" s="239"/>
      <c r="CKM6" s="239"/>
      <c r="CKN6" s="239"/>
      <c r="CKO6" s="239"/>
      <c r="CKP6" s="239"/>
      <c r="CKQ6" s="239"/>
      <c r="CKR6" s="239"/>
      <c r="CKS6" s="239"/>
      <c r="CKT6" s="239"/>
      <c r="CKU6" s="239"/>
      <c r="CKV6" s="239"/>
      <c r="CKW6" s="239"/>
      <c r="CKX6" s="239"/>
      <c r="CKY6" s="239"/>
      <c r="CKZ6" s="239"/>
      <c r="CLA6" s="239"/>
      <c r="CLB6" s="239"/>
      <c r="CLC6" s="239"/>
      <c r="CLD6" s="239"/>
      <c r="CLE6" s="239"/>
      <c r="CLF6" s="239"/>
    </row>
    <row r="7" spans="1:8915" s="47" customFormat="1" hidden="1">
      <c r="A7" s="52"/>
      <c r="B7" s="101">
        <v>45750</v>
      </c>
      <c r="C7" s="101" t="s">
        <v>195</v>
      </c>
      <c r="D7" s="119">
        <v>3475.740799999824</v>
      </c>
      <c r="E7" s="119">
        <v>4549.2575999997589</v>
      </c>
      <c r="F7" s="119">
        <v>646.5</v>
      </c>
      <c r="G7" s="119">
        <v>633.31000000005588</v>
      </c>
      <c r="H7" s="119">
        <v>929.9799999999741</v>
      </c>
      <c r="I7" s="119">
        <v>696.34999999999854</v>
      </c>
      <c r="J7" s="119">
        <v>1440.414000000045</v>
      </c>
      <c r="K7" s="119">
        <v>1880.5405000000587</v>
      </c>
      <c r="L7" s="119">
        <v>8742.0299999994895</v>
      </c>
      <c r="M7" s="119">
        <v>844.37999999988824</v>
      </c>
      <c r="N7" s="120">
        <v>555.26</v>
      </c>
      <c r="O7" s="120">
        <v>2482.9223000010579</v>
      </c>
      <c r="P7" s="141">
        <f t="shared" si="0"/>
        <v>26876.685200000145</v>
      </c>
      <c r="Q7" s="119">
        <v>13920.79000000001</v>
      </c>
      <c r="R7" s="119">
        <v>22362.310599999881</v>
      </c>
      <c r="S7" s="119">
        <v>1206.022850000079</v>
      </c>
      <c r="T7" s="119">
        <v>1517.7572499999362</v>
      </c>
      <c r="U7" s="119">
        <v>2479.2614000001213</v>
      </c>
      <c r="V7" s="141">
        <f t="shared" si="1"/>
        <v>68362.827300000165</v>
      </c>
      <c r="W7" s="81"/>
      <c r="X7" s="262">
        <f>Summary!K7</f>
        <v>68362.827300000165</v>
      </c>
      <c r="Y7" s="251"/>
      <c r="Z7" s="281">
        <f t="shared" si="2"/>
        <v>0</v>
      </c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  <c r="AT7" s="239"/>
      <c r="AU7" s="239"/>
      <c r="AV7" s="239"/>
      <c r="AW7" s="239"/>
      <c r="AX7" s="239"/>
      <c r="AY7" s="239"/>
      <c r="AZ7" s="239"/>
      <c r="BA7" s="239"/>
      <c r="BB7" s="239"/>
      <c r="BC7" s="239"/>
      <c r="BD7" s="239"/>
      <c r="BE7" s="239"/>
      <c r="BF7" s="239"/>
      <c r="BG7" s="239"/>
      <c r="BH7" s="239"/>
      <c r="BI7" s="239"/>
      <c r="BJ7" s="239"/>
      <c r="BK7" s="239"/>
      <c r="BL7" s="239"/>
      <c r="BM7" s="239"/>
      <c r="BN7" s="239"/>
      <c r="BO7" s="239"/>
      <c r="BP7" s="239"/>
      <c r="BQ7" s="239"/>
      <c r="BR7" s="239"/>
      <c r="BS7" s="239"/>
      <c r="BT7" s="239"/>
      <c r="BU7" s="239"/>
      <c r="BV7" s="239"/>
      <c r="BW7" s="239"/>
      <c r="BX7" s="239"/>
      <c r="BY7" s="239"/>
      <c r="BZ7" s="239"/>
      <c r="CA7" s="239"/>
      <c r="CB7" s="239"/>
      <c r="CC7" s="239"/>
      <c r="CD7" s="239"/>
      <c r="CE7" s="239"/>
      <c r="CF7" s="239"/>
      <c r="CG7" s="239"/>
      <c r="CH7" s="239"/>
      <c r="CI7" s="239"/>
      <c r="CJ7" s="239"/>
      <c r="CK7" s="239"/>
      <c r="CL7" s="239"/>
      <c r="CM7" s="239"/>
      <c r="CN7" s="239"/>
      <c r="CO7" s="239"/>
      <c r="CP7" s="239"/>
      <c r="CQ7" s="239"/>
      <c r="CR7" s="239"/>
      <c r="CS7" s="239"/>
      <c r="CT7" s="239"/>
      <c r="CU7" s="239"/>
      <c r="CV7" s="239"/>
      <c r="CW7" s="239"/>
      <c r="CX7" s="239"/>
      <c r="CY7" s="239"/>
      <c r="CZ7" s="239"/>
      <c r="DA7" s="239"/>
      <c r="DB7" s="239"/>
      <c r="DC7" s="239"/>
      <c r="DD7" s="239"/>
      <c r="DE7" s="239"/>
      <c r="DF7" s="239"/>
      <c r="DG7" s="239"/>
      <c r="DH7" s="239"/>
      <c r="DI7" s="239"/>
      <c r="DJ7" s="239"/>
      <c r="DK7" s="239"/>
      <c r="DL7" s="239"/>
      <c r="DM7" s="239"/>
      <c r="DN7" s="239"/>
      <c r="DO7" s="239"/>
      <c r="DP7" s="239"/>
      <c r="DQ7" s="239"/>
      <c r="DR7" s="239"/>
      <c r="DS7" s="239"/>
      <c r="DT7" s="239"/>
      <c r="DU7" s="239"/>
      <c r="DV7" s="239"/>
      <c r="DW7" s="239"/>
      <c r="DX7" s="239"/>
      <c r="DY7" s="239"/>
      <c r="DZ7" s="239"/>
      <c r="EA7" s="239"/>
      <c r="EB7" s="239"/>
      <c r="EC7" s="239"/>
      <c r="ED7" s="239"/>
      <c r="EE7" s="239"/>
      <c r="EF7" s="239"/>
      <c r="EG7" s="239"/>
      <c r="EH7" s="239"/>
      <c r="EI7" s="239"/>
      <c r="EJ7" s="239"/>
      <c r="EK7" s="239"/>
      <c r="EL7" s="239"/>
      <c r="EM7" s="239"/>
      <c r="EN7" s="239"/>
      <c r="EO7" s="239"/>
      <c r="EP7" s="239"/>
      <c r="EQ7" s="239"/>
      <c r="ER7" s="239"/>
      <c r="ES7" s="239"/>
      <c r="ET7" s="239"/>
      <c r="EU7" s="239"/>
      <c r="EV7" s="239"/>
      <c r="EW7" s="239"/>
      <c r="EX7" s="239"/>
      <c r="EY7" s="239"/>
      <c r="EZ7" s="239"/>
      <c r="FA7" s="239"/>
      <c r="FB7" s="239"/>
      <c r="FC7" s="239"/>
      <c r="FD7" s="239"/>
      <c r="FE7" s="239"/>
      <c r="FF7" s="239"/>
      <c r="FG7" s="239"/>
      <c r="FH7" s="239"/>
      <c r="FI7" s="239"/>
      <c r="FJ7" s="239"/>
      <c r="FK7" s="239"/>
      <c r="FL7" s="239"/>
      <c r="FM7" s="239"/>
      <c r="FN7" s="239"/>
      <c r="FO7" s="239"/>
      <c r="FP7" s="239"/>
      <c r="FQ7" s="239"/>
      <c r="FR7" s="239"/>
      <c r="FS7" s="239"/>
      <c r="FT7" s="239"/>
      <c r="FU7" s="239"/>
      <c r="FV7" s="239"/>
      <c r="FW7" s="239"/>
      <c r="FX7" s="239"/>
      <c r="FY7" s="239"/>
      <c r="FZ7" s="239"/>
      <c r="GA7" s="239"/>
      <c r="GB7" s="239"/>
      <c r="GC7" s="239"/>
      <c r="GD7" s="239"/>
      <c r="GE7" s="239"/>
      <c r="GF7" s="239"/>
      <c r="GG7" s="239"/>
      <c r="GH7" s="239"/>
      <c r="GI7" s="239"/>
      <c r="GJ7" s="239"/>
      <c r="GK7" s="239"/>
      <c r="GL7" s="239"/>
      <c r="GM7" s="239"/>
      <c r="GN7" s="239"/>
      <c r="GO7" s="239"/>
      <c r="GP7" s="239"/>
      <c r="GQ7" s="239"/>
      <c r="GR7" s="239"/>
      <c r="GS7" s="239"/>
      <c r="GT7" s="239"/>
      <c r="GU7" s="239"/>
      <c r="GV7" s="239"/>
      <c r="GW7" s="239"/>
      <c r="GX7" s="239"/>
      <c r="GY7" s="239"/>
      <c r="GZ7" s="239"/>
      <c r="HA7" s="239"/>
      <c r="HB7" s="239"/>
      <c r="HC7" s="239"/>
      <c r="HD7" s="239"/>
      <c r="HE7" s="239"/>
      <c r="HF7" s="239"/>
      <c r="HG7" s="239"/>
      <c r="HH7" s="239"/>
      <c r="HI7" s="239"/>
      <c r="HJ7" s="239"/>
      <c r="HK7" s="239"/>
      <c r="HL7" s="239"/>
      <c r="HM7" s="239"/>
      <c r="HN7" s="239"/>
      <c r="HO7" s="239"/>
      <c r="HP7" s="239"/>
      <c r="HQ7" s="239"/>
      <c r="HR7" s="239"/>
      <c r="HS7" s="239"/>
      <c r="HT7" s="239"/>
      <c r="HU7" s="239"/>
      <c r="HV7" s="239"/>
      <c r="HW7" s="239"/>
      <c r="HX7" s="239"/>
      <c r="HY7" s="239"/>
      <c r="HZ7" s="239"/>
      <c r="IA7" s="239"/>
      <c r="IB7" s="239"/>
      <c r="IC7" s="239"/>
      <c r="ID7" s="239"/>
      <c r="IE7" s="239"/>
      <c r="IF7" s="239"/>
      <c r="IG7" s="239"/>
      <c r="IH7" s="239"/>
      <c r="II7" s="239"/>
      <c r="IJ7" s="239"/>
      <c r="IK7" s="239"/>
      <c r="IL7" s="239"/>
      <c r="IM7" s="239"/>
      <c r="IN7" s="239"/>
      <c r="IO7" s="239"/>
      <c r="IP7" s="239"/>
      <c r="IQ7" s="239"/>
      <c r="IR7" s="239"/>
      <c r="IS7" s="239"/>
      <c r="IT7" s="239"/>
      <c r="IU7" s="239"/>
      <c r="IV7" s="239"/>
      <c r="IW7" s="239"/>
      <c r="IX7" s="239"/>
      <c r="IY7" s="239"/>
      <c r="IZ7" s="239"/>
      <c r="JA7" s="239"/>
      <c r="JB7" s="239"/>
      <c r="JC7" s="239"/>
      <c r="JD7" s="239"/>
      <c r="JE7" s="239"/>
      <c r="JF7" s="239"/>
      <c r="JG7" s="239"/>
      <c r="JH7" s="239"/>
      <c r="JI7" s="239"/>
      <c r="JJ7" s="239"/>
      <c r="JK7" s="239"/>
      <c r="JL7" s="239"/>
      <c r="JM7" s="239"/>
      <c r="JN7" s="239"/>
      <c r="JO7" s="239"/>
      <c r="JP7" s="239"/>
      <c r="JQ7" s="239"/>
      <c r="JR7" s="239"/>
      <c r="JS7" s="239"/>
      <c r="JT7" s="239"/>
      <c r="JU7" s="239"/>
      <c r="JV7" s="239"/>
      <c r="JW7" s="239"/>
      <c r="JX7" s="239"/>
      <c r="JY7" s="239"/>
      <c r="JZ7" s="239"/>
      <c r="KA7" s="239"/>
      <c r="KB7" s="239"/>
      <c r="KC7" s="239"/>
      <c r="KD7" s="239"/>
      <c r="KE7" s="239"/>
      <c r="KF7" s="239"/>
      <c r="KG7" s="239"/>
      <c r="KH7" s="239"/>
      <c r="KI7" s="239"/>
      <c r="KJ7" s="239"/>
      <c r="KK7" s="239"/>
      <c r="KL7" s="239"/>
      <c r="KM7" s="239"/>
      <c r="KN7" s="239"/>
      <c r="KO7" s="239"/>
      <c r="KP7" s="239"/>
      <c r="KQ7" s="239"/>
      <c r="KR7" s="239"/>
      <c r="KS7" s="239"/>
      <c r="KT7" s="239"/>
      <c r="KU7" s="239"/>
      <c r="KV7" s="239"/>
      <c r="KW7" s="239"/>
      <c r="KX7" s="239"/>
      <c r="KY7" s="239"/>
      <c r="KZ7" s="239"/>
      <c r="LA7" s="239"/>
      <c r="LB7" s="239"/>
      <c r="LC7" s="239"/>
      <c r="LD7" s="239"/>
      <c r="LE7" s="239"/>
      <c r="LF7" s="239"/>
      <c r="LG7" s="239"/>
      <c r="LH7" s="239"/>
      <c r="LI7" s="239"/>
      <c r="LJ7" s="239"/>
      <c r="LK7" s="239"/>
      <c r="LL7" s="239"/>
      <c r="LM7" s="239"/>
      <c r="LN7" s="239"/>
      <c r="LO7" s="239"/>
      <c r="LP7" s="239"/>
      <c r="LQ7" s="239"/>
      <c r="LR7" s="239"/>
      <c r="LS7" s="239"/>
      <c r="LT7" s="239"/>
      <c r="LU7" s="239"/>
      <c r="LV7" s="239"/>
      <c r="LW7" s="239"/>
      <c r="LX7" s="239"/>
      <c r="LY7" s="239"/>
      <c r="LZ7" s="239"/>
      <c r="MA7" s="239"/>
      <c r="MB7" s="239"/>
      <c r="MC7" s="239"/>
      <c r="MD7" s="239"/>
      <c r="ME7" s="239"/>
      <c r="MF7" s="239"/>
      <c r="MG7" s="239"/>
      <c r="MH7" s="239"/>
      <c r="MI7" s="239"/>
      <c r="MJ7" s="239"/>
      <c r="MK7" s="239"/>
      <c r="ML7" s="239"/>
      <c r="MM7" s="239"/>
      <c r="MN7" s="239"/>
      <c r="MO7" s="239"/>
      <c r="MP7" s="239"/>
      <c r="MQ7" s="239"/>
      <c r="MR7" s="239"/>
      <c r="MS7" s="239"/>
      <c r="MT7" s="239"/>
      <c r="MU7" s="239"/>
      <c r="MV7" s="239"/>
      <c r="MW7" s="239"/>
      <c r="MX7" s="239"/>
      <c r="MY7" s="239"/>
      <c r="MZ7" s="239"/>
      <c r="NA7" s="239"/>
      <c r="NB7" s="239"/>
      <c r="NC7" s="239"/>
      <c r="ND7" s="239"/>
      <c r="NE7" s="239"/>
      <c r="NF7" s="239"/>
      <c r="NG7" s="239"/>
      <c r="NH7" s="239"/>
      <c r="NI7" s="239"/>
      <c r="NJ7" s="239"/>
      <c r="NK7" s="239"/>
      <c r="NL7" s="239"/>
      <c r="NM7" s="239"/>
      <c r="NN7" s="239"/>
      <c r="NO7" s="239"/>
      <c r="NP7" s="239"/>
      <c r="NQ7" s="239"/>
      <c r="NR7" s="239"/>
      <c r="NS7" s="239"/>
      <c r="NT7" s="239"/>
      <c r="NU7" s="239"/>
      <c r="NV7" s="239"/>
      <c r="NW7" s="239"/>
      <c r="NX7" s="239"/>
      <c r="NY7" s="239"/>
      <c r="NZ7" s="239"/>
      <c r="OA7" s="239"/>
      <c r="OB7" s="239"/>
      <c r="OC7" s="239"/>
      <c r="OD7" s="239"/>
      <c r="OE7" s="239"/>
      <c r="OF7" s="239"/>
      <c r="OG7" s="239"/>
      <c r="OH7" s="239"/>
      <c r="OI7" s="239"/>
      <c r="OJ7" s="239"/>
      <c r="OK7" s="239"/>
      <c r="OL7" s="239"/>
      <c r="OM7" s="239"/>
      <c r="ON7" s="239"/>
      <c r="OO7" s="239"/>
      <c r="OP7" s="239"/>
      <c r="OQ7" s="239"/>
      <c r="OR7" s="239"/>
      <c r="OS7" s="239"/>
      <c r="OT7" s="239"/>
      <c r="OU7" s="239"/>
      <c r="OV7" s="239"/>
      <c r="OW7" s="239"/>
      <c r="OX7" s="239"/>
      <c r="OY7" s="239"/>
      <c r="OZ7" s="239"/>
      <c r="PA7" s="239"/>
      <c r="PB7" s="239"/>
      <c r="PC7" s="239"/>
      <c r="PD7" s="239"/>
      <c r="PE7" s="239"/>
      <c r="PF7" s="239"/>
      <c r="PG7" s="239"/>
      <c r="PH7" s="239"/>
      <c r="PI7" s="239"/>
      <c r="PJ7" s="239"/>
      <c r="PK7" s="239"/>
      <c r="PL7" s="239"/>
      <c r="PM7" s="239"/>
      <c r="PN7" s="239"/>
      <c r="PO7" s="239"/>
      <c r="PP7" s="239"/>
      <c r="PQ7" s="239"/>
      <c r="PR7" s="239"/>
      <c r="PS7" s="239"/>
      <c r="PT7" s="239"/>
      <c r="PU7" s="239"/>
      <c r="PV7" s="239"/>
      <c r="PW7" s="239"/>
      <c r="PX7" s="239"/>
      <c r="PY7" s="239"/>
      <c r="PZ7" s="239"/>
      <c r="QA7" s="239"/>
      <c r="QB7" s="239"/>
      <c r="QC7" s="239"/>
      <c r="QD7" s="239"/>
      <c r="QE7" s="239"/>
      <c r="QF7" s="239"/>
      <c r="QG7" s="239"/>
      <c r="QH7" s="239"/>
      <c r="QI7" s="239"/>
      <c r="QJ7" s="239"/>
      <c r="QK7" s="239"/>
      <c r="QL7" s="239"/>
      <c r="QM7" s="239"/>
      <c r="QN7" s="239"/>
      <c r="QO7" s="239"/>
      <c r="QP7" s="239"/>
      <c r="QQ7" s="239"/>
      <c r="QR7" s="239"/>
      <c r="QS7" s="239"/>
      <c r="QT7" s="239"/>
      <c r="QU7" s="239"/>
      <c r="QV7" s="239"/>
      <c r="QW7" s="239"/>
      <c r="QX7" s="239"/>
      <c r="QY7" s="239"/>
      <c r="QZ7" s="239"/>
      <c r="RA7" s="239"/>
      <c r="RB7" s="239"/>
      <c r="RC7" s="239"/>
      <c r="RD7" s="239"/>
      <c r="RE7" s="239"/>
      <c r="RF7" s="239"/>
      <c r="RG7" s="239"/>
      <c r="RH7" s="239"/>
      <c r="RI7" s="239"/>
      <c r="RJ7" s="239"/>
      <c r="RK7" s="239"/>
      <c r="RL7" s="239"/>
      <c r="RM7" s="239"/>
      <c r="RN7" s="239"/>
      <c r="RO7" s="239"/>
      <c r="RP7" s="239"/>
      <c r="RQ7" s="239"/>
      <c r="RR7" s="239"/>
      <c r="RS7" s="239"/>
      <c r="RT7" s="239"/>
      <c r="RU7" s="239"/>
      <c r="RV7" s="239"/>
      <c r="RW7" s="239"/>
      <c r="RX7" s="239"/>
      <c r="RY7" s="239"/>
      <c r="RZ7" s="239"/>
      <c r="SA7" s="239"/>
      <c r="SB7" s="239"/>
      <c r="SC7" s="239"/>
      <c r="SD7" s="239"/>
      <c r="SE7" s="239"/>
      <c r="SF7" s="239"/>
      <c r="SG7" s="239"/>
      <c r="SH7" s="239"/>
      <c r="SI7" s="239"/>
      <c r="SJ7" s="239"/>
      <c r="SK7" s="239"/>
      <c r="SL7" s="239"/>
      <c r="SM7" s="239"/>
      <c r="SN7" s="239"/>
      <c r="SO7" s="239"/>
      <c r="SP7" s="239"/>
      <c r="SQ7" s="239"/>
      <c r="SR7" s="239"/>
      <c r="SS7" s="239"/>
      <c r="ST7" s="239"/>
      <c r="SU7" s="239"/>
      <c r="SV7" s="239"/>
      <c r="SW7" s="239"/>
      <c r="SX7" s="239"/>
      <c r="SY7" s="239"/>
      <c r="SZ7" s="239"/>
      <c r="TA7" s="239"/>
      <c r="TB7" s="239"/>
      <c r="TC7" s="239"/>
      <c r="TD7" s="239"/>
      <c r="TE7" s="239"/>
      <c r="TF7" s="239"/>
      <c r="TG7" s="239"/>
      <c r="TH7" s="239"/>
      <c r="TI7" s="239"/>
      <c r="TJ7" s="239"/>
      <c r="TK7" s="239"/>
      <c r="TL7" s="239"/>
      <c r="TM7" s="239"/>
      <c r="TN7" s="239"/>
      <c r="TO7" s="239"/>
      <c r="TP7" s="239"/>
      <c r="TQ7" s="239"/>
      <c r="TR7" s="239"/>
      <c r="TS7" s="239"/>
      <c r="TT7" s="239"/>
      <c r="TU7" s="239"/>
      <c r="TV7" s="239"/>
      <c r="TW7" s="239"/>
      <c r="TX7" s="239"/>
      <c r="TY7" s="239"/>
      <c r="TZ7" s="239"/>
      <c r="UA7" s="239"/>
      <c r="UB7" s="239"/>
      <c r="UC7" s="239"/>
      <c r="UD7" s="239"/>
      <c r="UE7" s="239"/>
      <c r="UF7" s="239"/>
      <c r="UG7" s="239"/>
      <c r="UH7" s="239"/>
      <c r="UI7" s="239"/>
      <c r="UJ7" s="239"/>
      <c r="UK7" s="239"/>
      <c r="UL7" s="239"/>
      <c r="UM7" s="239"/>
      <c r="UN7" s="239"/>
      <c r="UO7" s="239"/>
      <c r="UP7" s="239"/>
      <c r="UQ7" s="239"/>
      <c r="UR7" s="239"/>
      <c r="US7" s="239"/>
      <c r="UT7" s="239"/>
      <c r="UU7" s="239"/>
      <c r="UV7" s="239"/>
      <c r="UW7" s="239"/>
      <c r="UX7" s="239"/>
      <c r="UY7" s="239"/>
      <c r="UZ7" s="239"/>
      <c r="VA7" s="239"/>
      <c r="VB7" s="239"/>
      <c r="VC7" s="239"/>
      <c r="VD7" s="239"/>
      <c r="VE7" s="239"/>
      <c r="VF7" s="239"/>
      <c r="VG7" s="239"/>
      <c r="VH7" s="239"/>
      <c r="VI7" s="239"/>
      <c r="VJ7" s="239"/>
      <c r="VK7" s="239"/>
      <c r="VL7" s="239"/>
      <c r="VM7" s="239"/>
      <c r="VN7" s="239"/>
      <c r="VO7" s="239"/>
      <c r="VP7" s="239"/>
      <c r="VQ7" s="239"/>
      <c r="VR7" s="239"/>
      <c r="VS7" s="239"/>
      <c r="VT7" s="239"/>
      <c r="VU7" s="239"/>
      <c r="VV7" s="239"/>
      <c r="VW7" s="239"/>
      <c r="VX7" s="239"/>
      <c r="VY7" s="239"/>
      <c r="VZ7" s="239"/>
      <c r="WA7" s="239"/>
      <c r="WB7" s="239"/>
      <c r="WC7" s="239"/>
      <c r="WD7" s="239"/>
      <c r="WE7" s="239"/>
      <c r="WF7" s="239"/>
      <c r="WG7" s="239"/>
      <c r="WH7" s="239"/>
      <c r="WI7" s="239"/>
      <c r="WJ7" s="239"/>
      <c r="WK7" s="239"/>
      <c r="WL7" s="239"/>
      <c r="WM7" s="239"/>
      <c r="WN7" s="239"/>
      <c r="WO7" s="239"/>
      <c r="WP7" s="239"/>
      <c r="WQ7" s="239"/>
      <c r="WR7" s="239"/>
      <c r="WS7" s="239"/>
      <c r="WT7" s="239"/>
      <c r="WU7" s="239"/>
      <c r="WV7" s="239"/>
      <c r="WW7" s="239"/>
      <c r="WX7" s="239"/>
      <c r="WY7" s="239"/>
      <c r="WZ7" s="239"/>
      <c r="XA7" s="239"/>
      <c r="XB7" s="239"/>
      <c r="XC7" s="239"/>
      <c r="XD7" s="239"/>
      <c r="XE7" s="239"/>
      <c r="XF7" s="239"/>
      <c r="XG7" s="239"/>
      <c r="XH7" s="239"/>
      <c r="XI7" s="239"/>
      <c r="XJ7" s="239"/>
      <c r="XK7" s="239"/>
      <c r="XL7" s="239"/>
      <c r="XM7" s="239"/>
      <c r="XN7" s="239"/>
      <c r="XO7" s="239"/>
      <c r="XP7" s="239"/>
      <c r="XQ7" s="239"/>
      <c r="XR7" s="239"/>
      <c r="XS7" s="239"/>
      <c r="XT7" s="239"/>
      <c r="XU7" s="239"/>
      <c r="XV7" s="239"/>
      <c r="XW7" s="239"/>
      <c r="XX7" s="239"/>
      <c r="XY7" s="239"/>
      <c r="XZ7" s="239"/>
      <c r="YA7" s="239"/>
      <c r="YB7" s="239"/>
      <c r="YC7" s="239"/>
      <c r="YD7" s="239"/>
      <c r="YE7" s="239"/>
      <c r="YF7" s="239"/>
      <c r="YG7" s="239"/>
      <c r="YH7" s="239"/>
      <c r="YI7" s="239"/>
      <c r="YJ7" s="239"/>
      <c r="YK7" s="239"/>
      <c r="YL7" s="239"/>
      <c r="YM7" s="239"/>
      <c r="YN7" s="239"/>
      <c r="YO7" s="239"/>
      <c r="YP7" s="239"/>
      <c r="YQ7" s="239"/>
      <c r="YR7" s="239"/>
      <c r="YS7" s="239"/>
      <c r="YT7" s="239"/>
      <c r="YU7" s="239"/>
      <c r="YV7" s="239"/>
      <c r="YW7" s="239"/>
      <c r="YX7" s="239"/>
      <c r="YY7" s="239"/>
      <c r="YZ7" s="239"/>
      <c r="ZA7" s="239"/>
      <c r="ZB7" s="239"/>
      <c r="ZC7" s="239"/>
      <c r="ZD7" s="239"/>
      <c r="ZE7" s="239"/>
      <c r="ZF7" s="239"/>
      <c r="ZG7" s="239"/>
      <c r="ZH7" s="239"/>
      <c r="ZI7" s="239"/>
      <c r="ZJ7" s="239"/>
      <c r="ZK7" s="239"/>
      <c r="ZL7" s="239"/>
      <c r="ZM7" s="239"/>
      <c r="ZN7" s="239"/>
      <c r="ZO7" s="239"/>
      <c r="ZP7" s="239"/>
      <c r="ZQ7" s="239"/>
      <c r="ZR7" s="239"/>
      <c r="ZS7" s="239"/>
      <c r="ZT7" s="239"/>
      <c r="ZU7" s="239"/>
      <c r="ZV7" s="239"/>
      <c r="ZW7" s="239"/>
      <c r="ZX7" s="239"/>
      <c r="ZY7" s="239"/>
      <c r="ZZ7" s="239"/>
      <c r="AAA7" s="239"/>
      <c r="AAB7" s="239"/>
      <c r="AAC7" s="239"/>
      <c r="AAD7" s="239"/>
      <c r="AAE7" s="239"/>
      <c r="AAF7" s="239"/>
      <c r="AAG7" s="239"/>
      <c r="AAH7" s="239"/>
      <c r="AAI7" s="239"/>
      <c r="AAJ7" s="239"/>
      <c r="AAK7" s="239"/>
      <c r="AAL7" s="239"/>
      <c r="AAM7" s="239"/>
      <c r="AAN7" s="239"/>
      <c r="AAO7" s="239"/>
      <c r="AAP7" s="239"/>
      <c r="AAQ7" s="239"/>
      <c r="AAR7" s="239"/>
      <c r="AAS7" s="239"/>
      <c r="AAT7" s="239"/>
      <c r="AAU7" s="239"/>
      <c r="AAV7" s="239"/>
      <c r="AAW7" s="239"/>
      <c r="AAX7" s="239"/>
      <c r="AAY7" s="239"/>
      <c r="AAZ7" s="239"/>
      <c r="ABA7" s="239"/>
      <c r="ABB7" s="239"/>
      <c r="ABC7" s="239"/>
      <c r="ABD7" s="239"/>
      <c r="ABE7" s="239"/>
      <c r="ABF7" s="239"/>
      <c r="ABG7" s="239"/>
      <c r="ABH7" s="239"/>
      <c r="ABI7" s="239"/>
      <c r="ABJ7" s="239"/>
      <c r="ABK7" s="239"/>
      <c r="ABL7" s="239"/>
      <c r="ABM7" s="239"/>
      <c r="ABN7" s="239"/>
      <c r="ABO7" s="239"/>
      <c r="ABP7" s="239"/>
      <c r="ABQ7" s="239"/>
      <c r="ABR7" s="239"/>
      <c r="ABS7" s="239"/>
      <c r="ABT7" s="239"/>
      <c r="ABU7" s="239"/>
      <c r="ABV7" s="239"/>
      <c r="ABW7" s="239"/>
      <c r="ABX7" s="239"/>
      <c r="ABY7" s="239"/>
      <c r="ABZ7" s="239"/>
      <c r="ACA7" s="239"/>
      <c r="ACB7" s="239"/>
      <c r="ACC7" s="239"/>
      <c r="ACD7" s="239"/>
      <c r="ACE7" s="239"/>
      <c r="ACF7" s="239"/>
      <c r="ACG7" s="239"/>
      <c r="ACH7" s="239"/>
      <c r="ACI7" s="239"/>
      <c r="ACJ7" s="239"/>
      <c r="ACK7" s="239"/>
      <c r="ACL7" s="239"/>
      <c r="ACM7" s="239"/>
      <c r="ACN7" s="239"/>
      <c r="ACO7" s="239"/>
      <c r="ACP7" s="239"/>
      <c r="ACQ7" s="239"/>
      <c r="ACR7" s="239"/>
      <c r="ACS7" s="239"/>
      <c r="ACT7" s="239"/>
      <c r="ACU7" s="239"/>
      <c r="ACV7" s="239"/>
      <c r="ACW7" s="239"/>
      <c r="ACX7" s="239"/>
      <c r="ACY7" s="239"/>
      <c r="ACZ7" s="239"/>
      <c r="ADA7" s="239"/>
      <c r="ADB7" s="239"/>
      <c r="ADC7" s="239"/>
      <c r="ADD7" s="239"/>
      <c r="ADE7" s="239"/>
      <c r="ADF7" s="239"/>
      <c r="ADG7" s="239"/>
      <c r="ADH7" s="239"/>
      <c r="ADI7" s="239"/>
      <c r="ADJ7" s="239"/>
      <c r="ADK7" s="239"/>
      <c r="ADL7" s="239"/>
      <c r="ADM7" s="239"/>
      <c r="ADN7" s="239"/>
      <c r="ADO7" s="239"/>
      <c r="ADP7" s="239"/>
      <c r="ADQ7" s="239"/>
      <c r="ADR7" s="239"/>
      <c r="ADS7" s="239"/>
      <c r="ADT7" s="239"/>
      <c r="ADU7" s="239"/>
      <c r="ADV7" s="239"/>
      <c r="ADW7" s="239"/>
      <c r="ADX7" s="239"/>
      <c r="ADY7" s="239"/>
      <c r="ADZ7" s="239"/>
      <c r="AEA7" s="239"/>
      <c r="AEB7" s="239"/>
      <c r="AEC7" s="239"/>
      <c r="AED7" s="239"/>
      <c r="AEE7" s="239"/>
      <c r="AEF7" s="239"/>
      <c r="AEG7" s="239"/>
      <c r="AEH7" s="239"/>
      <c r="AEI7" s="239"/>
      <c r="AEJ7" s="239"/>
      <c r="AEK7" s="239"/>
      <c r="AEL7" s="239"/>
      <c r="AEM7" s="239"/>
      <c r="AEN7" s="239"/>
      <c r="AEO7" s="239"/>
      <c r="AEP7" s="239"/>
      <c r="AEQ7" s="239"/>
      <c r="AER7" s="239"/>
      <c r="AES7" s="239"/>
      <c r="AET7" s="239"/>
      <c r="AEU7" s="239"/>
      <c r="AEV7" s="239"/>
      <c r="AEW7" s="239"/>
      <c r="AEX7" s="239"/>
      <c r="AEY7" s="239"/>
      <c r="AEZ7" s="239"/>
      <c r="AFA7" s="239"/>
      <c r="AFB7" s="239"/>
      <c r="AFC7" s="239"/>
      <c r="AFD7" s="239"/>
      <c r="AFE7" s="239"/>
      <c r="AFF7" s="239"/>
      <c r="AFG7" s="239"/>
      <c r="AFH7" s="239"/>
      <c r="AFI7" s="239"/>
      <c r="AFJ7" s="239"/>
      <c r="AFK7" s="239"/>
      <c r="AFL7" s="239"/>
      <c r="AFM7" s="239"/>
      <c r="AFN7" s="239"/>
      <c r="AFO7" s="239"/>
      <c r="AFP7" s="239"/>
      <c r="AFQ7" s="239"/>
      <c r="AFR7" s="239"/>
      <c r="AFS7" s="239"/>
      <c r="AFT7" s="239"/>
      <c r="AFU7" s="239"/>
      <c r="AFV7" s="239"/>
      <c r="AFW7" s="239"/>
      <c r="AFX7" s="239"/>
      <c r="AFY7" s="239"/>
      <c r="AFZ7" s="239"/>
      <c r="AGA7" s="239"/>
      <c r="AGB7" s="239"/>
      <c r="AGC7" s="239"/>
      <c r="AGD7" s="239"/>
      <c r="AGE7" s="239"/>
      <c r="AGF7" s="239"/>
      <c r="AGG7" s="239"/>
      <c r="AGH7" s="239"/>
      <c r="AGI7" s="239"/>
      <c r="AGJ7" s="239"/>
      <c r="AGK7" s="239"/>
      <c r="AGL7" s="239"/>
      <c r="AGM7" s="239"/>
      <c r="AGN7" s="239"/>
      <c r="AGO7" s="239"/>
      <c r="AGP7" s="239"/>
      <c r="AGQ7" s="239"/>
      <c r="AGR7" s="239"/>
      <c r="AGS7" s="239"/>
      <c r="AGT7" s="239"/>
      <c r="AGU7" s="239"/>
      <c r="AGV7" s="239"/>
      <c r="AGW7" s="239"/>
      <c r="AGX7" s="239"/>
      <c r="AGY7" s="239"/>
      <c r="AGZ7" s="239"/>
      <c r="AHA7" s="239"/>
      <c r="AHB7" s="239"/>
      <c r="AHC7" s="239"/>
      <c r="AHD7" s="239"/>
      <c r="AHE7" s="239"/>
      <c r="AHF7" s="239"/>
      <c r="AHG7" s="239"/>
      <c r="AHH7" s="239"/>
      <c r="AHI7" s="239"/>
      <c r="AHJ7" s="239"/>
      <c r="AHK7" s="239"/>
      <c r="AHL7" s="239"/>
      <c r="AHM7" s="239"/>
      <c r="AHN7" s="239"/>
      <c r="AHO7" s="239"/>
      <c r="AHP7" s="239"/>
      <c r="AHQ7" s="239"/>
      <c r="AHR7" s="239"/>
      <c r="AHS7" s="239"/>
      <c r="AHT7" s="239"/>
      <c r="AHU7" s="239"/>
      <c r="AHV7" s="239"/>
      <c r="AHW7" s="239"/>
      <c r="AHX7" s="239"/>
      <c r="AHY7" s="239"/>
      <c r="AHZ7" s="239"/>
      <c r="AIA7" s="239"/>
      <c r="AIB7" s="239"/>
      <c r="AIC7" s="239"/>
      <c r="AID7" s="239"/>
      <c r="AIE7" s="239"/>
      <c r="AIF7" s="239"/>
      <c r="AIG7" s="239"/>
      <c r="AIH7" s="239"/>
      <c r="AII7" s="239"/>
      <c r="AIJ7" s="239"/>
      <c r="AIK7" s="239"/>
      <c r="AIL7" s="239"/>
      <c r="AIM7" s="239"/>
      <c r="AIN7" s="239"/>
      <c r="AIO7" s="239"/>
      <c r="AIP7" s="239"/>
      <c r="AIQ7" s="239"/>
      <c r="AIR7" s="239"/>
      <c r="AIS7" s="239"/>
      <c r="AIT7" s="239"/>
      <c r="AIU7" s="239"/>
      <c r="AIV7" s="239"/>
      <c r="AIW7" s="239"/>
      <c r="AIX7" s="239"/>
      <c r="AIY7" s="239"/>
      <c r="AIZ7" s="239"/>
      <c r="AJA7" s="239"/>
      <c r="AJB7" s="239"/>
      <c r="AJC7" s="239"/>
      <c r="AJD7" s="239"/>
      <c r="AJE7" s="239"/>
      <c r="AJF7" s="239"/>
      <c r="AJG7" s="239"/>
      <c r="AJH7" s="239"/>
      <c r="AJI7" s="239"/>
      <c r="AJJ7" s="239"/>
      <c r="AJK7" s="239"/>
      <c r="AJL7" s="239"/>
      <c r="AJM7" s="239"/>
      <c r="AJN7" s="239"/>
      <c r="AJO7" s="239"/>
      <c r="AJP7" s="239"/>
      <c r="AJQ7" s="239"/>
      <c r="AJR7" s="239"/>
      <c r="AJS7" s="239"/>
      <c r="AJT7" s="239"/>
      <c r="AJU7" s="239"/>
      <c r="AJV7" s="239"/>
      <c r="AJW7" s="239"/>
      <c r="AJX7" s="239"/>
      <c r="AJY7" s="239"/>
      <c r="AJZ7" s="239"/>
      <c r="AKA7" s="239"/>
      <c r="AKB7" s="239"/>
      <c r="AKC7" s="239"/>
      <c r="AKD7" s="239"/>
      <c r="AKE7" s="239"/>
      <c r="AKF7" s="239"/>
      <c r="AKG7" s="239"/>
      <c r="AKH7" s="239"/>
      <c r="AKI7" s="239"/>
      <c r="AKJ7" s="239"/>
      <c r="AKK7" s="239"/>
      <c r="AKL7" s="239"/>
      <c r="AKM7" s="239"/>
      <c r="AKN7" s="239"/>
      <c r="AKO7" s="239"/>
      <c r="AKP7" s="239"/>
      <c r="AKQ7" s="239"/>
      <c r="AKR7" s="239"/>
      <c r="AKS7" s="239"/>
      <c r="AKT7" s="239"/>
      <c r="AKU7" s="239"/>
      <c r="AKV7" s="239"/>
      <c r="AKW7" s="239"/>
      <c r="AKX7" s="239"/>
      <c r="AKY7" s="239"/>
      <c r="AKZ7" s="239"/>
      <c r="ALA7" s="239"/>
      <c r="ALB7" s="239"/>
      <c r="ALC7" s="239"/>
      <c r="ALD7" s="239"/>
      <c r="ALE7" s="239"/>
      <c r="ALF7" s="239"/>
      <c r="ALG7" s="239"/>
      <c r="ALH7" s="239"/>
      <c r="ALI7" s="239"/>
      <c r="ALJ7" s="239"/>
      <c r="ALK7" s="239"/>
      <c r="ALL7" s="239"/>
      <c r="ALM7" s="239"/>
      <c r="ALN7" s="239"/>
      <c r="ALO7" s="239"/>
      <c r="ALP7" s="239"/>
      <c r="ALQ7" s="239"/>
      <c r="ALR7" s="239"/>
      <c r="ALS7" s="239"/>
      <c r="ALT7" s="239"/>
      <c r="ALU7" s="239"/>
      <c r="ALV7" s="239"/>
      <c r="ALW7" s="239"/>
      <c r="ALX7" s="239"/>
      <c r="ALY7" s="239"/>
      <c r="ALZ7" s="239"/>
      <c r="AMA7" s="239"/>
      <c r="AMB7" s="239"/>
      <c r="AMC7" s="239"/>
      <c r="AMD7" s="239"/>
      <c r="AME7" s="239"/>
      <c r="AMF7" s="239"/>
      <c r="AMG7" s="239"/>
      <c r="AMH7" s="239"/>
      <c r="AMI7" s="239"/>
      <c r="AMJ7" s="239"/>
      <c r="AMK7" s="239"/>
      <c r="AML7" s="239"/>
      <c r="AMM7" s="239"/>
      <c r="AMN7" s="239"/>
      <c r="AMO7" s="239"/>
      <c r="AMP7" s="239"/>
      <c r="AMQ7" s="239"/>
      <c r="AMR7" s="239"/>
      <c r="AMS7" s="239"/>
      <c r="AMT7" s="239"/>
      <c r="AMU7" s="239"/>
      <c r="AMV7" s="239"/>
      <c r="AMW7" s="239"/>
      <c r="AMX7" s="239"/>
      <c r="AMY7" s="239"/>
      <c r="AMZ7" s="239"/>
      <c r="ANA7" s="239"/>
      <c r="ANB7" s="239"/>
      <c r="ANC7" s="239"/>
      <c r="AND7" s="239"/>
      <c r="ANE7" s="239"/>
      <c r="ANF7" s="239"/>
      <c r="ANG7" s="239"/>
      <c r="ANH7" s="239"/>
      <c r="ANI7" s="239"/>
      <c r="ANJ7" s="239"/>
      <c r="ANK7" s="239"/>
      <c r="ANL7" s="239"/>
      <c r="ANM7" s="239"/>
      <c r="ANN7" s="239"/>
      <c r="ANO7" s="239"/>
      <c r="ANP7" s="239"/>
      <c r="ANQ7" s="239"/>
      <c r="ANR7" s="239"/>
      <c r="ANS7" s="239"/>
      <c r="ANT7" s="239"/>
      <c r="ANU7" s="239"/>
      <c r="ANV7" s="239"/>
      <c r="ANW7" s="239"/>
      <c r="ANX7" s="239"/>
      <c r="ANY7" s="239"/>
      <c r="ANZ7" s="239"/>
      <c r="AOA7" s="239"/>
      <c r="AOB7" s="239"/>
      <c r="AOC7" s="239"/>
      <c r="AOD7" s="239"/>
      <c r="AOE7" s="239"/>
      <c r="AOF7" s="239"/>
      <c r="AOG7" s="239"/>
      <c r="AOH7" s="239"/>
      <c r="AOI7" s="239"/>
      <c r="AOJ7" s="239"/>
      <c r="AOK7" s="239"/>
      <c r="AOL7" s="239"/>
      <c r="AOM7" s="239"/>
      <c r="AON7" s="239"/>
      <c r="AOO7" s="239"/>
      <c r="AOP7" s="239"/>
      <c r="AOQ7" s="239"/>
      <c r="AOR7" s="239"/>
      <c r="AOS7" s="239"/>
      <c r="AOT7" s="239"/>
      <c r="AOU7" s="239"/>
      <c r="AOV7" s="239"/>
      <c r="AOW7" s="239"/>
      <c r="AOX7" s="239"/>
      <c r="AOY7" s="239"/>
      <c r="AOZ7" s="239"/>
      <c r="APA7" s="239"/>
      <c r="APB7" s="239"/>
      <c r="APC7" s="239"/>
      <c r="APD7" s="239"/>
      <c r="APE7" s="239"/>
      <c r="APF7" s="239"/>
      <c r="APG7" s="239"/>
      <c r="APH7" s="239"/>
      <c r="API7" s="239"/>
      <c r="APJ7" s="239"/>
      <c r="APK7" s="239"/>
      <c r="APL7" s="239"/>
      <c r="APM7" s="239"/>
      <c r="APN7" s="239"/>
      <c r="APO7" s="239"/>
      <c r="APP7" s="239"/>
      <c r="APQ7" s="239"/>
      <c r="APR7" s="239"/>
      <c r="APS7" s="239"/>
      <c r="APT7" s="239"/>
      <c r="APU7" s="239"/>
      <c r="APV7" s="239"/>
      <c r="APW7" s="239"/>
      <c r="APX7" s="239"/>
      <c r="APY7" s="239"/>
      <c r="APZ7" s="239"/>
      <c r="AQA7" s="239"/>
      <c r="AQB7" s="239"/>
      <c r="AQC7" s="239"/>
      <c r="AQD7" s="239"/>
      <c r="AQE7" s="239"/>
      <c r="AQF7" s="239"/>
      <c r="AQG7" s="239"/>
      <c r="AQH7" s="239"/>
      <c r="AQI7" s="239"/>
      <c r="AQJ7" s="239"/>
      <c r="AQK7" s="239"/>
      <c r="AQL7" s="239"/>
      <c r="AQM7" s="239"/>
      <c r="AQN7" s="239"/>
      <c r="AQO7" s="239"/>
      <c r="AQP7" s="239"/>
      <c r="AQQ7" s="239"/>
      <c r="AQR7" s="239"/>
      <c r="AQS7" s="239"/>
      <c r="AQT7" s="239"/>
      <c r="AQU7" s="239"/>
      <c r="AQV7" s="239"/>
      <c r="AQW7" s="239"/>
      <c r="AQX7" s="239"/>
      <c r="AQY7" s="239"/>
      <c r="AQZ7" s="239"/>
      <c r="ARA7" s="239"/>
      <c r="ARB7" s="239"/>
      <c r="ARC7" s="239"/>
      <c r="ARD7" s="239"/>
      <c r="ARE7" s="239"/>
      <c r="ARF7" s="239"/>
      <c r="ARG7" s="239"/>
      <c r="ARH7" s="239"/>
      <c r="ARI7" s="239"/>
      <c r="ARJ7" s="239"/>
      <c r="ARK7" s="239"/>
      <c r="ARL7" s="239"/>
      <c r="ARM7" s="239"/>
      <c r="ARN7" s="239"/>
      <c r="ARO7" s="239"/>
      <c r="ARP7" s="239"/>
      <c r="ARQ7" s="239"/>
      <c r="ARR7" s="239"/>
      <c r="ARS7" s="239"/>
      <c r="ART7" s="239"/>
      <c r="ARU7" s="239"/>
      <c r="ARV7" s="239"/>
      <c r="ARW7" s="239"/>
      <c r="ARX7" s="239"/>
      <c r="ARY7" s="239"/>
      <c r="ARZ7" s="239"/>
      <c r="ASA7" s="239"/>
      <c r="ASB7" s="239"/>
      <c r="ASC7" s="239"/>
      <c r="ASD7" s="239"/>
      <c r="ASE7" s="239"/>
      <c r="ASF7" s="239"/>
      <c r="ASG7" s="239"/>
      <c r="ASH7" s="239"/>
      <c r="ASI7" s="239"/>
      <c r="ASJ7" s="239"/>
      <c r="ASK7" s="239"/>
      <c r="ASL7" s="239"/>
      <c r="ASM7" s="239"/>
      <c r="ASN7" s="239"/>
      <c r="ASO7" s="239"/>
      <c r="ASP7" s="239"/>
      <c r="ASQ7" s="239"/>
      <c r="ASR7" s="239"/>
      <c r="ASS7" s="239"/>
      <c r="AST7" s="239"/>
      <c r="ASU7" s="239"/>
      <c r="ASV7" s="239"/>
      <c r="ASW7" s="239"/>
      <c r="ASX7" s="239"/>
      <c r="ASY7" s="239"/>
      <c r="ASZ7" s="239"/>
      <c r="ATA7" s="239"/>
      <c r="ATB7" s="239"/>
      <c r="ATC7" s="239"/>
      <c r="ATD7" s="239"/>
      <c r="ATE7" s="239"/>
      <c r="ATF7" s="239"/>
      <c r="ATG7" s="239"/>
      <c r="ATH7" s="239"/>
      <c r="ATI7" s="239"/>
      <c r="ATJ7" s="239"/>
      <c r="ATK7" s="239"/>
      <c r="ATL7" s="239"/>
      <c r="ATM7" s="239"/>
      <c r="ATN7" s="239"/>
      <c r="ATO7" s="239"/>
      <c r="ATP7" s="239"/>
      <c r="ATQ7" s="239"/>
      <c r="ATR7" s="239"/>
      <c r="ATS7" s="239"/>
      <c r="ATT7" s="239"/>
      <c r="ATU7" s="239"/>
      <c r="ATV7" s="239"/>
      <c r="ATW7" s="239"/>
      <c r="ATX7" s="239"/>
      <c r="ATY7" s="239"/>
      <c r="ATZ7" s="239"/>
      <c r="AUA7" s="239"/>
      <c r="AUB7" s="239"/>
      <c r="AUC7" s="239"/>
      <c r="AUD7" s="239"/>
      <c r="AUE7" s="239"/>
      <c r="AUF7" s="239"/>
      <c r="AUG7" s="239"/>
      <c r="AUH7" s="239"/>
      <c r="AUI7" s="239"/>
      <c r="AUJ7" s="239"/>
      <c r="AUK7" s="239"/>
      <c r="AUL7" s="239"/>
      <c r="AUM7" s="239"/>
      <c r="AUN7" s="239"/>
      <c r="AUO7" s="239"/>
      <c r="AUP7" s="239"/>
      <c r="AUQ7" s="239"/>
      <c r="AUR7" s="239"/>
      <c r="AUS7" s="239"/>
      <c r="AUT7" s="239"/>
      <c r="AUU7" s="239"/>
      <c r="AUV7" s="239"/>
      <c r="AUW7" s="239"/>
      <c r="AUX7" s="239"/>
      <c r="AUY7" s="239"/>
      <c r="AUZ7" s="239"/>
      <c r="AVA7" s="239"/>
      <c r="AVB7" s="239"/>
      <c r="AVC7" s="239"/>
      <c r="AVD7" s="239"/>
      <c r="AVE7" s="239"/>
      <c r="AVF7" s="239"/>
      <c r="AVG7" s="239"/>
      <c r="AVH7" s="239"/>
      <c r="AVI7" s="239"/>
      <c r="AVJ7" s="239"/>
      <c r="AVK7" s="239"/>
      <c r="AVL7" s="239"/>
      <c r="AVM7" s="239"/>
      <c r="AVN7" s="239"/>
      <c r="AVO7" s="239"/>
      <c r="AVP7" s="239"/>
      <c r="AVQ7" s="239"/>
      <c r="AVR7" s="239"/>
      <c r="AVS7" s="239"/>
      <c r="AVT7" s="239"/>
      <c r="AVU7" s="239"/>
      <c r="AVV7" s="239"/>
      <c r="AVW7" s="239"/>
      <c r="AVX7" s="239"/>
      <c r="AVY7" s="239"/>
      <c r="AVZ7" s="239"/>
      <c r="AWA7" s="239"/>
      <c r="AWB7" s="239"/>
      <c r="AWC7" s="239"/>
      <c r="AWD7" s="239"/>
      <c r="AWE7" s="239"/>
      <c r="AWF7" s="239"/>
      <c r="AWG7" s="239"/>
      <c r="AWH7" s="239"/>
      <c r="AWI7" s="239"/>
      <c r="AWJ7" s="239"/>
      <c r="AWK7" s="239"/>
      <c r="AWL7" s="239"/>
      <c r="AWM7" s="239"/>
      <c r="AWN7" s="239"/>
      <c r="AWO7" s="239"/>
      <c r="AWP7" s="239"/>
      <c r="AWQ7" s="239"/>
      <c r="AWR7" s="239"/>
      <c r="AWS7" s="239"/>
      <c r="AWT7" s="239"/>
      <c r="AWU7" s="239"/>
      <c r="AWV7" s="239"/>
      <c r="AWW7" s="239"/>
      <c r="AWX7" s="239"/>
      <c r="AWY7" s="239"/>
      <c r="AWZ7" s="239"/>
      <c r="AXA7" s="239"/>
      <c r="AXB7" s="239"/>
      <c r="AXC7" s="239"/>
      <c r="AXD7" s="239"/>
      <c r="AXE7" s="239"/>
      <c r="AXF7" s="239"/>
      <c r="AXG7" s="239"/>
      <c r="AXH7" s="239"/>
      <c r="AXI7" s="239"/>
      <c r="AXJ7" s="239"/>
      <c r="AXK7" s="239"/>
      <c r="AXL7" s="239"/>
      <c r="AXM7" s="239"/>
      <c r="AXN7" s="239"/>
      <c r="AXO7" s="239"/>
      <c r="AXP7" s="239"/>
      <c r="AXQ7" s="239"/>
      <c r="AXR7" s="239"/>
      <c r="AXS7" s="239"/>
      <c r="AXT7" s="239"/>
      <c r="AXU7" s="239"/>
      <c r="AXV7" s="239"/>
      <c r="AXW7" s="239"/>
      <c r="AXX7" s="239"/>
      <c r="AXY7" s="239"/>
      <c r="AXZ7" s="239"/>
      <c r="AYA7" s="239"/>
      <c r="AYB7" s="239"/>
      <c r="AYC7" s="239"/>
      <c r="AYD7" s="239"/>
      <c r="AYE7" s="239"/>
      <c r="AYF7" s="239"/>
      <c r="AYG7" s="239"/>
      <c r="AYH7" s="239"/>
      <c r="AYI7" s="239"/>
      <c r="AYJ7" s="239"/>
      <c r="AYK7" s="239"/>
      <c r="AYL7" s="239"/>
      <c r="AYM7" s="239"/>
      <c r="AYN7" s="239"/>
      <c r="AYO7" s="239"/>
      <c r="AYP7" s="239"/>
      <c r="AYQ7" s="239"/>
      <c r="AYR7" s="239"/>
      <c r="AYS7" s="239"/>
      <c r="AYT7" s="239"/>
      <c r="AYU7" s="239"/>
      <c r="AYV7" s="239"/>
      <c r="AYW7" s="239"/>
      <c r="AYX7" s="239"/>
      <c r="AYY7" s="239"/>
      <c r="AYZ7" s="239"/>
      <c r="AZA7" s="239"/>
      <c r="AZB7" s="239"/>
      <c r="AZC7" s="239"/>
      <c r="AZD7" s="239"/>
      <c r="AZE7" s="239"/>
      <c r="AZF7" s="239"/>
      <c r="AZG7" s="239"/>
      <c r="AZH7" s="239"/>
      <c r="AZI7" s="239"/>
      <c r="AZJ7" s="239"/>
      <c r="AZK7" s="239"/>
      <c r="AZL7" s="239"/>
      <c r="AZM7" s="239"/>
      <c r="AZN7" s="239"/>
      <c r="AZO7" s="239"/>
      <c r="AZP7" s="239"/>
      <c r="AZQ7" s="239"/>
      <c r="AZR7" s="239"/>
      <c r="AZS7" s="239"/>
      <c r="AZT7" s="239"/>
      <c r="AZU7" s="239"/>
      <c r="AZV7" s="239"/>
      <c r="AZW7" s="239"/>
      <c r="AZX7" s="239"/>
      <c r="AZY7" s="239"/>
      <c r="AZZ7" s="239"/>
      <c r="BAA7" s="239"/>
      <c r="BAB7" s="239"/>
      <c r="BAC7" s="239"/>
      <c r="BAD7" s="239"/>
      <c r="BAE7" s="239"/>
      <c r="BAF7" s="239"/>
      <c r="BAG7" s="239"/>
      <c r="BAH7" s="239"/>
      <c r="BAI7" s="239"/>
      <c r="BAJ7" s="239"/>
      <c r="BAK7" s="239"/>
      <c r="BAL7" s="239"/>
      <c r="BAM7" s="239"/>
      <c r="BAN7" s="239"/>
      <c r="BAO7" s="239"/>
      <c r="BAP7" s="239"/>
      <c r="BAQ7" s="239"/>
      <c r="BAR7" s="239"/>
      <c r="BAS7" s="239"/>
      <c r="BAT7" s="239"/>
      <c r="BAU7" s="239"/>
      <c r="BAV7" s="239"/>
      <c r="BAW7" s="239"/>
      <c r="BAX7" s="239"/>
      <c r="BAY7" s="239"/>
      <c r="BAZ7" s="239"/>
      <c r="BBA7" s="239"/>
      <c r="BBB7" s="239"/>
      <c r="BBC7" s="239"/>
      <c r="BBD7" s="239"/>
      <c r="BBE7" s="239"/>
      <c r="BBF7" s="239"/>
      <c r="BBG7" s="239"/>
      <c r="BBH7" s="239"/>
      <c r="BBI7" s="239"/>
      <c r="BBJ7" s="239"/>
      <c r="BBK7" s="239"/>
      <c r="BBL7" s="239"/>
      <c r="BBM7" s="239"/>
      <c r="BBN7" s="239"/>
      <c r="BBO7" s="239"/>
      <c r="BBP7" s="239"/>
      <c r="BBQ7" s="239"/>
      <c r="BBR7" s="239"/>
      <c r="BBS7" s="239"/>
      <c r="BBT7" s="239"/>
      <c r="BBU7" s="239"/>
      <c r="BBV7" s="239"/>
      <c r="BBW7" s="239"/>
      <c r="BBX7" s="239"/>
      <c r="BBY7" s="239"/>
      <c r="BBZ7" s="239"/>
      <c r="BCA7" s="239"/>
      <c r="BCB7" s="239"/>
      <c r="BCC7" s="239"/>
      <c r="BCD7" s="239"/>
      <c r="BCE7" s="239"/>
      <c r="BCF7" s="239"/>
      <c r="BCG7" s="239"/>
      <c r="BCH7" s="239"/>
      <c r="BCI7" s="239"/>
      <c r="BCJ7" s="239"/>
      <c r="BCK7" s="239"/>
      <c r="BCL7" s="239"/>
      <c r="BCM7" s="239"/>
      <c r="BCN7" s="239"/>
      <c r="BCO7" s="239"/>
      <c r="BCP7" s="239"/>
      <c r="BCQ7" s="239"/>
      <c r="BCR7" s="239"/>
      <c r="BCS7" s="239"/>
      <c r="BCT7" s="239"/>
      <c r="BCU7" s="239"/>
      <c r="BCV7" s="239"/>
      <c r="BCW7" s="239"/>
      <c r="BCX7" s="239"/>
      <c r="BCY7" s="239"/>
      <c r="BCZ7" s="239"/>
      <c r="BDA7" s="239"/>
      <c r="BDB7" s="239"/>
      <c r="BDC7" s="239"/>
      <c r="BDD7" s="239"/>
      <c r="BDE7" s="239"/>
      <c r="BDF7" s="239"/>
      <c r="BDG7" s="239"/>
      <c r="BDH7" s="239"/>
      <c r="BDI7" s="239"/>
      <c r="BDJ7" s="239"/>
      <c r="BDK7" s="239"/>
      <c r="BDL7" s="239"/>
      <c r="BDM7" s="239"/>
      <c r="BDN7" s="239"/>
      <c r="BDO7" s="239"/>
      <c r="BDP7" s="239"/>
      <c r="BDQ7" s="239"/>
      <c r="BDR7" s="239"/>
      <c r="BDS7" s="239"/>
      <c r="BDT7" s="239"/>
      <c r="BDU7" s="239"/>
      <c r="BDV7" s="239"/>
      <c r="BDW7" s="239"/>
      <c r="BDX7" s="239"/>
      <c r="BDY7" s="239"/>
      <c r="BDZ7" s="239"/>
      <c r="BEA7" s="239"/>
      <c r="BEB7" s="239"/>
      <c r="BEC7" s="239"/>
      <c r="BED7" s="239"/>
      <c r="BEE7" s="239"/>
      <c r="BEF7" s="239"/>
      <c r="BEG7" s="239"/>
      <c r="BEH7" s="239"/>
      <c r="BEI7" s="239"/>
      <c r="BEJ7" s="239"/>
      <c r="BEK7" s="239"/>
      <c r="BEL7" s="239"/>
      <c r="BEM7" s="239"/>
      <c r="BEN7" s="239"/>
      <c r="BEO7" s="239"/>
      <c r="BEP7" s="239"/>
      <c r="BEQ7" s="239"/>
      <c r="BER7" s="239"/>
      <c r="BES7" s="239"/>
      <c r="BET7" s="239"/>
      <c r="BEU7" s="239"/>
      <c r="BEV7" s="239"/>
      <c r="BEW7" s="239"/>
      <c r="BEX7" s="239"/>
      <c r="BEY7" s="239"/>
      <c r="BEZ7" s="239"/>
      <c r="BFA7" s="239"/>
      <c r="BFB7" s="239"/>
      <c r="BFC7" s="239"/>
      <c r="BFD7" s="239"/>
      <c r="BFE7" s="239"/>
      <c r="BFF7" s="239"/>
      <c r="BFG7" s="239"/>
      <c r="BFH7" s="239"/>
      <c r="BFI7" s="239"/>
      <c r="BFJ7" s="239"/>
      <c r="BFK7" s="239"/>
      <c r="BFL7" s="239"/>
      <c r="BFM7" s="239"/>
      <c r="BFN7" s="239"/>
      <c r="BFO7" s="239"/>
      <c r="BFP7" s="239"/>
      <c r="BFQ7" s="239"/>
      <c r="BFR7" s="239"/>
      <c r="BFS7" s="239"/>
      <c r="BFT7" s="239"/>
      <c r="BFU7" s="239"/>
      <c r="BFV7" s="239"/>
      <c r="BFW7" s="239"/>
      <c r="BFX7" s="239"/>
      <c r="BFY7" s="239"/>
      <c r="BFZ7" s="239"/>
      <c r="BGA7" s="239"/>
      <c r="BGB7" s="239"/>
      <c r="BGC7" s="239"/>
      <c r="BGD7" s="239"/>
      <c r="BGE7" s="239"/>
      <c r="BGF7" s="239"/>
      <c r="BGG7" s="239"/>
      <c r="BGH7" s="239"/>
      <c r="BGI7" s="239"/>
      <c r="BGJ7" s="239"/>
      <c r="BGK7" s="239"/>
      <c r="BGL7" s="239"/>
      <c r="BGM7" s="239"/>
      <c r="BGN7" s="239"/>
      <c r="BGO7" s="239"/>
      <c r="BGP7" s="239"/>
      <c r="BGQ7" s="239"/>
      <c r="BGR7" s="239"/>
      <c r="BGS7" s="239"/>
      <c r="BGT7" s="239"/>
      <c r="BGU7" s="239"/>
      <c r="BGV7" s="239"/>
      <c r="BGW7" s="239"/>
      <c r="BGX7" s="239"/>
      <c r="BGY7" s="239"/>
      <c r="BGZ7" s="239"/>
      <c r="BHA7" s="239"/>
      <c r="BHB7" s="239"/>
      <c r="BHC7" s="239"/>
      <c r="BHD7" s="239"/>
      <c r="BHE7" s="239"/>
      <c r="BHF7" s="239"/>
      <c r="BHG7" s="239"/>
      <c r="BHH7" s="239"/>
      <c r="BHI7" s="239"/>
      <c r="BHJ7" s="239"/>
      <c r="BHK7" s="239"/>
      <c r="BHL7" s="239"/>
      <c r="BHM7" s="239"/>
      <c r="BHN7" s="239"/>
      <c r="BHO7" s="239"/>
      <c r="BHP7" s="239"/>
      <c r="BHQ7" s="239"/>
      <c r="BHR7" s="239"/>
      <c r="BHS7" s="239"/>
      <c r="BHT7" s="239"/>
      <c r="BHU7" s="239"/>
      <c r="BHV7" s="239"/>
      <c r="BHW7" s="239"/>
      <c r="BHX7" s="239"/>
      <c r="BHY7" s="239"/>
      <c r="BHZ7" s="239"/>
      <c r="BIA7" s="239"/>
      <c r="BIB7" s="239"/>
      <c r="BIC7" s="239"/>
      <c r="BID7" s="239"/>
      <c r="BIE7" s="239"/>
      <c r="BIF7" s="239"/>
      <c r="BIG7" s="239"/>
      <c r="BIH7" s="239"/>
      <c r="BII7" s="239"/>
      <c r="BIJ7" s="239"/>
      <c r="BIK7" s="239"/>
      <c r="BIL7" s="239"/>
      <c r="BIM7" s="239"/>
      <c r="BIN7" s="239"/>
      <c r="BIO7" s="239"/>
      <c r="BIP7" s="239"/>
      <c r="BIQ7" s="239"/>
      <c r="BIR7" s="239"/>
      <c r="BIS7" s="239"/>
      <c r="BIT7" s="239"/>
      <c r="BIU7" s="239"/>
      <c r="BIV7" s="239"/>
      <c r="BIW7" s="239"/>
      <c r="BIX7" s="239"/>
      <c r="BIY7" s="239"/>
      <c r="BIZ7" s="239"/>
      <c r="BJA7" s="239"/>
      <c r="BJB7" s="239"/>
      <c r="BJC7" s="239"/>
      <c r="BJD7" s="239"/>
      <c r="BJE7" s="239"/>
      <c r="BJF7" s="239"/>
      <c r="BJG7" s="239"/>
      <c r="BJH7" s="239"/>
      <c r="BJI7" s="239"/>
      <c r="BJJ7" s="239"/>
      <c r="BJK7" s="239"/>
      <c r="BJL7" s="239"/>
      <c r="BJM7" s="239"/>
      <c r="BJN7" s="239"/>
      <c r="BJO7" s="239"/>
      <c r="BJP7" s="239"/>
      <c r="BJQ7" s="239"/>
      <c r="BJR7" s="239"/>
      <c r="BJS7" s="239"/>
      <c r="BJT7" s="239"/>
      <c r="BJU7" s="239"/>
      <c r="BJV7" s="239"/>
      <c r="BJW7" s="239"/>
      <c r="BJX7" s="239"/>
      <c r="BJY7" s="239"/>
      <c r="BJZ7" s="239"/>
      <c r="BKA7" s="239"/>
      <c r="BKB7" s="239"/>
      <c r="BKC7" s="239"/>
      <c r="BKD7" s="239"/>
      <c r="BKE7" s="239"/>
      <c r="BKF7" s="239"/>
      <c r="BKG7" s="239"/>
      <c r="BKH7" s="239"/>
      <c r="BKI7" s="239"/>
      <c r="BKJ7" s="239"/>
      <c r="BKK7" s="239"/>
      <c r="BKL7" s="239"/>
      <c r="BKM7" s="239"/>
      <c r="BKN7" s="239"/>
      <c r="BKO7" s="239"/>
      <c r="BKP7" s="239"/>
      <c r="BKQ7" s="239"/>
      <c r="BKR7" s="239"/>
      <c r="BKS7" s="239"/>
      <c r="BKT7" s="239"/>
      <c r="BKU7" s="239"/>
      <c r="BKV7" s="239"/>
      <c r="BKW7" s="239"/>
      <c r="BKX7" s="239"/>
      <c r="BKY7" s="239"/>
      <c r="BKZ7" s="239"/>
      <c r="BLA7" s="239"/>
      <c r="BLB7" s="239"/>
      <c r="BLC7" s="239"/>
      <c r="BLD7" s="239"/>
      <c r="BLE7" s="239"/>
      <c r="BLF7" s="239"/>
      <c r="BLG7" s="239"/>
      <c r="BLH7" s="239"/>
      <c r="BLI7" s="239"/>
      <c r="BLJ7" s="239"/>
      <c r="BLK7" s="239"/>
      <c r="BLL7" s="239"/>
      <c r="BLM7" s="239"/>
      <c r="BLN7" s="239"/>
      <c r="BLO7" s="239"/>
      <c r="BLP7" s="239"/>
      <c r="BLQ7" s="239"/>
      <c r="BLR7" s="239"/>
      <c r="BLS7" s="239"/>
      <c r="BLT7" s="239"/>
      <c r="BLU7" s="239"/>
      <c r="BLV7" s="239"/>
      <c r="BLW7" s="239"/>
      <c r="BLX7" s="239"/>
      <c r="BLY7" s="239"/>
      <c r="BLZ7" s="239"/>
      <c r="BMA7" s="239"/>
      <c r="BMB7" s="239"/>
      <c r="BMC7" s="239"/>
      <c r="BMD7" s="239"/>
      <c r="BME7" s="239"/>
      <c r="BMF7" s="239"/>
      <c r="BMG7" s="239"/>
      <c r="BMH7" s="239"/>
      <c r="BMI7" s="239"/>
      <c r="BMJ7" s="239"/>
      <c r="BMK7" s="239"/>
      <c r="BML7" s="239"/>
      <c r="BMM7" s="239"/>
      <c r="BMN7" s="239"/>
      <c r="BMO7" s="239"/>
      <c r="BMP7" s="239"/>
      <c r="BMQ7" s="239"/>
      <c r="BMR7" s="239"/>
      <c r="BMS7" s="239"/>
      <c r="BMT7" s="239"/>
      <c r="BMU7" s="239"/>
      <c r="BMV7" s="239"/>
      <c r="BMW7" s="239"/>
      <c r="BMX7" s="239"/>
      <c r="BMY7" s="239"/>
      <c r="BMZ7" s="239"/>
      <c r="BNA7" s="239"/>
      <c r="BNB7" s="239"/>
      <c r="BNC7" s="239"/>
      <c r="BND7" s="239"/>
      <c r="BNE7" s="239"/>
      <c r="BNF7" s="239"/>
      <c r="BNG7" s="239"/>
      <c r="BNH7" s="239"/>
      <c r="BNI7" s="239"/>
      <c r="BNJ7" s="239"/>
      <c r="BNK7" s="239"/>
      <c r="BNL7" s="239"/>
      <c r="BNM7" s="239"/>
      <c r="BNN7" s="239"/>
      <c r="BNO7" s="239"/>
      <c r="BNP7" s="239"/>
      <c r="BNQ7" s="239"/>
      <c r="BNR7" s="239"/>
      <c r="BNS7" s="239"/>
      <c r="BNT7" s="239"/>
      <c r="BNU7" s="239"/>
      <c r="BNV7" s="239"/>
      <c r="BNW7" s="239"/>
      <c r="BNX7" s="239"/>
      <c r="BNY7" s="239"/>
      <c r="BNZ7" s="239"/>
      <c r="BOA7" s="239"/>
      <c r="BOB7" s="239"/>
      <c r="BOC7" s="239"/>
      <c r="BOD7" s="239"/>
      <c r="BOE7" s="239"/>
      <c r="BOF7" s="239"/>
      <c r="BOG7" s="239"/>
      <c r="BOH7" s="239"/>
      <c r="BOI7" s="239"/>
      <c r="BOJ7" s="239"/>
      <c r="BOK7" s="239"/>
      <c r="BOL7" s="239"/>
      <c r="BOM7" s="239"/>
      <c r="BON7" s="239"/>
      <c r="BOO7" s="239"/>
      <c r="BOP7" s="239"/>
      <c r="BOQ7" s="239"/>
      <c r="BOR7" s="239"/>
      <c r="BOS7" s="239"/>
      <c r="BOT7" s="239"/>
      <c r="BOU7" s="239"/>
      <c r="BOV7" s="239"/>
      <c r="BOW7" s="239"/>
      <c r="BOX7" s="239"/>
      <c r="BOY7" s="239"/>
      <c r="BOZ7" s="239"/>
      <c r="BPA7" s="239"/>
      <c r="BPB7" s="239"/>
      <c r="BPC7" s="239"/>
      <c r="BPD7" s="239"/>
      <c r="BPE7" s="239"/>
      <c r="BPF7" s="239"/>
      <c r="BPG7" s="239"/>
      <c r="BPH7" s="239"/>
      <c r="BPI7" s="239"/>
      <c r="BPJ7" s="239"/>
      <c r="BPK7" s="239"/>
      <c r="BPL7" s="239"/>
      <c r="BPM7" s="239"/>
      <c r="BPN7" s="239"/>
      <c r="BPO7" s="239"/>
      <c r="BPP7" s="239"/>
      <c r="BPQ7" s="239"/>
      <c r="BPR7" s="239"/>
      <c r="BPS7" s="239"/>
      <c r="BPT7" s="239"/>
      <c r="BPU7" s="239"/>
      <c r="BPV7" s="239"/>
      <c r="BPW7" s="239"/>
      <c r="BPX7" s="239"/>
      <c r="BPY7" s="239"/>
      <c r="BPZ7" s="239"/>
      <c r="BQA7" s="239"/>
      <c r="BQB7" s="239"/>
      <c r="BQC7" s="239"/>
      <c r="BQD7" s="239"/>
      <c r="BQE7" s="239"/>
      <c r="BQF7" s="239"/>
      <c r="BQG7" s="239"/>
      <c r="BQH7" s="239"/>
      <c r="BQI7" s="239"/>
      <c r="BQJ7" s="239"/>
      <c r="BQK7" s="239"/>
      <c r="BQL7" s="239"/>
      <c r="BQM7" s="239"/>
      <c r="BQN7" s="239"/>
      <c r="BQO7" s="239"/>
      <c r="BQP7" s="239"/>
      <c r="BQQ7" s="239"/>
      <c r="BQR7" s="239"/>
      <c r="BQS7" s="239"/>
      <c r="BQT7" s="239"/>
      <c r="BQU7" s="239"/>
      <c r="BQV7" s="239"/>
      <c r="BQW7" s="239"/>
      <c r="BQX7" s="239"/>
      <c r="BQY7" s="239"/>
      <c r="BQZ7" s="239"/>
      <c r="BRA7" s="239"/>
      <c r="BRB7" s="239"/>
      <c r="BRC7" s="239"/>
      <c r="BRD7" s="239"/>
      <c r="BRE7" s="239"/>
      <c r="BRF7" s="239"/>
      <c r="BRG7" s="239"/>
      <c r="BRH7" s="239"/>
      <c r="BRI7" s="239"/>
      <c r="BRJ7" s="239"/>
      <c r="BRK7" s="239"/>
      <c r="BRL7" s="239"/>
      <c r="BRM7" s="239"/>
      <c r="BRN7" s="239"/>
      <c r="BRO7" s="239"/>
      <c r="BRP7" s="239"/>
      <c r="BRQ7" s="239"/>
      <c r="BRR7" s="239"/>
      <c r="BRS7" s="239"/>
      <c r="BRT7" s="239"/>
      <c r="BRU7" s="239"/>
      <c r="BRV7" s="239"/>
      <c r="BRW7" s="239"/>
      <c r="BRX7" s="239"/>
      <c r="BRY7" s="239"/>
      <c r="BRZ7" s="239"/>
      <c r="BSA7" s="239"/>
      <c r="BSB7" s="239"/>
      <c r="BSC7" s="239"/>
      <c r="BSD7" s="239"/>
      <c r="BSE7" s="239"/>
      <c r="BSF7" s="239"/>
      <c r="BSG7" s="239"/>
      <c r="BSH7" s="239"/>
      <c r="BSI7" s="239"/>
      <c r="BSJ7" s="239"/>
      <c r="BSK7" s="239"/>
      <c r="BSL7" s="239"/>
      <c r="BSM7" s="239"/>
      <c r="BSN7" s="239"/>
      <c r="BSO7" s="239"/>
      <c r="BSP7" s="239"/>
      <c r="BSQ7" s="239"/>
      <c r="BSR7" s="239"/>
      <c r="BSS7" s="239"/>
      <c r="BST7" s="239"/>
      <c r="BSU7" s="239"/>
      <c r="BSV7" s="239"/>
      <c r="BSW7" s="239"/>
      <c r="BSX7" s="239"/>
      <c r="BSY7" s="239"/>
      <c r="BSZ7" s="239"/>
      <c r="BTA7" s="239"/>
      <c r="BTB7" s="239"/>
      <c r="BTC7" s="239"/>
      <c r="BTD7" s="239"/>
      <c r="BTE7" s="239"/>
      <c r="BTF7" s="239"/>
      <c r="BTG7" s="239"/>
      <c r="BTH7" s="239"/>
      <c r="BTI7" s="239"/>
      <c r="BTJ7" s="239"/>
      <c r="BTK7" s="239"/>
      <c r="BTL7" s="239"/>
      <c r="BTM7" s="239"/>
      <c r="BTN7" s="239"/>
      <c r="BTO7" s="239"/>
      <c r="BTP7" s="239"/>
      <c r="BTQ7" s="239"/>
      <c r="BTR7" s="239"/>
      <c r="BTS7" s="239"/>
      <c r="BTT7" s="239"/>
      <c r="BTU7" s="239"/>
      <c r="BTV7" s="239"/>
      <c r="BTW7" s="239"/>
      <c r="BTX7" s="239"/>
      <c r="BTY7" s="239"/>
      <c r="BTZ7" s="239"/>
      <c r="BUA7" s="239"/>
      <c r="BUB7" s="239"/>
      <c r="BUC7" s="239"/>
      <c r="BUD7" s="239"/>
      <c r="BUE7" s="239"/>
      <c r="BUF7" s="239"/>
      <c r="BUG7" s="239"/>
      <c r="BUH7" s="239"/>
      <c r="BUI7" s="239"/>
      <c r="BUJ7" s="239"/>
      <c r="BUK7" s="239"/>
      <c r="BUL7" s="239"/>
      <c r="BUM7" s="239"/>
      <c r="BUN7" s="239"/>
      <c r="BUO7" s="239"/>
      <c r="BUP7" s="239"/>
      <c r="BUQ7" s="239"/>
      <c r="BUR7" s="239"/>
      <c r="BUS7" s="239"/>
      <c r="BUT7" s="239"/>
      <c r="BUU7" s="239"/>
      <c r="BUV7" s="239"/>
      <c r="BUW7" s="239"/>
      <c r="BUX7" s="239"/>
      <c r="BUY7" s="239"/>
      <c r="BUZ7" s="239"/>
      <c r="BVA7" s="239"/>
      <c r="BVB7" s="239"/>
      <c r="BVC7" s="239"/>
      <c r="BVD7" s="239"/>
      <c r="BVE7" s="239"/>
      <c r="BVF7" s="239"/>
      <c r="BVG7" s="239"/>
      <c r="BVH7" s="239"/>
      <c r="BVI7" s="239"/>
      <c r="BVJ7" s="239"/>
      <c r="BVK7" s="239"/>
      <c r="BVL7" s="239"/>
      <c r="BVM7" s="239"/>
      <c r="BVN7" s="239"/>
      <c r="BVO7" s="239"/>
      <c r="BVP7" s="239"/>
      <c r="BVQ7" s="239"/>
      <c r="BVR7" s="239"/>
      <c r="BVS7" s="239"/>
      <c r="BVT7" s="239"/>
      <c r="BVU7" s="239"/>
      <c r="BVV7" s="239"/>
      <c r="BVW7" s="239"/>
      <c r="BVX7" s="239"/>
      <c r="BVY7" s="239"/>
      <c r="BVZ7" s="239"/>
      <c r="BWA7" s="239"/>
      <c r="BWB7" s="239"/>
      <c r="BWC7" s="239"/>
      <c r="BWD7" s="239"/>
      <c r="BWE7" s="239"/>
      <c r="BWF7" s="239"/>
      <c r="BWG7" s="239"/>
      <c r="BWH7" s="239"/>
      <c r="BWI7" s="239"/>
      <c r="BWJ7" s="239"/>
      <c r="BWK7" s="239"/>
      <c r="BWL7" s="239"/>
      <c r="BWM7" s="239"/>
      <c r="BWN7" s="239"/>
      <c r="BWO7" s="239"/>
      <c r="BWP7" s="239"/>
      <c r="BWQ7" s="239"/>
      <c r="BWR7" s="239"/>
      <c r="BWS7" s="239"/>
      <c r="BWT7" s="239"/>
      <c r="BWU7" s="239"/>
      <c r="BWV7" s="239"/>
      <c r="BWW7" s="239"/>
      <c r="BWX7" s="239"/>
      <c r="BWY7" s="239"/>
      <c r="BWZ7" s="239"/>
      <c r="BXA7" s="239"/>
      <c r="BXB7" s="239"/>
      <c r="BXC7" s="239"/>
      <c r="BXD7" s="239"/>
      <c r="BXE7" s="239"/>
      <c r="BXF7" s="239"/>
      <c r="BXG7" s="239"/>
      <c r="BXH7" s="239"/>
      <c r="BXI7" s="239"/>
      <c r="BXJ7" s="239"/>
      <c r="BXK7" s="239"/>
      <c r="BXL7" s="239"/>
      <c r="BXM7" s="239"/>
      <c r="BXN7" s="239"/>
      <c r="BXO7" s="239"/>
      <c r="BXP7" s="239"/>
      <c r="BXQ7" s="239"/>
      <c r="BXR7" s="239"/>
      <c r="BXS7" s="239"/>
      <c r="BXT7" s="239"/>
      <c r="BXU7" s="239"/>
      <c r="BXV7" s="239"/>
      <c r="BXW7" s="239"/>
      <c r="BXX7" s="239"/>
      <c r="BXY7" s="239"/>
      <c r="BXZ7" s="239"/>
      <c r="BYA7" s="239"/>
      <c r="BYB7" s="239"/>
      <c r="BYC7" s="239"/>
      <c r="BYD7" s="239"/>
      <c r="BYE7" s="239"/>
      <c r="BYF7" s="239"/>
      <c r="BYG7" s="239"/>
      <c r="BYH7" s="239"/>
      <c r="BYI7" s="239"/>
      <c r="BYJ7" s="239"/>
      <c r="BYK7" s="239"/>
      <c r="BYL7" s="239"/>
      <c r="BYM7" s="239"/>
      <c r="BYN7" s="239"/>
      <c r="BYO7" s="239"/>
      <c r="BYP7" s="239"/>
      <c r="BYQ7" s="239"/>
      <c r="BYR7" s="239"/>
      <c r="BYS7" s="239"/>
      <c r="BYT7" s="239"/>
      <c r="BYU7" s="239"/>
      <c r="BYV7" s="239"/>
      <c r="BYW7" s="239"/>
      <c r="BYX7" s="239"/>
      <c r="BYY7" s="239"/>
      <c r="BYZ7" s="239"/>
      <c r="BZA7" s="239"/>
      <c r="BZB7" s="239"/>
      <c r="BZC7" s="239"/>
      <c r="BZD7" s="239"/>
      <c r="BZE7" s="239"/>
      <c r="BZF7" s="239"/>
      <c r="BZG7" s="239"/>
      <c r="BZH7" s="239"/>
      <c r="BZI7" s="239"/>
      <c r="BZJ7" s="239"/>
      <c r="BZK7" s="239"/>
      <c r="BZL7" s="239"/>
      <c r="BZM7" s="239"/>
      <c r="BZN7" s="239"/>
      <c r="BZO7" s="239"/>
      <c r="BZP7" s="239"/>
      <c r="BZQ7" s="239"/>
      <c r="BZR7" s="239"/>
      <c r="BZS7" s="239"/>
      <c r="BZT7" s="239"/>
      <c r="BZU7" s="239"/>
      <c r="BZV7" s="239"/>
      <c r="BZW7" s="239"/>
      <c r="BZX7" s="239"/>
      <c r="BZY7" s="239"/>
      <c r="BZZ7" s="239"/>
      <c r="CAA7" s="239"/>
      <c r="CAB7" s="239"/>
      <c r="CAC7" s="239"/>
      <c r="CAD7" s="239"/>
      <c r="CAE7" s="239"/>
      <c r="CAF7" s="239"/>
      <c r="CAG7" s="239"/>
      <c r="CAH7" s="239"/>
      <c r="CAI7" s="239"/>
      <c r="CAJ7" s="239"/>
      <c r="CAK7" s="239"/>
      <c r="CAL7" s="239"/>
      <c r="CAM7" s="239"/>
      <c r="CAN7" s="239"/>
      <c r="CAO7" s="239"/>
      <c r="CAP7" s="239"/>
      <c r="CAQ7" s="239"/>
      <c r="CAR7" s="239"/>
      <c r="CAS7" s="239"/>
      <c r="CAT7" s="239"/>
      <c r="CAU7" s="239"/>
      <c r="CAV7" s="239"/>
      <c r="CAW7" s="239"/>
      <c r="CAX7" s="239"/>
      <c r="CAY7" s="239"/>
      <c r="CAZ7" s="239"/>
      <c r="CBA7" s="239"/>
      <c r="CBB7" s="239"/>
      <c r="CBC7" s="239"/>
      <c r="CBD7" s="239"/>
      <c r="CBE7" s="239"/>
      <c r="CBF7" s="239"/>
      <c r="CBG7" s="239"/>
      <c r="CBH7" s="239"/>
      <c r="CBI7" s="239"/>
      <c r="CBJ7" s="239"/>
      <c r="CBK7" s="239"/>
      <c r="CBL7" s="239"/>
      <c r="CBM7" s="239"/>
      <c r="CBN7" s="239"/>
      <c r="CBO7" s="239"/>
      <c r="CBP7" s="239"/>
      <c r="CBQ7" s="239"/>
      <c r="CBR7" s="239"/>
      <c r="CBS7" s="239"/>
      <c r="CBT7" s="239"/>
      <c r="CBU7" s="239"/>
      <c r="CBV7" s="239"/>
      <c r="CBW7" s="239"/>
      <c r="CBX7" s="239"/>
      <c r="CBY7" s="239"/>
      <c r="CBZ7" s="239"/>
      <c r="CCA7" s="239"/>
      <c r="CCB7" s="239"/>
      <c r="CCC7" s="239"/>
      <c r="CCD7" s="239"/>
      <c r="CCE7" s="239"/>
      <c r="CCF7" s="239"/>
      <c r="CCG7" s="239"/>
      <c r="CCH7" s="239"/>
      <c r="CCI7" s="239"/>
      <c r="CCJ7" s="239"/>
      <c r="CCK7" s="239"/>
      <c r="CCL7" s="239"/>
      <c r="CCM7" s="239"/>
      <c r="CCN7" s="239"/>
      <c r="CCO7" s="239"/>
      <c r="CCP7" s="239"/>
      <c r="CCQ7" s="239"/>
      <c r="CCR7" s="239"/>
      <c r="CCS7" s="239"/>
      <c r="CCT7" s="239"/>
      <c r="CCU7" s="239"/>
      <c r="CCV7" s="239"/>
      <c r="CCW7" s="239"/>
      <c r="CCX7" s="239"/>
      <c r="CCY7" s="239"/>
      <c r="CCZ7" s="239"/>
      <c r="CDA7" s="239"/>
      <c r="CDB7" s="239"/>
      <c r="CDC7" s="239"/>
      <c r="CDD7" s="239"/>
      <c r="CDE7" s="239"/>
      <c r="CDF7" s="239"/>
      <c r="CDG7" s="239"/>
      <c r="CDH7" s="239"/>
      <c r="CDI7" s="239"/>
      <c r="CDJ7" s="239"/>
      <c r="CDK7" s="239"/>
      <c r="CDL7" s="239"/>
      <c r="CDM7" s="239"/>
      <c r="CDN7" s="239"/>
      <c r="CDO7" s="239"/>
      <c r="CDP7" s="239"/>
      <c r="CDQ7" s="239"/>
      <c r="CDR7" s="239"/>
      <c r="CDS7" s="239"/>
      <c r="CDT7" s="239"/>
      <c r="CDU7" s="239"/>
      <c r="CDV7" s="239"/>
      <c r="CDW7" s="239"/>
      <c r="CDX7" s="239"/>
      <c r="CDY7" s="239"/>
      <c r="CDZ7" s="239"/>
      <c r="CEA7" s="239"/>
      <c r="CEB7" s="239"/>
      <c r="CEC7" s="239"/>
      <c r="CED7" s="239"/>
      <c r="CEE7" s="239"/>
      <c r="CEF7" s="239"/>
      <c r="CEG7" s="239"/>
      <c r="CEH7" s="239"/>
      <c r="CEI7" s="239"/>
      <c r="CEJ7" s="239"/>
      <c r="CEK7" s="239"/>
      <c r="CEL7" s="239"/>
      <c r="CEM7" s="239"/>
      <c r="CEN7" s="239"/>
      <c r="CEO7" s="239"/>
      <c r="CEP7" s="239"/>
      <c r="CEQ7" s="239"/>
      <c r="CER7" s="239"/>
      <c r="CES7" s="239"/>
      <c r="CET7" s="239"/>
      <c r="CEU7" s="239"/>
      <c r="CEV7" s="239"/>
      <c r="CEW7" s="239"/>
      <c r="CEX7" s="239"/>
      <c r="CEY7" s="239"/>
      <c r="CEZ7" s="239"/>
      <c r="CFA7" s="239"/>
      <c r="CFB7" s="239"/>
      <c r="CFC7" s="239"/>
      <c r="CFD7" s="239"/>
      <c r="CFE7" s="239"/>
      <c r="CFF7" s="239"/>
      <c r="CFG7" s="239"/>
      <c r="CFH7" s="239"/>
      <c r="CFI7" s="239"/>
      <c r="CFJ7" s="239"/>
      <c r="CFK7" s="239"/>
      <c r="CFL7" s="239"/>
      <c r="CFM7" s="239"/>
      <c r="CFN7" s="239"/>
      <c r="CFO7" s="239"/>
      <c r="CFP7" s="239"/>
      <c r="CFQ7" s="239"/>
      <c r="CFR7" s="239"/>
      <c r="CFS7" s="239"/>
      <c r="CFT7" s="239"/>
      <c r="CFU7" s="239"/>
      <c r="CFV7" s="239"/>
      <c r="CFW7" s="239"/>
      <c r="CFX7" s="239"/>
      <c r="CFY7" s="239"/>
      <c r="CFZ7" s="239"/>
      <c r="CGA7" s="239"/>
      <c r="CGB7" s="239"/>
      <c r="CGC7" s="239"/>
      <c r="CGD7" s="239"/>
      <c r="CGE7" s="239"/>
      <c r="CGF7" s="239"/>
      <c r="CGG7" s="239"/>
      <c r="CGH7" s="239"/>
      <c r="CGI7" s="239"/>
      <c r="CGJ7" s="239"/>
      <c r="CGK7" s="239"/>
      <c r="CGL7" s="239"/>
      <c r="CGM7" s="239"/>
      <c r="CGN7" s="239"/>
      <c r="CGO7" s="239"/>
      <c r="CGP7" s="239"/>
      <c r="CGQ7" s="239"/>
      <c r="CGR7" s="239"/>
      <c r="CGS7" s="239"/>
      <c r="CGT7" s="239"/>
      <c r="CGU7" s="239"/>
      <c r="CGV7" s="239"/>
      <c r="CGW7" s="239"/>
      <c r="CGX7" s="239"/>
      <c r="CGY7" s="239"/>
      <c r="CGZ7" s="239"/>
      <c r="CHA7" s="239"/>
      <c r="CHB7" s="239"/>
      <c r="CHC7" s="239"/>
      <c r="CHD7" s="239"/>
      <c r="CHE7" s="239"/>
      <c r="CHF7" s="239"/>
      <c r="CHG7" s="239"/>
      <c r="CHH7" s="239"/>
      <c r="CHI7" s="239"/>
      <c r="CHJ7" s="239"/>
      <c r="CHK7" s="239"/>
      <c r="CHL7" s="239"/>
      <c r="CHM7" s="239"/>
      <c r="CHN7" s="239"/>
      <c r="CHO7" s="239"/>
      <c r="CHP7" s="239"/>
      <c r="CHQ7" s="239"/>
      <c r="CHR7" s="239"/>
      <c r="CHS7" s="239"/>
      <c r="CHT7" s="239"/>
      <c r="CHU7" s="239"/>
      <c r="CHV7" s="239"/>
      <c r="CHW7" s="239"/>
      <c r="CHX7" s="239"/>
      <c r="CHY7" s="239"/>
      <c r="CHZ7" s="239"/>
      <c r="CIA7" s="239"/>
      <c r="CIB7" s="239"/>
      <c r="CIC7" s="239"/>
      <c r="CID7" s="239"/>
      <c r="CIE7" s="239"/>
      <c r="CIF7" s="239"/>
      <c r="CIG7" s="239"/>
      <c r="CIH7" s="239"/>
      <c r="CII7" s="239"/>
      <c r="CIJ7" s="239"/>
      <c r="CIK7" s="239"/>
      <c r="CIL7" s="239"/>
      <c r="CIM7" s="239"/>
      <c r="CIN7" s="239"/>
      <c r="CIO7" s="239"/>
      <c r="CIP7" s="239"/>
      <c r="CIQ7" s="239"/>
      <c r="CIR7" s="239"/>
      <c r="CIS7" s="239"/>
      <c r="CIT7" s="239"/>
      <c r="CIU7" s="239"/>
      <c r="CIV7" s="239"/>
      <c r="CIW7" s="239"/>
      <c r="CIX7" s="239"/>
      <c r="CIY7" s="239"/>
      <c r="CIZ7" s="239"/>
      <c r="CJA7" s="239"/>
      <c r="CJB7" s="239"/>
      <c r="CJC7" s="239"/>
      <c r="CJD7" s="239"/>
      <c r="CJE7" s="239"/>
      <c r="CJF7" s="239"/>
      <c r="CJG7" s="239"/>
      <c r="CJH7" s="239"/>
      <c r="CJI7" s="239"/>
      <c r="CJJ7" s="239"/>
      <c r="CJK7" s="239"/>
      <c r="CJL7" s="239"/>
      <c r="CJM7" s="239"/>
      <c r="CJN7" s="239"/>
      <c r="CJO7" s="239"/>
      <c r="CJP7" s="239"/>
      <c r="CJQ7" s="239"/>
      <c r="CJR7" s="239"/>
      <c r="CJS7" s="239"/>
      <c r="CJT7" s="239"/>
      <c r="CJU7" s="239"/>
      <c r="CJV7" s="239"/>
      <c r="CJW7" s="239"/>
      <c r="CJX7" s="239"/>
      <c r="CJY7" s="239"/>
      <c r="CJZ7" s="239"/>
      <c r="CKA7" s="239"/>
      <c r="CKB7" s="239"/>
      <c r="CKC7" s="239"/>
      <c r="CKD7" s="239"/>
      <c r="CKE7" s="239"/>
      <c r="CKF7" s="239"/>
      <c r="CKG7" s="239"/>
      <c r="CKH7" s="239"/>
      <c r="CKI7" s="239"/>
      <c r="CKJ7" s="239"/>
      <c r="CKK7" s="239"/>
      <c r="CKL7" s="239"/>
      <c r="CKM7" s="239"/>
      <c r="CKN7" s="239"/>
      <c r="CKO7" s="239"/>
      <c r="CKP7" s="239"/>
      <c r="CKQ7" s="239"/>
      <c r="CKR7" s="239"/>
      <c r="CKS7" s="239"/>
      <c r="CKT7" s="239"/>
      <c r="CKU7" s="239"/>
      <c r="CKV7" s="239"/>
      <c r="CKW7" s="239"/>
      <c r="CKX7" s="239"/>
      <c r="CKY7" s="239"/>
      <c r="CKZ7" s="239"/>
      <c r="CLA7" s="239"/>
      <c r="CLB7" s="239"/>
      <c r="CLC7" s="239"/>
      <c r="CLD7" s="239"/>
      <c r="CLE7" s="239"/>
      <c r="CLF7" s="239"/>
    </row>
    <row r="8" spans="1:8915" s="47" customFormat="1" hidden="1">
      <c r="A8" s="52"/>
      <c r="B8" s="101">
        <v>45751</v>
      </c>
      <c r="C8" s="101" t="s">
        <v>196</v>
      </c>
      <c r="D8" s="119">
        <v>3728.8160000002226</v>
      </c>
      <c r="E8" s="119">
        <v>5121.1776000001582</v>
      </c>
      <c r="F8" s="119">
        <v>663</v>
      </c>
      <c r="G8" s="119">
        <v>679.69999999995343</v>
      </c>
      <c r="H8" s="119">
        <v>882.31000000000495</v>
      </c>
      <c r="I8" s="119">
        <v>644.17000000000189</v>
      </c>
      <c r="J8" s="119">
        <v>1522.8576000000116</v>
      </c>
      <c r="K8" s="119">
        <v>1988.1752000000151</v>
      </c>
      <c r="L8" s="119">
        <v>9788.2700000004297</v>
      </c>
      <c r="M8" s="119">
        <v>849.37000000011176</v>
      </c>
      <c r="N8" s="119">
        <v>467.97</v>
      </c>
      <c r="O8" s="119">
        <v>2011.950999999041</v>
      </c>
      <c r="P8" s="141">
        <f t="shared" si="0"/>
        <v>28347.76739999995</v>
      </c>
      <c r="Q8" s="119">
        <v>13508.11999999999</v>
      </c>
      <c r="R8" s="119">
        <v>22562.355400000066</v>
      </c>
      <c r="S8" s="119">
        <v>1331.3006500000452</v>
      </c>
      <c r="T8" s="119">
        <v>1625.7751500000882</v>
      </c>
      <c r="U8" s="119">
        <v>2515.8373999998958</v>
      </c>
      <c r="V8" s="141">
        <f>SUM(P8:S8)+T8+U8</f>
        <v>69891.156000000046</v>
      </c>
      <c r="W8" s="81"/>
      <c r="X8" s="262">
        <f>Summary!K8</f>
        <v>69891.156000000061</v>
      </c>
      <c r="Y8" s="239"/>
      <c r="Z8" s="281">
        <f t="shared" si="2"/>
        <v>0</v>
      </c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  <c r="AT8" s="239"/>
      <c r="AU8" s="239"/>
      <c r="AV8" s="239"/>
      <c r="AW8" s="239"/>
      <c r="AX8" s="239"/>
      <c r="AY8" s="239"/>
      <c r="AZ8" s="239"/>
      <c r="BA8" s="239"/>
      <c r="BB8" s="239"/>
      <c r="BC8" s="239"/>
      <c r="BD8" s="239"/>
      <c r="BE8" s="239"/>
      <c r="BF8" s="239"/>
      <c r="BG8" s="239"/>
      <c r="BH8" s="239"/>
      <c r="BI8" s="239"/>
      <c r="BJ8" s="239"/>
      <c r="BK8" s="239"/>
      <c r="BL8" s="239"/>
      <c r="BM8" s="239"/>
      <c r="BN8" s="239"/>
      <c r="BO8" s="239"/>
      <c r="BP8" s="239"/>
      <c r="BQ8" s="239"/>
      <c r="BR8" s="239"/>
      <c r="BS8" s="239"/>
      <c r="BT8" s="239"/>
      <c r="BU8" s="239"/>
      <c r="BV8" s="239"/>
      <c r="BW8" s="239"/>
      <c r="BX8" s="239"/>
      <c r="BY8" s="239"/>
      <c r="BZ8" s="239"/>
      <c r="CA8" s="239"/>
      <c r="CB8" s="239"/>
      <c r="CC8" s="239"/>
      <c r="CD8" s="239"/>
      <c r="CE8" s="239"/>
      <c r="CF8" s="239"/>
      <c r="CG8" s="239"/>
      <c r="CH8" s="239"/>
      <c r="CI8" s="239"/>
      <c r="CJ8" s="239"/>
      <c r="CK8" s="239"/>
      <c r="CL8" s="239"/>
      <c r="CM8" s="239"/>
      <c r="CN8" s="239"/>
      <c r="CO8" s="239"/>
      <c r="CP8" s="239"/>
      <c r="CQ8" s="239"/>
      <c r="CR8" s="239"/>
      <c r="CS8" s="239"/>
      <c r="CT8" s="239"/>
      <c r="CU8" s="239"/>
      <c r="CV8" s="239"/>
      <c r="CW8" s="239"/>
      <c r="CX8" s="239"/>
      <c r="CY8" s="239"/>
      <c r="CZ8" s="239"/>
      <c r="DA8" s="239"/>
      <c r="DB8" s="239"/>
      <c r="DC8" s="239"/>
      <c r="DD8" s="239"/>
      <c r="DE8" s="239"/>
      <c r="DF8" s="239"/>
      <c r="DG8" s="239"/>
      <c r="DH8" s="239"/>
      <c r="DI8" s="239"/>
      <c r="DJ8" s="239"/>
      <c r="DK8" s="239"/>
      <c r="DL8" s="239"/>
      <c r="DM8" s="239"/>
      <c r="DN8" s="239"/>
      <c r="DO8" s="239"/>
      <c r="DP8" s="239"/>
      <c r="DQ8" s="239"/>
      <c r="DR8" s="239"/>
      <c r="DS8" s="239"/>
      <c r="DT8" s="239"/>
      <c r="DU8" s="239"/>
      <c r="DV8" s="239"/>
      <c r="DW8" s="239"/>
      <c r="DX8" s="239"/>
      <c r="DY8" s="239"/>
      <c r="DZ8" s="239"/>
      <c r="EA8" s="239"/>
      <c r="EB8" s="239"/>
      <c r="EC8" s="239"/>
      <c r="ED8" s="239"/>
      <c r="EE8" s="239"/>
      <c r="EF8" s="239"/>
      <c r="EG8" s="239"/>
      <c r="EH8" s="239"/>
      <c r="EI8" s="239"/>
      <c r="EJ8" s="239"/>
      <c r="EK8" s="239"/>
      <c r="EL8" s="239"/>
      <c r="EM8" s="239"/>
      <c r="EN8" s="239"/>
      <c r="EO8" s="239"/>
      <c r="EP8" s="239"/>
      <c r="EQ8" s="239"/>
      <c r="ER8" s="239"/>
      <c r="ES8" s="239"/>
      <c r="ET8" s="239"/>
      <c r="EU8" s="239"/>
      <c r="EV8" s="239"/>
      <c r="EW8" s="239"/>
      <c r="EX8" s="239"/>
      <c r="EY8" s="239"/>
      <c r="EZ8" s="239"/>
      <c r="FA8" s="239"/>
      <c r="FB8" s="239"/>
      <c r="FC8" s="239"/>
      <c r="FD8" s="239"/>
      <c r="FE8" s="239"/>
      <c r="FF8" s="239"/>
      <c r="FG8" s="239"/>
      <c r="FH8" s="239"/>
      <c r="FI8" s="239"/>
      <c r="FJ8" s="239"/>
      <c r="FK8" s="239"/>
      <c r="FL8" s="239"/>
      <c r="FM8" s="239"/>
      <c r="FN8" s="239"/>
      <c r="FO8" s="239"/>
      <c r="FP8" s="239"/>
      <c r="FQ8" s="239"/>
      <c r="FR8" s="239"/>
      <c r="FS8" s="239"/>
      <c r="FT8" s="239"/>
      <c r="FU8" s="239"/>
      <c r="FV8" s="239"/>
      <c r="FW8" s="239"/>
      <c r="FX8" s="239"/>
      <c r="FY8" s="239"/>
      <c r="FZ8" s="239"/>
      <c r="GA8" s="239"/>
      <c r="GB8" s="239"/>
      <c r="GC8" s="239"/>
      <c r="GD8" s="239"/>
      <c r="GE8" s="239"/>
      <c r="GF8" s="239"/>
      <c r="GG8" s="239"/>
      <c r="GH8" s="239"/>
      <c r="GI8" s="239"/>
      <c r="GJ8" s="239"/>
      <c r="GK8" s="239"/>
      <c r="GL8" s="239"/>
      <c r="GM8" s="239"/>
      <c r="GN8" s="239"/>
      <c r="GO8" s="239"/>
      <c r="GP8" s="239"/>
      <c r="GQ8" s="239"/>
      <c r="GR8" s="239"/>
      <c r="GS8" s="239"/>
      <c r="GT8" s="239"/>
      <c r="GU8" s="239"/>
      <c r="GV8" s="239"/>
      <c r="GW8" s="239"/>
      <c r="GX8" s="239"/>
      <c r="GY8" s="239"/>
      <c r="GZ8" s="239"/>
      <c r="HA8" s="239"/>
      <c r="HB8" s="239"/>
      <c r="HC8" s="239"/>
      <c r="HD8" s="239"/>
      <c r="HE8" s="239"/>
      <c r="HF8" s="239"/>
      <c r="HG8" s="239"/>
      <c r="HH8" s="239"/>
      <c r="HI8" s="239"/>
      <c r="HJ8" s="239"/>
      <c r="HK8" s="239"/>
      <c r="HL8" s="239"/>
      <c r="HM8" s="239"/>
      <c r="HN8" s="239"/>
      <c r="HO8" s="239"/>
      <c r="HP8" s="239"/>
      <c r="HQ8" s="239"/>
      <c r="HR8" s="239"/>
      <c r="HS8" s="239"/>
      <c r="HT8" s="239"/>
      <c r="HU8" s="239"/>
      <c r="HV8" s="239"/>
      <c r="HW8" s="239"/>
      <c r="HX8" s="239"/>
      <c r="HY8" s="239"/>
      <c r="HZ8" s="239"/>
      <c r="IA8" s="239"/>
      <c r="IB8" s="239"/>
      <c r="IC8" s="239"/>
      <c r="ID8" s="239"/>
      <c r="IE8" s="239"/>
      <c r="IF8" s="239"/>
      <c r="IG8" s="239"/>
      <c r="IH8" s="239"/>
      <c r="II8" s="239"/>
      <c r="IJ8" s="239"/>
      <c r="IK8" s="239"/>
      <c r="IL8" s="239"/>
      <c r="IM8" s="239"/>
      <c r="IN8" s="239"/>
      <c r="IO8" s="239"/>
      <c r="IP8" s="239"/>
      <c r="IQ8" s="239"/>
      <c r="IR8" s="239"/>
      <c r="IS8" s="239"/>
      <c r="IT8" s="239"/>
      <c r="IU8" s="239"/>
      <c r="IV8" s="239"/>
      <c r="IW8" s="239"/>
      <c r="IX8" s="239"/>
      <c r="IY8" s="239"/>
      <c r="IZ8" s="239"/>
      <c r="JA8" s="239"/>
      <c r="JB8" s="239"/>
      <c r="JC8" s="239"/>
      <c r="JD8" s="239"/>
      <c r="JE8" s="239"/>
      <c r="JF8" s="239"/>
      <c r="JG8" s="239"/>
      <c r="JH8" s="239"/>
      <c r="JI8" s="239"/>
      <c r="JJ8" s="239"/>
      <c r="JK8" s="239"/>
      <c r="JL8" s="239"/>
      <c r="JM8" s="239"/>
      <c r="JN8" s="239"/>
      <c r="JO8" s="239"/>
      <c r="JP8" s="239"/>
      <c r="JQ8" s="239"/>
      <c r="JR8" s="239"/>
      <c r="JS8" s="239"/>
      <c r="JT8" s="239"/>
      <c r="JU8" s="239"/>
      <c r="JV8" s="239"/>
      <c r="JW8" s="239"/>
      <c r="JX8" s="239"/>
      <c r="JY8" s="239"/>
      <c r="JZ8" s="239"/>
      <c r="KA8" s="239"/>
      <c r="KB8" s="239"/>
      <c r="KC8" s="239"/>
      <c r="KD8" s="239"/>
      <c r="KE8" s="239"/>
      <c r="KF8" s="239"/>
      <c r="KG8" s="239"/>
      <c r="KH8" s="239"/>
      <c r="KI8" s="239"/>
      <c r="KJ8" s="239"/>
      <c r="KK8" s="239"/>
      <c r="KL8" s="239"/>
      <c r="KM8" s="239"/>
      <c r="KN8" s="239"/>
      <c r="KO8" s="239"/>
      <c r="KP8" s="239"/>
      <c r="KQ8" s="239"/>
      <c r="KR8" s="239"/>
      <c r="KS8" s="239"/>
      <c r="KT8" s="239"/>
      <c r="KU8" s="239"/>
      <c r="KV8" s="239"/>
      <c r="KW8" s="239"/>
      <c r="KX8" s="239"/>
      <c r="KY8" s="239"/>
      <c r="KZ8" s="239"/>
      <c r="LA8" s="239"/>
      <c r="LB8" s="239"/>
      <c r="LC8" s="239"/>
      <c r="LD8" s="239"/>
      <c r="LE8" s="239"/>
      <c r="LF8" s="239"/>
      <c r="LG8" s="239"/>
      <c r="LH8" s="239"/>
      <c r="LI8" s="239"/>
      <c r="LJ8" s="239"/>
      <c r="LK8" s="239"/>
      <c r="LL8" s="239"/>
      <c r="LM8" s="239"/>
      <c r="LN8" s="239"/>
      <c r="LO8" s="239"/>
      <c r="LP8" s="239"/>
      <c r="LQ8" s="239"/>
      <c r="LR8" s="239"/>
      <c r="LS8" s="239"/>
      <c r="LT8" s="239"/>
      <c r="LU8" s="239"/>
      <c r="LV8" s="239"/>
      <c r="LW8" s="239"/>
      <c r="LX8" s="239"/>
      <c r="LY8" s="239"/>
      <c r="LZ8" s="239"/>
      <c r="MA8" s="239"/>
      <c r="MB8" s="239"/>
      <c r="MC8" s="239"/>
      <c r="MD8" s="239"/>
      <c r="ME8" s="239"/>
      <c r="MF8" s="239"/>
      <c r="MG8" s="239"/>
      <c r="MH8" s="239"/>
      <c r="MI8" s="239"/>
      <c r="MJ8" s="239"/>
      <c r="MK8" s="239"/>
      <c r="ML8" s="239"/>
      <c r="MM8" s="239"/>
      <c r="MN8" s="239"/>
      <c r="MO8" s="239"/>
      <c r="MP8" s="239"/>
      <c r="MQ8" s="239"/>
      <c r="MR8" s="239"/>
      <c r="MS8" s="239"/>
      <c r="MT8" s="239"/>
      <c r="MU8" s="239"/>
      <c r="MV8" s="239"/>
      <c r="MW8" s="239"/>
      <c r="MX8" s="239"/>
      <c r="MY8" s="239"/>
      <c r="MZ8" s="239"/>
      <c r="NA8" s="239"/>
      <c r="NB8" s="239"/>
      <c r="NC8" s="239"/>
      <c r="ND8" s="239"/>
      <c r="NE8" s="239"/>
      <c r="NF8" s="239"/>
      <c r="NG8" s="239"/>
      <c r="NH8" s="239"/>
      <c r="NI8" s="239"/>
      <c r="NJ8" s="239"/>
      <c r="NK8" s="239"/>
      <c r="NL8" s="239"/>
      <c r="NM8" s="239"/>
      <c r="NN8" s="239"/>
      <c r="NO8" s="239"/>
      <c r="NP8" s="239"/>
      <c r="NQ8" s="239"/>
      <c r="NR8" s="239"/>
      <c r="NS8" s="239"/>
      <c r="NT8" s="239"/>
      <c r="NU8" s="239"/>
      <c r="NV8" s="239"/>
      <c r="NW8" s="239"/>
      <c r="NX8" s="239"/>
      <c r="NY8" s="239"/>
      <c r="NZ8" s="239"/>
      <c r="OA8" s="239"/>
      <c r="OB8" s="239"/>
      <c r="OC8" s="239"/>
      <c r="OD8" s="239"/>
      <c r="OE8" s="239"/>
      <c r="OF8" s="239"/>
      <c r="OG8" s="239"/>
      <c r="OH8" s="239"/>
      <c r="OI8" s="239"/>
      <c r="OJ8" s="239"/>
      <c r="OK8" s="239"/>
      <c r="OL8" s="239"/>
      <c r="OM8" s="239"/>
      <c r="ON8" s="239"/>
      <c r="OO8" s="239"/>
      <c r="OP8" s="239"/>
      <c r="OQ8" s="239"/>
      <c r="OR8" s="239"/>
      <c r="OS8" s="239"/>
      <c r="OT8" s="239"/>
      <c r="OU8" s="239"/>
      <c r="OV8" s="239"/>
      <c r="OW8" s="239"/>
      <c r="OX8" s="239"/>
      <c r="OY8" s="239"/>
      <c r="OZ8" s="239"/>
      <c r="PA8" s="239"/>
      <c r="PB8" s="239"/>
      <c r="PC8" s="239"/>
      <c r="PD8" s="239"/>
      <c r="PE8" s="239"/>
      <c r="PF8" s="239"/>
      <c r="PG8" s="239"/>
      <c r="PH8" s="239"/>
      <c r="PI8" s="239"/>
      <c r="PJ8" s="239"/>
      <c r="PK8" s="239"/>
      <c r="PL8" s="239"/>
      <c r="PM8" s="239"/>
      <c r="PN8" s="239"/>
      <c r="PO8" s="239"/>
      <c r="PP8" s="239"/>
      <c r="PQ8" s="239"/>
      <c r="PR8" s="239"/>
      <c r="PS8" s="239"/>
      <c r="PT8" s="239"/>
      <c r="PU8" s="239"/>
      <c r="PV8" s="239"/>
      <c r="PW8" s="239"/>
      <c r="PX8" s="239"/>
      <c r="PY8" s="239"/>
      <c r="PZ8" s="239"/>
      <c r="QA8" s="239"/>
      <c r="QB8" s="239"/>
      <c r="QC8" s="239"/>
      <c r="QD8" s="239"/>
      <c r="QE8" s="239"/>
      <c r="QF8" s="239"/>
      <c r="QG8" s="239"/>
      <c r="QH8" s="239"/>
      <c r="QI8" s="239"/>
      <c r="QJ8" s="239"/>
      <c r="QK8" s="239"/>
      <c r="QL8" s="239"/>
      <c r="QM8" s="239"/>
      <c r="QN8" s="239"/>
      <c r="QO8" s="239"/>
      <c r="QP8" s="239"/>
      <c r="QQ8" s="239"/>
      <c r="QR8" s="239"/>
      <c r="QS8" s="239"/>
      <c r="QT8" s="239"/>
      <c r="QU8" s="239"/>
      <c r="QV8" s="239"/>
      <c r="QW8" s="239"/>
      <c r="QX8" s="239"/>
      <c r="QY8" s="239"/>
      <c r="QZ8" s="239"/>
      <c r="RA8" s="239"/>
      <c r="RB8" s="239"/>
      <c r="RC8" s="239"/>
      <c r="RD8" s="239"/>
      <c r="RE8" s="239"/>
      <c r="RF8" s="239"/>
      <c r="RG8" s="239"/>
      <c r="RH8" s="239"/>
      <c r="RI8" s="239"/>
      <c r="RJ8" s="239"/>
      <c r="RK8" s="239"/>
      <c r="RL8" s="239"/>
      <c r="RM8" s="239"/>
      <c r="RN8" s="239"/>
      <c r="RO8" s="239"/>
      <c r="RP8" s="239"/>
      <c r="RQ8" s="239"/>
      <c r="RR8" s="239"/>
      <c r="RS8" s="239"/>
      <c r="RT8" s="239"/>
      <c r="RU8" s="239"/>
      <c r="RV8" s="239"/>
      <c r="RW8" s="239"/>
      <c r="RX8" s="239"/>
      <c r="RY8" s="239"/>
      <c r="RZ8" s="239"/>
      <c r="SA8" s="239"/>
      <c r="SB8" s="239"/>
      <c r="SC8" s="239"/>
      <c r="SD8" s="239"/>
      <c r="SE8" s="239"/>
      <c r="SF8" s="239"/>
      <c r="SG8" s="239"/>
      <c r="SH8" s="239"/>
      <c r="SI8" s="239"/>
      <c r="SJ8" s="239"/>
      <c r="SK8" s="239"/>
      <c r="SL8" s="239"/>
      <c r="SM8" s="239"/>
      <c r="SN8" s="239"/>
      <c r="SO8" s="239"/>
      <c r="SP8" s="239"/>
      <c r="SQ8" s="239"/>
      <c r="SR8" s="239"/>
      <c r="SS8" s="239"/>
      <c r="ST8" s="239"/>
      <c r="SU8" s="239"/>
      <c r="SV8" s="239"/>
      <c r="SW8" s="239"/>
      <c r="SX8" s="239"/>
      <c r="SY8" s="239"/>
      <c r="SZ8" s="239"/>
      <c r="TA8" s="239"/>
      <c r="TB8" s="239"/>
      <c r="TC8" s="239"/>
      <c r="TD8" s="239"/>
      <c r="TE8" s="239"/>
      <c r="TF8" s="239"/>
      <c r="TG8" s="239"/>
      <c r="TH8" s="239"/>
      <c r="TI8" s="239"/>
      <c r="TJ8" s="239"/>
      <c r="TK8" s="239"/>
      <c r="TL8" s="239"/>
      <c r="TM8" s="239"/>
      <c r="TN8" s="239"/>
      <c r="TO8" s="239"/>
      <c r="TP8" s="239"/>
      <c r="TQ8" s="239"/>
      <c r="TR8" s="239"/>
      <c r="TS8" s="239"/>
      <c r="TT8" s="239"/>
      <c r="TU8" s="239"/>
      <c r="TV8" s="239"/>
      <c r="TW8" s="239"/>
      <c r="TX8" s="239"/>
      <c r="TY8" s="239"/>
      <c r="TZ8" s="239"/>
      <c r="UA8" s="239"/>
      <c r="UB8" s="239"/>
      <c r="UC8" s="239"/>
      <c r="UD8" s="239"/>
      <c r="UE8" s="239"/>
      <c r="UF8" s="239"/>
      <c r="UG8" s="239"/>
      <c r="UH8" s="239"/>
      <c r="UI8" s="239"/>
      <c r="UJ8" s="239"/>
      <c r="UK8" s="239"/>
      <c r="UL8" s="239"/>
      <c r="UM8" s="239"/>
      <c r="UN8" s="239"/>
      <c r="UO8" s="239"/>
      <c r="UP8" s="239"/>
      <c r="UQ8" s="239"/>
      <c r="UR8" s="239"/>
      <c r="US8" s="239"/>
      <c r="UT8" s="239"/>
      <c r="UU8" s="239"/>
      <c r="UV8" s="239"/>
      <c r="UW8" s="239"/>
      <c r="UX8" s="239"/>
      <c r="UY8" s="239"/>
      <c r="UZ8" s="239"/>
      <c r="VA8" s="239"/>
      <c r="VB8" s="239"/>
      <c r="VC8" s="239"/>
      <c r="VD8" s="239"/>
      <c r="VE8" s="239"/>
      <c r="VF8" s="239"/>
      <c r="VG8" s="239"/>
      <c r="VH8" s="239"/>
      <c r="VI8" s="239"/>
      <c r="VJ8" s="239"/>
      <c r="VK8" s="239"/>
      <c r="VL8" s="239"/>
      <c r="VM8" s="239"/>
      <c r="VN8" s="239"/>
      <c r="VO8" s="239"/>
      <c r="VP8" s="239"/>
      <c r="VQ8" s="239"/>
      <c r="VR8" s="239"/>
      <c r="VS8" s="239"/>
      <c r="VT8" s="239"/>
      <c r="VU8" s="239"/>
      <c r="VV8" s="239"/>
      <c r="VW8" s="239"/>
      <c r="VX8" s="239"/>
      <c r="VY8" s="239"/>
      <c r="VZ8" s="239"/>
      <c r="WA8" s="239"/>
      <c r="WB8" s="239"/>
      <c r="WC8" s="239"/>
      <c r="WD8" s="239"/>
      <c r="WE8" s="239"/>
      <c r="WF8" s="239"/>
      <c r="WG8" s="239"/>
      <c r="WH8" s="239"/>
      <c r="WI8" s="239"/>
      <c r="WJ8" s="239"/>
      <c r="WK8" s="239"/>
      <c r="WL8" s="239"/>
      <c r="WM8" s="239"/>
      <c r="WN8" s="239"/>
      <c r="WO8" s="239"/>
      <c r="WP8" s="239"/>
      <c r="WQ8" s="239"/>
      <c r="WR8" s="239"/>
      <c r="WS8" s="239"/>
      <c r="WT8" s="239"/>
      <c r="WU8" s="239"/>
      <c r="WV8" s="239"/>
      <c r="WW8" s="239"/>
      <c r="WX8" s="239"/>
      <c r="WY8" s="239"/>
      <c r="WZ8" s="239"/>
      <c r="XA8" s="239"/>
      <c r="XB8" s="239"/>
      <c r="XC8" s="239"/>
      <c r="XD8" s="239"/>
      <c r="XE8" s="239"/>
      <c r="XF8" s="239"/>
      <c r="XG8" s="239"/>
      <c r="XH8" s="239"/>
      <c r="XI8" s="239"/>
      <c r="XJ8" s="239"/>
      <c r="XK8" s="239"/>
      <c r="XL8" s="239"/>
      <c r="XM8" s="239"/>
      <c r="XN8" s="239"/>
      <c r="XO8" s="239"/>
      <c r="XP8" s="239"/>
      <c r="XQ8" s="239"/>
      <c r="XR8" s="239"/>
      <c r="XS8" s="239"/>
      <c r="XT8" s="239"/>
      <c r="XU8" s="239"/>
      <c r="XV8" s="239"/>
      <c r="XW8" s="239"/>
      <c r="XX8" s="239"/>
      <c r="XY8" s="239"/>
      <c r="XZ8" s="239"/>
      <c r="YA8" s="239"/>
      <c r="YB8" s="239"/>
      <c r="YC8" s="239"/>
      <c r="YD8" s="239"/>
      <c r="YE8" s="239"/>
      <c r="YF8" s="239"/>
      <c r="YG8" s="239"/>
      <c r="YH8" s="239"/>
      <c r="YI8" s="239"/>
      <c r="YJ8" s="239"/>
      <c r="YK8" s="239"/>
      <c r="YL8" s="239"/>
      <c r="YM8" s="239"/>
      <c r="YN8" s="239"/>
      <c r="YO8" s="239"/>
      <c r="YP8" s="239"/>
      <c r="YQ8" s="239"/>
      <c r="YR8" s="239"/>
      <c r="YS8" s="239"/>
      <c r="YT8" s="239"/>
      <c r="YU8" s="239"/>
      <c r="YV8" s="239"/>
      <c r="YW8" s="239"/>
      <c r="YX8" s="239"/>
      <c r="YY8" s="239"/>
      <c r="YZ8" s="239"/>
      <c r="ZA8" s="239"/>
      <c r="ZB8" s="239"/>
      <c r="ZC8" s="239"/>
      <c r="ZD8" s="239"/>
      <c r="ZE8" s="239"/>
      <c r="ZF8" s="239"/>
      <c r="ZG8" s="239"/>
      <c r="ZH8" s="239"/>
      <c r="ZI8" s="239"/>
      <c r="ZJ8" s="239"/>
      <c r="ZK8" s="239"/>
      <c r="ZL8" s="239"/>
      <c r="ZM8" s="239"/>
      <c r="ZN8" s="239"/>
      <c r="ZO8" s="239"/>
      <c r="ZP8" s="239"/>
      <c r="ZQ8" s="239"/>
      <c r="ZR8" s="239"/>
      <c r="ZS8" s="239"/>
      <c r="ZT8" s="239"/>
      <c r="ZU8" s="239"/>
      <c r="ZV8" s="239"/>
      <c r="ZW8" s="239"/>
      <c r="ZX8" s="239"/>
      <c r="ZY8" s="239"/>
      <c r="ZZ8" s="239"/>
      <c r="AAA8" s="239"/>
      <c r="AAB8" s="239"/>
      <c r="AAC8" s="239"/>
      <c r="AAD8" s="239"/>
      <c r="AAE8" s="239"/>
      <c r="AAF8" s="239"/>
      <c r="AAG8" s="239"/>
      <c r="AAH8" s="239"/>
      <c r="AAI8" s="239"/>
      <c r="AAJ8" s="239"/>
      <c r="AAK8" s="239"/>
      <c r="AAL8" s="239"/>
      <c r="AAM8" s="239"/>
      <c r="AAN8" s="239"/>
      <c r="AAO8" s="239"/>
      <c r="AAP8" s="239"/>
      <c r="AAQ8" s="239"/>
      <c r="AAR8" s="239"/>
      <c r="AAS8" s="239"/>
      <c r="AAT8" s="239"/>
      <c r="AAU8" s="239"/>
      <c r="AAV8" s="239"/>
      <c r="AAW8" s="239"/>
      <c r="AAX8" s="239"/>
      <c r="AAY8" s="239"/>
      <c r="AAZ8" s="239"/>
      <c r="ABA8" s="239"/>
      <c r="ABB8" s="239"/>
      <c r="ABC8" s="239"/>
      <c r="ABD8" s="239"/>
      <c r="ABE8" s="239"/>
      <c r="ABF8" s="239"/>
      <c r="ABG8" s="239"/>
      <c r="ABH8" s="239"/>
      <c r="ABI8" s="239"/>
      <c r="ABJ8" s="239"/>
      <c r="ABK8" s="239"/>
      <c r="ABL8" s="239"/>
      <c r="ABM8" s="239"/>
      <c r="ABN8" s="239"/>
      <c r="ABO8" s="239"/>
      <c r="ABP8" s="239"/>
      <c r="ABQ8" s="239"/>
      <c r="ABR8" s="239"/>
      <c r="ABS8" s="239"/>
      <c r="ABT8" s="239"/>
      <c r="ABU8" s="239"/>
      <c r="ABV8" s="239"/>
      <c r="ABW8" s="239"/>
      <c r="ABX8" s="239"/>
      <c r="ABY8" s="239"/>
      <c r="ABZ8" s="239"/>
      <c r="ACA8" s="239"/>
      <c r="ACB8" s="239"/>
      <c r="ACC8" s="239"/>
      <c r="ACD8" s="239"/>
      <c r="ACE8" s="239"/>
      <c r="ACF8" s="239"/>
      <c r="ACG8" s="239"/>
      <c r="ACH8" s="239"/>
      <c r="ACI8" s="239"/>
      <c r="ACJ8" s="239"/>
      <c r="ACK8" s="239"/>
      <c r="ACL8" s="239"/>
      <c r="ACM8" s="239"/>
      <c r="ACN8" s="239"/>
      <c r="ACO8" s="239"/>
      <c r="ACP8" s="239"/>
      <c r="ACQ8" s="239"/>
      <c r="ACR8" s="239"/>
      <c r="ACS8" s="239"/>
      <c r="ACT8" s="239"/>
      <c r="ACU8" s="239"/>
      <c r="ACV8" s="239"/>
      <c r="ACW8" s="239"/>
      <c r="ACX8" s="239"/>
      <c r="ACY8" s="239"/>
      <c r="ACZ8" s="239"/>
      <c r="ADA8" s="239"/>
      <c r="ADB8" s="239"/>
      <c r="ADC8" s="239"/>
      <c r="ADD8" s="239"/>
      <c r="ADE8" s="239"/>
      <c r="ADF8" s="239"/>
      <c r="ADG8" s="239"/>
      <c r="ADH8" s="239"/>
      <c r="ADI8" s="239"/>
      <c r="ADJ8" s="239"/>
      <c r="ADK8" s="239"/>
      <c r="ADL8" s="239"/>
      <c r="ADM8" s="239"/>
      <c r="ADN8" s="239"/>
      <c r="ADO8" s="239"/>
      <c r="ADP8" s="239"/>
      <c r="ADQ8" s="239"/>
      <c r="ADR8" s="239"/>
      <c r="ADS8" s="239"/>
      <c r="ADT8" s="239"/>
      <c r="ADU8" s="239"/>
      <c r="ADV8" s="239"/>
      <c r="ADW8" s="239"/>
      <c r="ADX8" s="239"/>
      <c r="ADY8" s="239"/>
      <c r="ADZ8" s="239"/>
      <c r="AEA8" s="239"/>
      <c r="AEB8" s="239"/>
      <c r="AEC8" s="239"/>
      <c r="AED8" s="239"/>
      <c r="AEE8" s="239"/>
      <c r="AEF8" s="239"/>
      <c r="AEG8" s="239"/>
      <c r="AEH8" s="239"/>
      <c r="AEI8" s="239"/>
      <c r="AEJ8" s="239"/>
      <c r="AEK8" s="239"/>
      <c r="AEL8" s="239"/>
      <c r="AEM8" s="239"/>
      <c r="AEN8" s="239"/>
      <c r="AEO8" s="239"/>
      <c r="AEP8" s="239"/>
      <c r="AEQ8" s="239"/>
      <c r="AER8" s="239"/>
      <c r="AES8" s="239"/>
      <c r="AET8" s="239"/>
      <c r="AEU8" s="239"/>
      <c r="AEV8" s="239"/>
      <c r="AEW8" s="239"/>
      <c r="AEX8" s="239"/>
      <c r="AEY8" s="239"/>
      <c r="AEZ8" s="239"/>
      <c r="AFA8" s="239"/>
      <c r="AFB8" s="239"/>
      <c r="AFC8" s="239"/>
      <c r="AFD8" s="239"/>
      <c r="AFE8" s="239"/>
      <c r="AFF8" s="239"/>
      <c r="AFG8" s="239"/>
      <c r="AFH8" s="239"/>
      <c r="AFI8" s="239"/>
      <c r="AFJ8" s="239"/>
      <c r="AFK8" s="239"/>
      <c r="AFL8" s="239"/>
      <c r="AFM8" s="239"/>
      <c r="AFN8" s="239"/>
      <c r="AFO8" s="239"/>
      <c r="AFP8" s="239"/>
      <c r="AFQ8" s="239"/>
      <c r="AFR8" s="239"/>
      <c r="AFS8" s="239"/>
      <c r="AFT8" s="239"/>
      <c r="AFU8" s="239"/>
      <c r="AFV8" s="239"/>
      <c r="AFW8" s="239"/>
      <c r="AFX8" s="239"/>
      <c r="AFY8" s="239"/>
      <c r="AFZ8" s="239"/>
      <c r="AGA8" s="239"/>
      <c r="AGB8" s="239"/>
      <c r="AGC8" s="239"/>
      <c r="AGD8" s="239"/>
      <c r="AGE8" s="239"/>
      <c r="AGF8" s="239"/>
      <c r="AGG8" s="239"/>
      <c r="AGH8" s="239"/>
      <c r="AGI8" s="239"/>
      <c r="AGJ8" s="239"/>
      <c r="AGK8" s="239"/>
      <c r="AGL8" s="239"/>
      <c r="AGM8" s="239"/>
      <c r="AGN8" s="239"/>
      <c r="AGO8" s="239"/>
      <c r="AGP8" s="239"/>
      <c r="AGQ8" s="239"/>
      <c r="AGR8" s="239"/>
      <c r="AGS8" s="239"/>
      <c r="AGT8" s="239"/>
      <c r="AGU8" s="239"/>
      <c r="AGV8" s="239"/>
      <c r="AGW8" s="239"/>
      <c r="AGX8" s="239"/>
      <c r="AGY8" s="239"/>
      <c r="AGZ8" s="239"/>
      <c r="AHA8" s="239"/>
      <c r="AHB8" s="239"/>
      <c r="AHC8" s="239"/>
      <c r="AHD8" s="239"/>
      <c r="AHE8" s="239"/>
      <c r="AHF8" s="239"/>
      <c r="AHG8" s="239"/>
      <c r="AHH8" s="239"/>
      <c r="AHI8" s="239"/>
      <c r="AHJ8" s="239"/>
      <c r="AHK8" s="239"/>
      <c r="AHL8" s="239"/>
      <c r="AHM8" s="239"/>
      <c r="AHN8" s="239"/>
      <c r="AHO8" s="239"/>
      <c r="AHP8" s="239"/>
      <c r="AHQ8" s="239"/>
      <c r="AHR8" s="239"/>
      <c r="AHS8" s="239"/>
      <c r="AHT8" s="239"/>
      <c r="AHU8" s="239"/>
      <c r="AHV8" s="239"/>
      <c r="AHW8" s="239"/>
      <c r="AHX8" s="239"/>
      <c r="AHY8" s="239"/>
      <c r="AHZ8" s="239"/>
      <c r="AIA8" s="239"/>
      <c r="AIB8" s="239"/>
      <c r="AIC8" s="239"/>
      <c r="AID8" s="239"/>
      <c r="AIE8" s="239"/>
      <c r="AIF8" s="239"/>
      <c r="AIG8" s="239"/>
      <c r="AIH8" s="239"/>
      <c r="AII8" s="239"/>
      <c r="AIJ8" s="239"/>
      <c r="AIK8" s="239"/>
      <c r="AIL8" s="239"/>
      <c r="AIM8" s="239"/>
      <c r="AIN8" s="239"/>
      <c r="AIO8" s="239"/>
      <c r="AIP8" s="239"/>
      <c r="AIQ8" s="239"/>
      <c r="AIR8" s="239"/>
      <c r="AIS8" s="239"/>
      <c r="AIT8" s="239"/>
      <c r="AIU8" s="239"/>
      <c r="AIV8" s="239"/>
      <c r="AIW8" s="239"/>
      <c r="AIX8" s="239"/>
      <c r="AIY8" s="239"/>
      <c r="AIZ8" s="239"/>
      <c r="AJA8" s="239"/>
      <c r="AJB8" s="239"/>
      <c r="AJC8" s="239"/>
      <c r="AJD8" s="239"/>
      <c r="AJE8" s="239"/>
      <c r="AJF8" s="239"/>
      <c r="AJG8" s="239"/>
      <c r="AJH8" s="239"/>
      <c r="AJI8" s="239"/>
      <c r="AJJ8" s="239"/>
      <c r="AJK8" s="239"/>
      <c r="AJL8" s="239"/>
      <c r="AJM8" s="239"/>
      <c r="AJN8" s="239"/>
      <c r="AJO8" s="239"/>
      <c r="AJP8" s="239"/>
      <c r="AJQ8" s="239"/>
      <c r="AJR8" s="239"/>
      <c r="AJS8" s="239"/>
      <c r="AJT8" s="239"/>
      <c r="AJU8" s="239"/>
      <c r="AJV8" s="239"/>
      <c r="AJW8" s="239"/>
      <c r="AJX8" s="239"/>
      <c r="AJY8" s="239"/>
      <c r="AJZ8" s="239"/>
      <c r="AKA8" s="239"/>
      <c r="AKB8" s="239"/>
      <c r="AKC8" s="239"/>
      <c r="AKD8" s="239"/>
      <c r="AKE8" s="239"/>
      <c r="AKF8" s="239"/>
      <c r="AKG8" s="239"/>
      <c r="AKH8" s="239"/>
      <c r="AKI8" s="239"/>
      <c r="AKJ8" s="239"/>
      <c r="AKK8" s="239"/>
      <c r="AKL8" s="239"/>
      <c r="AKM8" s="239"/>
      <c r="AKN8" s="239"/>
      <c r="AKO8" s="239"/>
      <c r="AKP8" s="239"/>
      <c r="AKQ8" s="239"/>
      <c r="AKR8" s="239"/>
      <c r="AKS8" s="239"/>
      <c r="AKT8" s="239"/>
      <c r="AKU8" s="239"/>
      <c r="AKV8" s="239"/>
      <c r="AKW8" s="239"/>
      <c r="AKX8" s="239"/>
      <c r="AKY8" s="239"/>
      <c r="AKZ8" s="239"/>
      <c r="ALA8" s="239"/>
      <c r="ALB8" s="239"/>
      <c r="ALC8" s="239"/>
      <c r="ALD8" s="239"/>
      <c r="ALE8" s="239"/>
      <c r="ALF8" s="239"/>
      <c r="ALG8" s="239"/>
      <c r="ALH8" s="239"/>
      <c r="ALI8" s="239"/>
      <c r="ALJ8" s="239"/>
      <c r="ALK8" s="239"/>
      <c r="ALL8" s="239"/>
      <c r="ALM8" s="239"/>
      <c r="ALN8" s="239"/>
      <c r="ALO8" s="239"/>
      <c r="ALP8" s="239"/>
      <c r="ALQ8" s="239"/>
      <c r="ALR8" s="239"/>
      <c r="ALS8" s="239"/>
      <c r="ALT8" s="239"/>
      <c r="ALU8" s="239"/>
      <c r="ALV8" s="239"/>
      <c r="ALW8" s="239"/>
      <c r="ALX8" s="239"/>
      <c r="ALY8" s="239"/>
      <c r="ALZ8" s="239"/>
      <c r="AMA8" s="239"/>
      <c r="AMB8" s="239"/>
      <c r="AMC8" s="239"/>
      <c r="AMD8" s="239"/>
      <c r="AME8" s="239"/>
      <c r="AMF8" s="239"/>
      <c r="AMG8" s="239"/>
      <c r="AMH8" s="239"/>
      <c r="AMI8" s="239"/>
      <c r="AMJ8" s="239"/>
      <c r="AMK8" s="239"/>
      <c r="AML8" s="239"/>
      <c r="AMM8" s="239"/>
      <c r="AMN8" s="239"/>
      <c r="AMO8" s="239"/>
      <c r="AMP8" s="239"/>
      <c r="AMQ8" s="239"/>
      <c r="AMR8" s="239"/>
      <c r="AMS8" s="239"/>
      <c r="AMT8" s="239"/>
      <c r="AMU8" s="239"/>
      <c r="AMV8" s="239"/>
      <c r="AMW8" s="239"/>
      <c r="AMX8" s="239"/>
      <c r="AMY8" s="239"/>
      <c r="AMZ8" s="239"/>
      <c r="ANA8" s="239"/>
      <c r="ANB8" s="239"/>
      <c r="ANC8" s="239"/>
      <c r="AND8" s="239"/>
      <c r="ANE8" s="239"/>
      <c r="ANF8" s="239"/>
      <c r="ANG8" s="239"/>
      <c r="ANH8" s="239"/>
      <c r="ANI8" s="239"/>
      <c r="ANJ8" s="239"/>
      <c r="ANK8" s="239"/>
      <c r="ANL8" s="239"/>
      <c r="ANM8" s="239"/>
      <c r="ANN8" s="239"/>
      <c r="ANO8" s="239"/>
      <c r="ANP8" s="239"/>
      <c r="ANQ8" s="239"/>
      <c r="ANR8" s="239"/>
      <c r="ANS8" s="239"/>
      <c r="ANT8" s="239"/>
      <c r="ANU8" s="239"/>
      <c r="ANV8" s="239"/>
      <c r="ANW8" s="239"/>
      <c r="ANX8" s="239"/>
      <c r="ANY8" s="239"/>
      <c r="ANZ8" s="239"/>
      <c r="AOA8" s="239"/>
      <c r="AOB8" s="239"/>
      <c r="AOC8" s="239"/>
      <c r="AOD8" s="239"/>
      <c r="AOE8" s="239"/>
      <c r="AOF8" s="239"/>
      <c r="AOG8" s="239"/>
      <c r="AOH8" s="239"/>
      <c r="AOI8" s="239"/>
      <c r="AOJ8" s="239"/>
      <c r="AOK8" s="239"/>
      <c r="AOL8" s="239"/>
      <c r="AOM8" s="239"/>
      <c r="AON8" s="239"/>
      <c r="AOO8" s="239"/>
      <c r="AOP8" s="239"/>
      <c r="AOQ8" s="239"/>
      <c r="AOR8" s="239"/>
      <c r="AOS8" s="239"/>
      <c r="AOT8" s="239"/>
      <c r="AOU8" s="239"/>
      <c r="AOV8" s="239"/>
      <c r="AOW8" s="239"/>
      <c r="AOX8" s="239"/>
      <c r="AOY8" s="239"/>
      <c r="AOZ8" s="239"/>
      <c r="APA8" s="239"/>
      <c r="APB8" s="239"/>
      <c r="APC8" s="239"/>
      <c r="APD8" s="239"/>
      <c r="APE8" s="239"/>
      <c r="APF8" s="239"/>
      <c r="APG8" s="239"/>
      <c r="APH8" s="239"/>
      <c r="API8" s="239"/>
      <c r="APJ8" s="239"/>
      <c r="APK8" s="239"/>
      <c r="APL8" s="239"/>
      <c r="APM8" s="239"/>
      <c r="APN8" s="239"/>
      <c r="APO8" s="239"/>
      <c r="APP8" s="239"/>
      <c r="APQ8" s="239"/>
      <c r="APR8" s="239"/>
      <c r="APS8" s="239"/>
      <c r="APT8" s="239"/>
      <c r="APU8" s="239"/>
      <c r="APV8" s="239"/>
      <c r="APW8" s="239"/>
      <c r="APX8" s="239"/>
      <c r="APY8" s="239"/>
      <c r="APZ8" s="239"/>
      <c r="AQA8" s="239"/>
      <c r="AQB8" s="239"/>
      <c r="AQC8" s="239"/>
      <c r="AQD8" s="239"/>
      <c r="AQE8" s="239"/>
      <c r="AQF8" s="239"/>
      <c r="AQG8" s="239"/>
      <c r="AQH8" s="239"/>
      <c r="AQI8" s="239"/>
      <c r="AQJ8" s="239"/>
      <c r="AQK8" s="239"/>
      <c r="AQL8" s="239"/>
      <c r="AQM8" s="239"/>
      <c r="AQN8" s="239"/>
      <c r="AQO8" s="239"/>
      <c r="AQP8" s="239"/>
      <c r="AQQ8" s="239"/>
      <c r="AQR8" s="239"/>
      <c r="AQS8" s="239"/>
      <c r="AQT8" s="239"/>
      <c r="AQU8" s="239"/>
      <c r="AQV8" s="239"/>
      <c r="AQW8" s="239"/>
      <c r="AQX8" s="239"/>
      <c r="AQY8" s="239"/>
      <c r="AQZ8" s="239"/>
      <c r="ARA8" s="239"/>
      <c r="ARB8" s="239"/>
      <c r="ARC8" s="239"/>
      <c r="ARD8" s="239"/>
      <c r="ARE8" s="239"/>
      <c r="ARF8" s="239"/>
      <c r="ARG8" s="239"/>
      <c r="ARH8" s="239"/>
      <c r="ARI8" s="239"/>
      <c r="ARJ8" s="239"/>
      <c r="ARK8" s="239"/>
      <c r="ARL8" s="239"/>
      <c r="ARM8" s="239"/>
      <c r="ARN8" s="239"/>
      <c r="ARO8" s="239"/>
      <c r="ARP8" s="239"/>
      <c r="ARQ8" s="239"/>
      <c r="ARR8" s="239"/>
      <c r="ARS8" s="239"/>
      <c r="ART8" s="239"/>
      <c r="ARU8" s="239"/>
      <c r="ARV8" s="239"/>
      <c r="ARW8" s="239"/>
      <c r="ARX8" s="239"/>
      <c r="ARY8" s="239"/>
      <c r="ARZ8" s="239"/>
      <c r="ASA8" s="239"/>
      <c r="ASB8" s="239"/>
      <c r="ASC8" s="239"/>
      <c r="ASD8" s="239"/>
      <c r="ASE8" s="239"/>
      <c r="ASF8" s="239"/>
      <c r="ASG8" s="239"/>
      <c r="ASH8" s="239"/>
      <c r="ASI8" s="239"/>
      <c r="ASJ8" s="239"/>
      <c r="ASK8" s="239"/>
      <c r="ASL8" s="239"/>
      <c r="ASM8" s="239"/>
      <c r="ASN8" s="239"/>
      <c r="ASO8" s="239"/>
      <c r="ASP8" s="239"/>
      <c r="ASQ8" s="239"/>
      <c r="ASR8" s="239"/>
      <c r="ASS8" s="239"/>
      <c r="AST8" s="239"/>
      <c r="ASU8" s="239"/>
      <c r="ASV8" s="239"/>
      <c r="ASW8" s="239"/>
      <c r="ASX8" s="239"/>
      <c r="ASY8" s="239"/>
      <c r="ASZ8" s="239"/>
      <c r="ATA8" s="239"/>
      <c r="ATB8" s="239"/>
      <c r="ATC8" s="239"/>
      <c r="ATD8" s="239"/>
      <c r="ATE8" s="239"/>
      <c r="ATF8" s="239"/>
      <c r="ATG8" s="239"/>
      <c r="ATH8" s="239"/>
      <c r="ATI8" s="239"/>
      <c r="ATJ8" s="239"/>
      <c r="ATK8" s="239"/>
      <c r="ATL8" s="239"/>
      <c r="ATM8" s="239"/>
      <c r="ATN8" s="239"/>
      <c r="ATO8" s="239"/>
      <c r="ATP8" s="239"/>
      <c r="ATQ8" s="239"/>
      <c r="ATR8" s="239"/>
      <c r="ATS8" s="239"/>
      <c r="ATT8" s="239"/>
      <c r="ATU8" s="239"/>
      <c r="ATV8" s="239"/>
      <c r="ATW8" s="239"/>
      <c r="ATX8" s="239"/>
      <c r="ATY8" s="239"/>
      <c r="ATZ8" s="239"/>
      <c r="AUA8" s="239"/>
      <c r="AUB8" s="239"/>
      <c r="AUC8" s="239"/>
      <c r="AUD8" s="239"/>
      <c r="AUE8" s="239"/>
      <c r="AUF8" s="239"/>
      <c r="AUG8" s="239"/>
      <c r="AUH8" s="239"/>
      <c r="AUI8" s="239"/>
      <c r="AUJ8" s="239"/>
      <c r="AUK8" s="239"/>
      <c r="AUL8" s="239"/>
      <c r="AUM8" s="239"/>
      <c r="AUN8" s="239"/>
      <c r="AUO8" s="239"/>
      <c r="AUP8" s="239"/>
      <c r="AUQ8" s="239"/>
      <c r="AUR8" s="239"/>
      <c r="AUS8" s="239"/>
      <c r="AUT8" s="239"/>
      <c r="AUU8" s="239"/>
      <c r="AUV8" s="239"/>
      <c r="AUW8" s="239"/>
      <c r="AUX8" s="239"/>
      <c r="AUY8" s="239"/>
      <c r="AUZ8" s="239"/>
      <c r="AVA8" s="239"/>
      <c r="AVB8" s="239"/>
      <c r="AVC8" s="239"/>
      <c r="AVD8" s="239"/>
      <c r="AVE8" s="239"/>
      <c r="AVF8" s="239"/>
      <c r="AVG8" s="239"/>
      <c r="AVH8" s="239"/>
      <c r="AVI8" s="239"/>
      <c r="AVJ8" s="239"/>
      <c r="AVK8" s="239"/>
      <c r="AVL8" s="239"/>
      <c r="AVM8" s="239"/>
      <c r="AVN8" s="239"/>
      <c r="AVO8" s="239"/>
      <c r="AVP8" s="239"/>
      <c r="AVQ8" s="239"/>
      <c r="AVR8" s="239"/>
      <c r="AVS8" s="239"/>
      <c r="AVT8" s="239"/>
      <c r="AVU8" s="239"/>
      <c r="AVV8" s="239"/>
      <c r="AVW8" s="239"/>
      <c r="AVX8" s="239"/>
      <c r="AVY8" s="239"/>
      <c r="AVZ8" s="239"/>
      <c r="AWA8" s="239"/>
      <c r="AWB8" s="239"/>
      <c r="AWC8" s="239"/>
      <c r="AWD8" s="239"/>
      <c r="AWE8" s="239"/>
      <c r="AWF8" s="239"/>
      <c r="AWG8" s="239"/>
      <c r="AWH8" s="239"/>
      <c r="AWI8" s="239"/>
      <c r="AWJ8" s="239"/>
      <c r="AWK8" s="239"/>
      <c r="AWL8" s="239"/>
      <c r="AWM8" s="239"/>
      <c r="AWN8" s="239"/>
      <c r="AWO8" s="239"/>
      <c r="AWP8" s="239"/>
      <c r="AWQ8" s="239"/>
      <c r="AWR8" s="239"/>
      <c r="AWS8" s="239"/>
      <c r="AWT8" s="239"/>
      <c r="AWU8" s="239"/>
      <c r="AWV8" s="239"/>
      <c r="AWW8" s="239"/>
      <c r="AWX8" s="239"/>
      <c r="AWY8" s="239"/>
      <c r="AWZ8" s="239"/>
      <c r="AXA8" s="239"/>
      <c r="AXB8" s="239"/>
      <c r="AXC8" s="239"/>
      <c r="AXD8" s="239"/>
      <c r="AXE8" s="239"/>
      <c r="AXF8" s="239"/>
      <c r="AXG8" s="239"/>
      <c r="AXH8" s="239"/>
      <c r="AXI8" s="239"/>
      <c r="AXJ8" s="239"/>
      <c r="AXK8" s="239"/>
      <c r="AXL8" s="239"/>
      <c r="AXM8" s="239"/>
      <c r="AXN8" s="239"/>
      <c r="AXO8" s="239"/>
      <c r="AXP8" s="239"/>
      <c r="AXQ8" s="239"/>
      <c r="AXR8" s="239"/>
      <c r="AXS8" s="239"/>
      <c r="AXT8" s="239"/>
      <c r="AXU8" s="239"/>
      <c r="AXV8" s="239"/>
      <c r="AXW8" s="239"/>
      <c r="AXX8" s="239"/>
      <c r="AXY8" s="239"/>
      <c r="AXZ8" s="239"/>
      <c r="AYA8" s="239"/>
      <c r="AYB8" s="239"/>
      <c r="AYC8" s="239"/>
      <c r="AYD8" s="239"/>
      <c r="AYE8" s="239"/>
      <c r="AYF8" s="239"/>
      <c r="AYG8" s="239"/>
      <c r="AYH8" s="239"/>
      <c r="AYI8" s="239"/>
      <c r="AYJ8" s="239"/>
      <c r="AYK8" s="239"/>
      <c r="AYL8" s="239"/>
      <c r="AYM8" s="239"/>
      <c r="AYN8" s="239"/>
      <c r="AYO8" s="239"/>
      <c r="AYP8" s="239"/>
      <c r="AYQ8" s="239"/>
      <c r="AYR8" s="239"/>
      <c r="AYS8" s="239"/>
      <c r="AYT8" s="239"/>
      <c r="AYU8" s="239"/>
      <c r="AYV8" s="239"/>
      <c r="AYW8" s="239"/>
      <c r="AYX8" s="239"/>
      <c r="AYY8" s="239"/>
      <c r="AYZ8" s="239"/>
      <c r="AZA8" s="239"/>
      <c r="AZB8" s="239"/>
      <c r="AZC8" s="239"/>
      <c r="AZD8" s="239"/>
      <c r="AZE8" s="239"/>
      <c r="AZF8" s="239"/>
      <c r="AZG8" s="239"/>
      <c r="AZH8" s="239"/>
      <c r="AZI8" s="239"/>
      <c r="AZJ8" s="239"/>
      <c r="AZK8" s="239"/>
      <c r="AZL8" s="239"/>
      <c r="AZM8" s="239"/>
      <c r="AZN8" s="239"/>
      <c r="AZO8" s="239"/>
      <c r="AZP8" s="239"/>
      <c r="AZQ8" s="239"/>
      <c r="AZR8" s="239"/>
      <c r="AZS8" s="239"/>
      <c r="AZT8" s="239"/>
      <c r="AZU8" s="239"/>
      <c r="AZV8" s="239"/>
      <c r="AZW8" s="239"/>
      <c r="AZX8" s="239"/>
      <c r="AZY8" s="239"/>
      <c r="AZZ8" s="239"/>
      <c r="BAA8" s="239"/>
      <c r="BAB8" s="239"/>
      <c r="BAC8" s="239"/>
      <c r="BAD8" s="239"/>
      <c r="BAE8" s="239"/>
      <c r="BAF8" s="239"/>
      <c r="BAG8" s="239"/>
      <c r="BAH8" s="239"/>
      <c r="BAI8" s="239"/>
      <c r="BAJ8" s="239"/>
      <c r="BAK8" s="239"/>
      <c r="BAL8" s="239"/>
      <c r="BAM8" s="239"/>
      <c r="BAN8" s="239"/>
      <c r="BAO8" s="239"/>
      <c r="BAP8" s="239"/>
      <c r="BAQ8" s="239"/>
      <c r="BAR8" s="239"/>
      <c r="BAS8" s="239"/>
      <c r="BAT8" s="239"/>
      <c r="BAU8" s="239"/>
      <c r="BAV8" s="239"/>
      <c r="BAW8" s="239"/>
      <c r="BAX8" s="239"/>
      <c r="BAY8" s="239"/>
      <c r="BAZ8" s="239"/>
      <c r="BBA8" s="239"/>
      <c r="BBB8" s="239"/>
      <c r="BBC8" s="239"/>
      <c r="BBD8" s="239"/>
      <c r="BBE8" s="239"/>
      <c r="BBF8" s="239"/>
      <c r="BBG8" s="239"/>
      <c r="BBH8" s="239"/>
      <c r="BBI8" s="239"/>
      <c r="BBJ8" s="239"/>
      <c r="BBK8" s="239"/>
      <c r="BBL8" s="239"/>
      <c r="BBM8" s="239"/>
      <c r="BBN8" s="239"/>
      <c r="BBO8" s="239"/>
      <c r="BBP8" s="239"/>
      <c r="BBQ8" s="239"/>
      <c r="BBR8" s="239"/>
      <c r="BBS8" s="239"/>
      <c r="BBT8" s="239"/>
      <c r="BBU8" s="239"/>
      <c r="BBV8" s="239"/>
      <c r="BBW8" s="239"/>
      <c r="BBX8" s="239"/>
      <c r="BBY8" s="239"/>
      <c r="BBZ8" s="239"/>
      <c r="BCA8" s="239"/>
      <c r="BCB8" s="239"/>
      <c r="BCC8" s="239"/>
      <c r="BCD8" s="239"/>
      <c r="BCE8" s="239"/>
      <c r="BCF8" s="239"/>
      <c r="BCG8" s="239"/>
      <c r="BCH8" s="239"/>
      <c r="BCI8" s="239"/>
      <c r="BCJ8" s="239"/>
      <c r="BCK8" s="239"/>
      <c r="BCL8" s="239"/>
      <c r="BCM8" s="239"/>
      <c r="BCN8" s="239"/>
      <c r="BCO8" s="239"/>
      <c r="BCP8" s="239"/>
      <c r="BCQ8" s="239"/>
      <c r="BCR8" s="239"/>
      <c r="BCS8" s="239"/>
      <c r="BCT8" s="239"/>
      <c r="BCU8" s="239"/>
      <c r="BCV8" s="239"/>
      <c r="BCW8" s="239"/>
      <c r="BCX8" s="239"/>
      <c r="BCY8" s="239"/>
      <c r="BCZ8" s="239"/>
      <c r="BDA8" s="239"/>
      <c r="BDB8" s="239"/>
      <c r="BDC8" s="239"/>
      <c r="BDD8" s="239"/>
      <c r="BDE8" s="239"/>
      <c r="BDF8" s="239"/>
      <c r="BDG8" s="239"/>
      <c r="BDH8" s="239"/>
      <c r="BDI8" s="239"/>
      <c r="BDJ8" s="239"/>
      <c r="BDK8" s="239"/>
      <c r="BDL8" s="239"/>
      <c r="BDM8" s="239"/>
      <c r="BDN8" s="239"/>
      <c r="BDO8" s="239"/>
      <c r="BDP8" s="239"/>
      <c r="BDQ8" s="239"/>
      <c r="BDR8" s="239"/>
      <c r="BDS8" s="239"/>
      <c r="BDT8" s="239"/>
      <c r="BDU8" s="239"/>
      <c r="BDV8" s="239"/>
      <c r="BDW8" s="239"/>
      <c r="BDX8" s="239"/>
      <c r="BDY8" s="239"/>
      <c r="BDZ8" s="239"/>
      <c r="BEA8" s="239"/>
      <c r="BEB8" s="239"/>
      <c r="BEC8" s="239"/>
      <c r="BED8" s="239"/>
      <c r="BEE8" s="239"/>
      <c r="BEF8" s="239"/>
      <c r="BEG8" s="239"/>
      <c r="BEH8" s="239"/>
      <c r="BEI8" s="239"/>
      <c r="BEJ8" s="239"/>
      <c r="BEK8" s="239"/>
      <c r="BEL8" s="239"/>
      <c r="BEM8" s="239"/>
      <c r="BEN8" s="239"/>
      <c r="BEO8" s="239"/>
      <c r="BEP8" s="239"/>
      <c r="BEQ8" s="239"/>
      <c r="BER8" s="239"/>
      <c r="BES8" s="239"/>
      <c r="BET8" s="239"/>
      <c r="BEU8" s="239"/>
      <c r="BEV8" s="239"/>
      <c r="BEW8" s="239"/>
      <c r="BEX8" s="239"/>
      <c r="BEY8" s="239"/>
      <c r="BEZ8" s="239"/>
      <c r="BFA8" s="239"/>
      <c r="BFB8" s="239"/>
      <c r="BFC8" s="239"/>
      <c r="BFD8" s="239"/>
      <c r="BFE8" s="239"/>
      <c r="BFF8" s="239"/>
      <c r="BFG8" s="239"/>
      <c r="BFH8" s="239"/>
      <c r="BFI8" s="239"/>
      <c r="BFJ8" s="239"/>
      <c r="BFK8" s="239"/>
      <c r="BFL8" s="239"/>
      <c r="BFM8" s="239"/>
      <c r="BFN8" s="239"/>
      <c r="BFO8" s="239"/>
      <c r="BFP8" s="239"/>
      <c r="BFQ8" s="239"/>
      <c r="BFR8" s="239"/>
      <c r="BFS8" s="239"/>
      <c r="BFT8" s="239"/>
      <c r="BFU8" s="239"/>
      <c r="BFV8" s="239"/>
      <c r="BFW8" s="239"/>
      <c r="BFX8" s="239"/>
      <c r="BFY8" s="239"/>
      <c r="BFZ8" s="239"/>
      <c r="BGA8" s="239"/>
      <c r="BGB8" s="239"/>
      <c r="BGC8" s="239"/>
      <c r="BGD8" s="239"/>
      <c r="BGE8" s="239"/>
      <c r="BGF8" s="239"/>
      <c r="BGG8" s="239"/>
      <c r="BGH8" s="239"/>
      <c r="BGI8" s="239"/>
      <c r="BGJ8" s="239"/>
      <c r="BGK8" s="239"/>
      <c r="BGL8" s="239"/>
      <c r="BGM8" s="239"/>
      <c r="BGN8" s="239"/>
      <c r="BGO8" s="239"/>
      <c r="BGP8" s="239"/>
      <c r="BGQ8" s="239"/>
      <c r="BGR8" s="239"/>
      <c r="BGS8" s="239"/>
      <c r="BGT8" s="239"/>
      <c r="BGU8" s="239"/>
      <c r="BGV8" s="239"/>
      <c r="BGW8" s="239"/>
      <c r="BGX8" s="239"/>
      <c r="BGY8" s="239"/>
      <c r="BGZ8" s="239"/>
      <c r="BHA8" s="239"/>
      <c r="BHB8" s="239"/>
      <c r="BHC8" s="239"/>
      <c r="BHD8" s="239"/>
      <c r="BHE8" s="239"/>
      <c r="BHF8" s="239"/>
      <c r="BHG8" s="239"/>
      <c r="BHH8" s="239"/>
      <c r="BHI8" s="239"/>
      <c r="BHJ8" s="239"/>
      <c r="BHK8" s="239"/>
      <c r="BHL8" s="239"/>
      <c r="BHM8" s="239"/>
      <c r="BHN8" s="239"/>
      <c r="BHO8" s="239"/>
      <c r="BHP8" s="239"/>
      <c r="BHQ8" s="239"/>
      <c r="BHR8" s="239"/>
      <c r="BHS8" s="239"/>
      <c r="BHT8" s="239"/>
      <c r="BHU8" s="239"/>
      <c r="BHV8" s="239"/>
      <c r="BHW8" s="239"/>
      <c r="BHX8" s="239"/>
      <c r="BHY8" s="239"/>
      <c r="BHZ8" s="239"/>
      <c r="BIA8" s="239"/>
      <c r="BIB8" s="239"/>
      <c r="BIC8" s="239"/>
      <c r="BID8" s="239"/>
      <c r="BIE8" s="239"/>
      <c r="BIF8" s="239"/>
      <c r="BIG8" s="239"/>
      <c r="BIH8" s="239"/>
      <c r="BII8" s="239"/>
      <c r="BIJ8" s="239"/>
      <c r="BIK8" s="239"/>
      <c r="BIL8" s="239"/>
      <c r="BIM8" s="239"/>
      <c r="BIN8" s="239"/>
      <c r="BIO8" s="239"/>
      <c r="BIP8" s="239"/>
      <c r="BIQ8" s="239"/>
      <c r="BIR8" s="239"/>
      <c r="BIS8" s="239"/>
      <c r="BIT8" s="239"/>
      <c r="BIU8" s="239"/>
      <c r="BIV8" s="239"/>
      <c r="BIW8" s="239"/>
      <c r="BIX8" s="239"/>
      <c r="BIY8" s="239"/>
      <c r="BIZ8" s="239"/>
      <c r="BJA8" s="239"/>
      <c r="BJB8" s="239"/>
      <c r="BJC8" s="239"/>
      <c r="BJD8" s="239"/>
      <c r="BJE8" s="239"/>
      <c r="BJF8" s="239"/>
      <c r="BJG8" s="239"/>
      <c r="BJH8" s="239"/>
      <c r="BJI8" s="239"/>
      <c r="BJJ8" s="239"/>
      <c r="BJK8" s="239"/>
      <c r="BJL8" s="239"/>
      <c r="BJM8" s="239"/>
      <c r="BJN8" s="239"/>
      <c r="BJO8" s="239"/>
      <c r="BJP8" s="239"/>
      <c r="BJQ8" s="239"/>
      <c r="BJR8" s="239"/>
      <c r="BJS8" s="239"/>
      <c r="BJT8" s="239"/>
      <c r="BJU8" s="239"/>
      <c r="BJV8" s="239"/>
      <c r="BJW8" s="239"/>
      <c r="BJX8" s="239"/>
      <c r="BJY8" s="239"/>
      <c r="BJZ8" s="239"/>
      <c r="BKA8" s="239"/>
      <c r="BKB8" s="239"/>
      <c r="BKC8" s="239"/>
      <c r="BKD8" s="239"/>
      <c r="BKE8" s="239"/>
      <c r="BKF8" s="239"/>
      <c r="BKG8" s="239"/>
      <c r="BKH8" s="239"/>
      <c r="BKI8" s="239"/>
      <c r="BKJ8" s="239"/>
      <c r="BKK8" s="239"/>
      <c r="BKL8" s="239"/>
      <c r="BKM8" s="239"/>
      <c r="BKN8" s="239"/>
      <c r="BKO8" s="239"/>
      <c r="BKP8" s="239"/>
      <c r="BKQ8" s="239"/>
      <c r="BKR8" s="239"/>
      <c r="BKS8" s="239"/>
      <c r="BKT8" s="239"/>
      <c r="BKU8" s="239"/>
      <c r="BKV8" s="239"/>
      <c r="BKW8" s="239"/>
      <c r="BKX8" s="239"/>
      <c r="BKY8" s="239"/>
      <c r="BKZ8" s="239"/>
      <c r="BLA8" s="239"/>
      <c r="BLB8" s="239"/>
      <c r="BLC8" s="239"/>
      <c r="BLD8" s="239"/>
      <c r="BLE8" s="239"/>
      <c r="BLF8" s="239"/>
      <c r="BLG8" s="239"/>
      <c r="BLH8" s="239"/>
      <c r="BLI8" s="239"/>
      <c r="BLJ8" s="239"/>
      <c r="BLK8" s="239"/>
      <c r="BLL8" s="239"/>
      <c r="BLM8" s="239"/>
      <c r="BLN8" s="239"/>
      <c r="BLO8" s="239"/>
      <c r="BLP8" s="239"/>
      <c r="BLQ8" s="239"/>
      <c r="BLR8" s="239"/>
      <c r="BLS8" s="239"/>
      <c r="BLT8" s="239"/>
      <c r="BLU8" s="239"/>
      <c r="BLV8" s="239"/>
      <c r="BLW8" s="239"/>
      <c r="BLX8" s="239"/>
      <c r="BLY8" s="239"/>
      <c r="BLZ8" s="239"/>
      <c r="BMA8" s="239"/>
      <c r="BMB8" s="239"/>
      <c r="BMC8" s="239"/>
      <c r="BMD8" s="239"/>
      <c r="BME8" s="239"/>
      <c r="BMF8" s="239"/>
      <c r="BMG8" s="239"/>
      <c r="BMH8" s="239"/>
      <c r="BMI8" s="239"/>
      <c r="BMJ8" s="239"/>
      <c r="BMK8" s="239"/>
      <c r="BML8" s="239"/>
      <c r="BMM8" s="239"/>
      <c r="BMN8" s="239"/>
      <c r="BMO8" s="239"/>
      <c r="BMP8" s="239"/>
      <c r="BMQ8" s="239"/>
      <c r="BMR8" s="239"/>
      <c r="BMS8" s="239"/>
      <c r="BMT8" s="239"/>
      <c r="BMU8" s="239"/>
      <c r="BMV8" s="239"/>
      <c r="BMW8" s="239"/>
      <c r="BMX8" s="239"/>
      <c r="BMY8" s="239"/>
      <c r="BMZ8" s="239"/>
      <c r="BNA8" s="239"/>
      <c r="BNB8" s="239"/>
      <c r="BNC8" s="239"/>
      <c r="BND8" s="239"/>
      <c r="BNE8" s="239"/>
      <c r="BNF8" s="239"/>
      <c r="BNG8" s="239"/>
      <c r="BNH8" s="239"/>
      <c r="BNI8" s="239"/>
      <c r="BNJ8" s="239"/>
      <c r="BNK8" s="239"/>
      <c r="BNL8" s="239"/>
      <c r="BNM8" s="239"/>
      <c r="BNN8" s="239"/>
      <c r="BNO8" s="239"/>
      <c r="BNP8" s="239"/>
      <c r="BNQ8" s="239"/>
      <c r="BNR8" s="239"/>
      <c r="BNS8" s="239"/>
      <c r="BNT8" s="239"/>
      <c r="BNU8" s="239"/>
      <c r="BNV8" s="239"/>
      <c r="BNW8" s="239"/>
      <c r="BNX8" s="239"/>
      <c r="BNY8" s="239"/>
      <c r="BNZ8" s="239"/>
      <c r="BOA8" s="239"/>
      <c r="BOB8" s="239"/>
      <c r="BOC8" s="239"/>
      <c r="BOD8" s="239"/>
      <c r="BOE8" s="239"/>
      <c r="BOF8" s="239"/>
      <c r="BOG8" s="239"/>
      <c r="BOH8" s="239"/>
      <c r="BOI8" s="239"/>
      <c r="BOJ8" s="239"/>
      <c r="BOK8" s="239"/>
      <c r="BOL8" s="239"/>
      <c r="BOM8" s="239"/>
      <c r="BON8" s="239"/>
      <c r="BOO8" s="239"/>
      <c r="BOP8" s="239"/>
      <c r="BOQ8" s="239"/>
      <c r="BOR8" s="239"/>
      <c r="BOS8" s="239"/>
      <c r="BOT8" s="239"/>
      <c r="BOU8" s="239"/>
      <c r="BOV8" s="239"/>
      <c r="BOW8" s="239"/>
      <c r="BOX8" s="239"/>
      <c r="BOY8" s="239"/>
      <c r="BOZ8" s="239"/>
      <c r="BPA8" s="239"/>
      <c r="BPB8" s="239"/>
      <c r="BPC8" s="239"/>
      <c r="BPD8" s="239"/>
      <c r="BPE8" s="239"/>
      <c r="BPF8" s="239"/>
      <c r="BPG8" s="239"/>
      <c r="BPH8" s="239"/>
      <c r="BPI8" s="239"/>
      <c r="BPJ8" s="239"/>
      <c r="BPK8" s="239"/>
      <c r="BPL8" s="239"/>
      <c r="BPM8" s="239"/>
      <c r="BPN8" s="239"/>
      <c r="BPO8" s="239"/>
      <c r="BPP8" s="239"/>
      <c r="BPQ8" s="239"/>
      <c r="BPR8" s="239"/>
      <c r="BPS8" s="239"/>
      <c r="BPT8" s="239"/>
      <c r="BPU8" s="239"/>
      <c r="BPV8" s="239"/>
      <c r="BPW8" s="239"/>
      <c r="BPX8" s="239"/>
      <c r="BPY8" s="239"/>
      <c r="BPZ8" s="239"/>
      <c r="BQA8" s="239"/>
      <c r="BQB8" s="239"/>
      <c r="BQC8" s="239"/>
      <c r="BQD8" s="239"/>
      <c r="BQE8" s="239"/>
      <c r="BQF8" s="239"/>
      <c r="BQG8" s="239"/>
      <c r="BQH8" s="239"/>
      <c r="BQI8" s="239"/>
      <c r="BQJ8" s="239"/>
      <c r="BQK8" s="239"/>
      <c r="BQL8" s="239"/>
      <c r="BQM8" s="239"/>
      <c r="BQN8" s="239"/>
      <c r="BQO8" s="239"/>
      <c r="BQP8" s="239"/>
      <c r="BQQ8" s="239"/>
      <c r="BQR8" s="239"/>
      <c r="BQS8" s="239"/>
      <c r="BQT8" s="239"/>
      <c r="BQU8" s="239"/>
      <c r="BQV8" s="239"/>
      <c r="BQW8" s="239"/>
      <c r="BQX8" s="239"/>
      <c r="BQY8" s="239"/>
      <c r="BQZ8" s="239"/>
      <c r="BRA8" s="239"/>
      <c r="BRB8" s="239"/>
      <c r="BRC8" s="239"/>
      <c r="BRD8" s="239"/>
      <c r="BRE8" s="239"/>
      <c r="BRF8" s="239"/>
      <c r="BRG8" s="239"/>
      <c r="BRH8" s="239"/>
      <c r="BRI8" s="239"/>
      <c r="BRJ8" s="239"/>
      <c r="BRK8" s="239"/>
      <c r="BRL8" s="239"/>
      <c r="BRM8" s="239"/>
      <c r="BRN8" s="239"/>
      <c r="BRO8" s="239"/>
      <c r="BRP8" s="239"/>
      <c r="BRQ8" s="239"/>
      <c r="BRR8" s="239"/>
      <c r="BRS8" s="239"/>
      <c r="BRT8" s="239"/>
      <c r="BRU8" s="239"/>
      <c r="BRV8" s="239"/>
      <c r="BRW8" s="239"/>
      <c r="BRX8" s="239"/>
      <c r="BRY8" s="239"/>
      <c r="BRZ8" s="239"/>
      <c r="BSA8" s="239"/>
      <c r="BSB8" s="239"/>
      <c r="BSC8" s="239"/>
      <c r="BSD8" s="239"/>
      <c r="BSE8" s="239"/>
      <c r="BSF8" s="239"/>
      <c r="BSG8" s="239"/>
      <c r="BSH8" s="239"/>
      <c r="BSI8" s="239"/>
      <c r="BSJ8" s="239"/>
      <c r="BSK8" s="239"/>
      <c r="BSL8" s="239"/>
      <c r="BSM8" s="239"/>
      <c r="BSN8" s="239"/>
      <c r="BSO8" s="239"/>
      <c r="BSP8" s="239"/>
      <c r="BSQ8" s="239"/>
      <c r="BSR8" s="239"/>
      <c r="BSS8" s="239"/>
      <c r="BST8" s="239"/>
      <c r="BSU8" s="239"/>
      <c r="BSV8" s="239"/>
      <c r="BSW8" s="239"/>
      <c r="BSX8" s="239"/>
      <c r="BSY8" s="239"/>
      <c r="BSZ8" s="239"/>
      <c r="BTA8" s="239"/>
      <c r="BTB8" s="239"/>
      <c r="BTC8" s="239"/>
      <c r="BTD8" s="239"/>
      <c r="BTE8" s="239"/>
      <c r="BTF8" s="239"/>
      <c r="BTG8" s="239"/>
      <c r="BTH8" s="239"/>
      <c r="BTI8" s="239"/>
      <c r="BTJ8" s="239"/>
      <c r="BTK8" s="239"/>
      <c r="BTL8" s="239"/>
      <c r="BTM8" s="239"/>
      <c r="BTN8" s="239"/>
      <c r="BTO8" s="239"/>
      <c r="BTP8" s="239"/>
      <c r="BTQ8" s="239"/>
      <c r="BTR8" s="239"/>
      <c r="BTS8" s="239"/>
      <c r="BTT8" s="239"/>
      <c r="BTU8" s="239"/>
      <c r="BTV8" s="239"/>
      <c r="BTW8" s="239"/>
      <c r="BTX8" s="239"/>
      <c r="BTY8" s="239"/>
      <c r="BTZ8" s="239"/>
      <c r="BUA8" s="239"/>
      <c r="BUB8" s="239"/>
      <c r="BUC8" s="239"/>
      <c r="BUD8" s="239"/>
      <c r="BUE8" s="239"/>
      <c r="BUF8" s="239"/>
      <c r="BUG8" s="239"/>
      <c r="BUH8" s="239"/>
      <c r="BUI8" s="239"/>
      <c r="BUJ8" s="239"/>
      <c r="BUK8" s="239"/>
      <c r="BUL8" s="239"/>
      <c r="BUM8" s="239"/>
      <c r="BUN8" s="239"/>
      <c r="BUO8" s="239"/>
      <c r="BUP8" s="239"/>
      <c r="BUQ8" s="239"/>
      <c r="BUR8" s="239"/>
      <c r="BUS8" s="239"/>
      <c r="BUT8" s="239"/>
      <c r="BUU8" s="239"/>
      <c r="BUV8" s="239"/>
      <c r="BUW8" s="239"/>
      <c r="BUX8" s="239"/>
      <c r="BUY8" s="239"/>
      <c r="BUZ8" s="239"/>
      <c r="BVA8" s="239"/>
      <c r="BVB8" s="239"/>
      <c r="BVC8" s="239"/>
      <c r="BVD8" s="239"/>
      <c r="BVE8" s="239"/>
      <c r="BVF8" s="239"/>
      <c r="BVG8" s="239"/>
      <c r="BVH8" s="239"/>
      <c r="BVI8" s="239"/>
      <c r="BVJ8" s="239"/>
      <c r="BVK8" s="239"/>
      <c r="BVL8" s="239"/>
      <c r="BVM8" s="239"/>
      <c r="BVN8" s="239"/>
      <c r="BVO8" s="239"/>
      <c r="BVP8" s="239"/>
      <c r="BVQ8" s="239"/>
      <c r="BVR8" s="239"/>
      <c r="BVS8" s="239"/>
      <c r="BVT8" s="239"/>
      <c r="BVU8" s="239"/>
      <c r="BVV8" s="239"/>
      <c r="BVW8" s="239"/>
      <c r="BVX8" s="239"/>
      <c r="BVY8" s="239"/>
      <c r="BVZ8" s="239"/>
      <c r="BWA8" s="239"/>
      <c r="BWB8" s="239"/>
      <c r="BWC8" s="239"/>
      <c r="BWD8" s="239"/>
      <c r="BWE8" s="239"/>
      <c r="BWF8" s="239"/>
      <c r="BWG8" s="239"/>
      <c r="BWH8" s="239"/>
      <c r="BWI8" s="239"/>
      <c r="BWJ8" s="239"/>
      <c r="BWK8" s="239"/>
      <c r="BWL8" s="239"/>
      <c r="BWM8" s="239"/>
      <c r="BWN8" s="239"/>
      <c r="BWO8" s="239"/>
      <c r="BWP8" s="239"/>
      <c r="BWQ8" s="239"/>
      <c r="BWR8" s="239"/>
      <c r="BWS8" s="239"/>
      <c r="BWT8" s="239"/>
      <c r="BWU8" s="239"/>
      <c r="BWV8" s="239"/>
      <c r="BWW8" s="239"/>
      <c r="BWX8" s="239"/>
      <c r="BWY8" s="239"/>
      <c r="BWZ8" s="239"/>
      <c r="BXA8" s="239"/>
      <c r="BXB8" s="239"/>
      <c r="BXC8" s="239"/>
      <c r="BXD8" s="239"/>
      <c r="BXE8" s="239"/>
      <c r="BXF8" s="239"/>
      <c r="BXG8" s="239"/>
      <c r="BXH8" s="239"/>
      <c r="BXI8" s="239"/>
      <c r="BXJ8" s="239"/>
      <c r="BXK8" s="239"/>
      <c r="BXL8" s="239"/>
      <c r="BXM8" s="239"/>
      <c r="BXN8" s="239"/>
      <c r="BXO8" s="239"/>
      <c r="BXP8" s="239"/>
      <c r="BXQ8" s="239"/>
      <c r="BXR8" s="239"/>
      <c r="BXS8" s="239"/>
      <c r="BXT8" s="239"/>
      <c r="BXU8" s="239"/>
      <c r="BXV8" s="239"/>
      <c r="BXW8" s="239"/>
      <c r="BXX8" s="239"/>
      <c r="BXY8" s="239"/>
      <c r="BXZ8" s="239"/>
      <c r="BYA8" s="239"/>
      <c r="BYB8" s="239"/>
      <c r="BYC8" s="239"/>
      <c r="BYD8" s="239"/>
      <c r="BYE8" s="239"/>
      <c r="BYF8" s="239"/>
      <c r="BYG8" s="239"/>
      <c r="BYH8" s="239"/>
      <c r="BYI8" s="239"/>
      <c r="BYJ8" s="239"/>
      <c r="BYK8" s="239"/>
      <c r="BYL8" s="239"/>
      <c r="BYM8" s="239"/>
      <c r="BYN8" s="239"/>
      <c r="BYO8" s="239"/>
      <c r="BYP8" s="239"/>
      <c r="BYQ8" s="239"/>
      <c r="BYR8" s="239"/>
      <c r="BYS8" s="239"/>
      <c r="BYT8" s="239"/>
      <c r="BYU8" s="239"/>
      <c r="BYV8" s="239"/>
      <c r="BYW8" s="239"/>
      <c r="BYX8" s="239"/>
      <c r="BYY8" s="239"/>
      <c r="BYZ8" s="239"/>
      <c r="BZA8" s="239"/>
      <c r="BZB8" s="239"/>
      <c r="BZC8" s="239"/>
      <c r="BZD8" s="239"/>
      <c r="BZE8" s="239"/>
      <c r="BZF8" s="239"/>
      <c r="BZG8" s="239"/>
      <c r="BZH8" s="239"/>
      <c r="BZI8" s="239"/>
      <c r="BZJ8" s="239"/>
      <c r="BZK8" s="239"/>
      <c r="BZL8" s="239"/>
      <c r="BZM8" s="239"/>
      <c r="BZN8" s="239"/>
      <c r="BZO8" s="239"/>
      <c r="BZP8" s="239"/>
      <c r="BZQ8" s="239"/>
      <c r="BZR8" s="239"/>
      <c r="BZS8" s="239"/>
      <c r="BZT8" s="239"/>
      <c r="BZU8" s="239"/>
      <c r="BZV8" s="239"/>
      <c r="BZW8" s="239"/>
      <c r="BZX8" s="239"/>
      <c r="BZY8" s="239"/>
      <c r="BZZ8" s="239"/>
      <c r="CAA8" s="239"/>
      <c r="CAB8" s="239"/>
      <c r="CAC8" s="239"/>
      <c r="CAD8" s="239"/>
      <c r="CAE8" s="239"/>
      <c r="CAF8" s="239"/>
      <c r="CAG8" s="239"/>
      <c r="CAH8" s="239"/>
      <c r="CAI8" s="239"/>
      <c r="CAJ8" s="239"/>
      <c r="CAK8" s="239"/>
      <c r="CAL8" s="239"/>
      <c r="CAM8" s="239"/>
      <c r="CAN8" s="239"/>
      <c r="CAO8" s="239"/>
      <c r="CAP8" s="239"/>
      <c r="CAQ8" s="239"/>
      <c r="CAR8" s="239"/>
      <c r="CAS8" s="239"/>
      <c r="CAT8" s="239"/>
      <c r="CAU8" s="239"/>
      <c r="CAV8" s="239"/>
      <c r="CAW8" s="239"/>
      <c r="CAX8" s="239"/>
      <c r="CAY8" s="239"/>
      <c r="CAZ8" s="239"/>
      <c r="CBA8" s="239"/>
      <c r="CBB8" s="239"/>
      <c r="CBC8" s="239"/>
      <c r="CBD8" s="239"/>
      <c r="CBE8" s="239"/>
      <c r="CBF8" s="239"/>
      <c r="CBG8" s="239"/>
      <c r="CBH8" s="239"/>
      <c r="CBI8" s="239"/>
      <c r="CBJ8" s="239"/>
      <c r="CBK8" s="239"/>
      <c r="CBL8" s="239"/>
      <c r="CBM8" s="239"/>
      <c r="CBN8" s="239"/>
      <c r="CBO8" s="239"/>
      <c r="CBP8" s="239"/>
      <c r="CBQ8" s="239"/>
      <c r="CBR8" s="239"/>
      <c r="CBS8" s="239"/>
      <c r="CBT8" s="239"/>
      <c r="CBU8" s="239"/>
      <c r="CBV8" s="239"/>
      <c r="CBW8" s="239"/>
      <c r="CBX8" s="239"/>
      <c r="CBY8" s="239"/>
      <c r="CBZ8" s="239"/>
      <c r="CCA8" s="239"/>
      <c r="CCB8" s="239"/>
      <c r="CCC8" s="239"/>
      <c r="CCD8" s="239"/>
      <c r="CCE8" s="239"/>
      <c r="CCF8" s="239"/>
      <c r="CCG8" s="239"/>
      <c r="CCH8" s="239"/>
      <c r="CCI8" s="239"/>
      <c r="CCJ8" s="239"/>
      <c r="CCK8" s="239"/>
      <c r="CCL8" s="239"/>
      <c r="CCM8" s="239"/>
      <c r="CCN8" s="239"/>
      <c r="CCO8" s="239"/>
      <c r="CCP8" s="239"/>
      <c r="CCQ8" s="239"/>
      <c r="CCR8" s="239"/>
      <c r="CCS8" s="239"/>
      <c r="CCT8" s="239"/>
      <c r="CCU8" s="239"/>
      <c r="CCV8" s="239"/>
      <c r="CCW8" s="239"/>
      <c r="CCX8" s="239"/>
      <c r="CCY8" s="239"/>
      <c r="CCZ8" s="239"/>
      <c r="CDA8" s="239"/>
      <c r="CDB8" s="239"/>
      <c r="CDC8" s="239"/>
      <c r="CDD8" s="239"/>
      <c r="CDE8" s="239"/>
      <c r="CDF8" s="239"/>
      <c r="CDG8" s="239"/>
      <c r="CDH8" s="239"/>
      <c r="CDI8" s="239"/>
      <c r="CDJ8" s="239"/>
      <c r="CDK8" s="239"/>
      <c r="CDL8" s="239"/>
      <c r="CDM8" s="239"/>
      <c r="CDN8" s="239"/>
      <c r="CDO8" s="239"/>
      <c r="CDP8" s="239"/>
      <c r="CDQ8" s="239"/>
      <c r="CDR8" s="239"/>
      <c r="CDS8" s="239"/>
      <c r="CDT8" s="239"/>
      <c r="CDU8" s="239"/>
      <c r="CDV8" s="239"/>
      <c r="CDW8" s="239"/>
      <c r="CDX8" s="239"/>
      <c r="CDY8" s="239"/>
      <c r="CDZ8" s="239"/>
      <c r="CEA8" s="239"/>
      <c r="CEB8" s="239"/>
      <c r="CEC8" s="239"/>
      <c r="CED8" s="239"/>
      <c r="CEE8" s="239"/>
      <c r="CEF8" s="239"/>
      <c r="CEG8" s="239"/>
      <c r="CEH8" s="239"/>
      <c r="CEI8" s="239"/>
      <c r="CEJ8" s="239"/>
      <c r="CEK8" s="239"/>
      <c r="CEL8" s="239"/>
      <c r="CEM8" s="239"/>
      <c r="CEN8" s="239"/>
      <c r="CEO8" s="239"/>
      <c r="CEP8" s="239"/>
      <c r="CEQ8" s="239"/>
      <c r="CER8" s="239"/>
      <c r="CES8" s="239"/>
      <c r="CET8" s="239"/>
      <c r="CEU8" s="239"/>
      <c r="CEV8" s="239"/>
      <c r="CEW8" s="239"/>
      <c r="CEX8" s="239"/>
      <c r="CEY8" s="239"/>
      <c r="CEZ8" s="239"/>
      <c r="CFA8" s="239"/>
      <c r="CFB8" s="239"/>
      <c r="CFC8" s="239"/>
      <c r="CFD8" s="239"/>
      <c r="CFE8" s="239"/>
      <c r="CFF8" s="239"/>
      <c r="CFG8" s="239"/>
      <c r="CFH8" s="239"/>
      <c r="CFI8" s="239"/>
      <c r="CFJ8" s="239"/>
      <c r="CFK8" s="239"/>
      <c r="CFL8" s="239"/>
      <c r="CFM8" s="239"/>
      <c r="CFN8" s="239"/>
      <c r="CFO8" s="239"/>
      <c r="CFP8" s="239"/>
      <c r="CFQ8" s="239"/>
      <c r="CFR8" s="239"/>
      <c r="CFS8" s="239"/>
      <c r="CFT8" s="239"/>
      <c r="CFU8" s="239"/>
      <c r="CFV8" s="239"/>
      <c r="CFW8" s="239"/>
      <c r="CFX8" s="239"/>
      <c r="CFY8" s="239"/>
      <c r="CFZ8" s="239"/>
      <c r="CGA8" s="239"/>
      <c r="CGB8" s="239"/>
      <c r="CGC8" s="239"/>
      <c r="CGD8" s="239"/>
      <c r="CGE8" s="239"/>
      <c r="CGF8" s="239"/>
      <c r="CGG8" s="239"/>
      <c r="CGH8" s="239"/>
      <c r="CGI8" s="239"/>
      <c r="CGJ8" s="239"/>
      <c r="CGK8" s="239"/>
      <c r="CGL8" s="239"/>
      <c r="CGM8" s="239"/>
      <c r="CGN8" s="239"/>
      <c r="CGO8" s="239"/>
      <c r="CGP8" s="239"/>
      <c r="CGQ8" s="239"/>
      <c r="CGR8" s="239"/>
      <c r="CGS8" s="239"/>
      <c r="CGT8" s="239"/>
      <c r="CGU8" s="239"/>
      <c r="CGV8" s="239"/>
      <c r="CGW8" s="239"/>
      <c r="CGX8" s="239"/>
      <c r="CGY8" s="239"/>
      <c r="CGZ8" s="239"/>
      <c r="CHA8" s="239"/>
      <c r="CHB8" s="239"/>
      <c r="CHC8" s="239"/>
      <c r="CHD8" s="239"/>
      <c r="CHE8" s="239"/>
      <c r="CHF8" s="239"/>
      <c r="CHG8" s="239"/>
      <c r="CHH8" s="239"/>
      <c r="CHI8" s="239"/>
      <c r="CHJ8" s="239"/>
      <c r="CHK8" s="239"/>
      <c r="CHL8" s="239"/>
      <c r="CHM8" s="239"/>
      <c r="CHN8" s="239"/>
      <c r="CHO8" s="239"/>
      <c r="CHP8" s="239"/>
      <c r="CHQ8" s="239"/>
      <c r="CHR8" s="239"/>
      <c r="CHS8" s="239"/>
      <c r="CHT8" s="239"/>
      <c r="CHU8" s="239"/>
      <c r="CHV8" s="239"/>
      <c r="CHW8" s="239"/>
      <c r="CHX8" s="239"/>
      <c r="CHY8" s="239"/>
      <c r="CHZ8" s="239"/>
      <c r="CIA8" s="239"/>
      <c r="CIB8" s="239"/>
      <c r="CIC8" s="239"/>
      <c r="CID8" s="239"/>
      <c r="CIE8" s="239"/>
      <c r="CIF8" s="239"/>
      <c r="CIG8" s="239"/>
      <c r="CIH8" s="239"/>
      <c r="CII8" s="239"/>
      <c r="CIJ8" s="239"/>
      <c r="CIK8" s="239"/>
      <c r="CIL8" s="239"/>
      <c r="CIM8" s="239"/>
      <c r="CIN8" s="239"/>
      <c r="CIO8" s="239"/>
      <c r="CIP8" s="239"/>
      <c r="CIQ8" s="239"/>
      <c r="CIR8" s="239"/>
      <c r="CIS8" s="239"/>
      <c r="CIT8" s="239"/>
      <c r="CIU8" s="239"/>
      <c r="CIV8" s="239"/>
      <c r="CIW8" s="239"/>
      <c r="CIX8" s="239"/>
      <c r="CIY8" s="239"/>
      <c r="CIZ8" s="239"/>
      <c r="CJA8" s="239"/>
      <c r="CJB8" s="239"/>
      <c r="CJC8" s="239"/>
      <c r="CJD8" s="239"/>
      <c r="CJE8" s="239"/>
      <c r="CJF8" s="239"/>
      <c r="CJG8" s="239"/>
      <c r="CJH8" s="239"/>
      <c r="CJI8" s="239"/>
      <c r="CJJ8" s="239"/>
      <c r="CJK8" s="239"/>
      <c r="CJL8" s="239"/>
      <c r="CJM8" s="239"/>
      <c r="CJN8" s="239"/>
      <c r="CJO8" s="239"/>
      <c r="CJP8" s="239"/>
      <c r="CJQ8" s="239"/>
      <c r="CJR8" s="239"/>
      <c r="CJS8" s="239"/>
      <c r="CJT8" s="239"/>
      <c r="CJU8" s="239"/>
      <c r="CJV8" s="239"/>
      <c r="CJW8" s="239"/>
      <c r="CJX8" s="239"/>
      <c r="CJY8" s="239"/>
      <c r="CJZ8" s="239"/>
      <c r="CKA8" s="239"/>
      <c r="CKB8" s="239"/>
      <c r="CKC8" s="239"/>
      <c r="CKD8" s="239"/>
      <c r="CKE8" s="239"/>
      <c r="CKF8" s="239"/>
      <c r="CKG8" s="239"/>
      <c r="CKH8" s="239"/>
      <c r="CKI8" s="239"/>
      <c r="CKJ8" s="239"/>
      <c r="CKK8" s="239"/>
      <c r="CKL8" s="239"/>
      <c r="CKM8" s="239"/>
      <c r="CKN8" s="239"/>
      <c r="CKO8" s="239"/>
      <c r="CKP8" s="239"/>
      <c r="CKQ8" s="239"/>
      <c r="CKR8" s="239"/>
      <c r="CKS8" s="239"/>
      <c r="CKT8" s="239"/>
      <c r="CKU8" s="239"/>
      <c r="CKV8" s="239"/>
      <c r="CKW8" s="239"/>
      <c r="CKX8" s="239"/>
      <c r="CKY8" s="239"/>
      <c r="CKZ8" s="239"/>
      <c r="CLA8" s="239"/>
      <c r="CLB8" s="239"/>
      <c r="CLC8" s="239"/>
      <c r="CLD8" s="239"/>
      <c r="CLE8" s="239"/>
      <c r="CLF8" s="239"/>
    </row>
    <row r="9" spans="1:8915" s="47" customFormat="1" hidden="1">
      <c r="A9" s="52"/>
      <c r="B9" s="101">
        <v>45752</v>
      </c>
      <c r="C9" s="101" t="s">
        <v>197</v>
      </c>
      <c r="D9" s="119">
        <v>3400.2271999998497</v>
      </c>
      <c r="E9" s="119">
        <v>4800.3167999997622</v>
      </c>
      <c r="F9" s="119">
        <v>612.87000000011176</v>
      </c>
      <c r="G9" s="119">
        <v>686.61999999999534</v>
      </c>
      <c r="H9" s="119">
        <v>910.98000000002503</v>
      </c>
      <c r="I9" s="119">
        <v>658.68000000000029</v>
      </c>
      <c r="J9" s="119">
        <v>1545.1956000000127</v>
      </c>
      <c r="K9" s="119">
        <v>2017.3387000000166</v>
      </c>
      <c r="L9" s="119">
        <v>9626.4100000006911</v>
      </c>
      <c r="M9" s="119">
        <v>843</v>
      </c>
      <c r="N9" s="119">
        <v>495.23</v>
      </c>
      <c r="O9" s="119">
        <v>2284.1088999992912</v>
      </c>
      <c r="P9" s="141">
        <f t="shared" si="0"/>
        <v>27880.977199999754</v>
      </c>
      <c r="Q9" s="119">
        <v>13564.29999999999</v>
      </c>
      <c r="R9" s="119">
        <v>22770.429400000186</v>
      </c>
      <c r="S9" s="119">
        <v>1257.5277499999113</v>
      </c>
      <c r="T9" s="119">
        <v>1499.9021499999426</v>
      </c>
      <c r="U9" s="119">
        <v>2378.9074000000028</v>
      </c>
      <c r="V9" s="141">
        <f t="shared" si="1"/>
        <v>69352.043899999786</v>
      </c>
      <c r="W9" s="81"/>
      <c r="X9" s="262">
        <f>Summary!K9</f>
        <v>69352.043899999786</v>
      </c>
      <c r="Y9" s="239"/>
      <c r="Z9" s="281">
        <f t="shared" si="2"/>
        <v>0</v>
      </c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  <c r="AT9" s="239"/>
      <c r="AU9" s="239"/>
      <c r="AV9" s="239"/>
      <c r="AW9" s="239"/>
      <c r="AX9" s="239"/>
      <c r="AY9" s="239"/>
      <c r="AZ9" s="239"/>
      <c r="BA9" s="239"/>
      <c r="BB9" s="239"/>
      <c r="BC9" s="239"/>
      <c r="BD9" s="239"/>
      <c r="BE9" s="239"/>
      <c r="BF9" s="239"/>
      <c r="BG9" s="239"/>
      <c r="BH9" s="239"/>
      <c r="BI9" s="239"/>
      <c r="BJ9" s="239"/>
      <c r="BK9" s="239"/>
      <c r="BL9" s="239"/>
      <c r="BM9" s="239"/>
      <c r="BN9" s="239"/>
      <c r="BO9" s="239"/>
      <c r="BP9" s="239"/>
      <c r="BQ9" s="239"/>
      <c r="BR9" s="239"/>
      <c r="BS9" s="239"/>
      <c r="BT9" s="239"/>
      <c r="BU9" s="239"/>
      <c r="BV9" s="239"/>
      <c r="BW9" s="239"/>
      <c r="BX9" s="239"/>
      <c r="BY9" s="239"/>
      <c r="BZ9" s="239"/>
      <c r="CA9" s="239"/>
      <c r="CB9" s="239"/>
      <c r="CC9" s="239"/>
      <c r="CD9" s="239"/>
      <c r="CE9" s="239"/>
      <c r="CF9" s="239"/>
      <c r="CG9" s="239"/>
      <c r="CH9" s="239"/>
      <c r="CI9" s="239"/>
      <c r="CJ9" s="239"/>
      <c r="CK9" s="239"/>
      <c r="CL9" s="239"/>
      <c r="CM9" s="239"/>
      <c r="CN9" s="239"/>
      <c r="CO9" s="239"/>
      <c r="CP9" s="239"/>
      <c r="CQ9" s="239"/>
      <c r="CR9" s="239"/>
      <c r="CS9" s="239"/>
      <c r="CT9" s="239"/>
      <c r="CU9" s="239"/>
      <c r="CV9" s="239"/>
      <c r="CW9" s="239"/>
      <c r="CX9" s="239"/>
      <c r="CY9" s="239"/>
      <c r="CZ9" s="239"/>
      <c r="DA9" s="239"/>
      <c r="DB9" s="239"/>
      <c r="DC9" s="239"/>
      <c r="DD9" s="239"/>
      <c r="DE9" s="239"/>
      <c r="DF9" s="239"/>
      <c r="DG9" s="239"/>
      <c r="DH9" s="239"/>
      <c r="DI9" s="239"/>
      <c r="DJ9" s="239"/>
      <c r="DK9" s="239"/>
      <c r="DL9" s="239"/>
      <c r="DM9" s="239"/>
      <c r="DN9" s="239"/>
      <c r="DO9" s="239"/>
      <c r="DP9" s="239"/>
      <c r="DQ9" s="239"/>
      <c r="DR9" s="239"/>
      <c r="DS9" s="239"/>
      <c r="DT9" s="239"/>
      <c r="DU9" s="239"/>
      <c r="DV9" s="239"/>
      <c r="DW9" s="239"/>
      <c r="DX9" s="239"/>
      <c r="DY9" s="239"/>
      <c r="DZ9" s="239"/>
      <c r="EA9" s="239"/>
      <c r="EB9" s="239"/>
      <c r="EC9" s="239"/>
      <c r="ED9" s="239"/>
      <c r="EE9" s="239"/>
      <c r="EF9" s="239"/>
      <c r="EG9" s="239"/>
      <c r="EH9" s="239"/>
      <c r="EI9" s="239"/>
      <c r="EJ9" s="239"/>
      <c r="EK9" s="239"/>
      <c r="EL9" s="239"/>
      <c r="EM9" s="239"/>
      <c r="EN9" s="239"/>
      <c r="EO9" s="239"/>
      <c r="EP9" s="239"/>
      <c r="EQ9" s="239"/>
      <c r="ER9" s="239"/>
      <c r="ES9" s="239"/>
      <c r="ET9" s="239"/>
      <c r="EU9" s="239"/>
      <c r="EV9" s="239"/>
      <c r="EW9" s="239"/>
      <c r="EX9" s="239"/>
      <c r="EY9" s="239"/>
      <c r="EZ9" s="239"/>
      <c r="FA9" s="239"/>
      <c r="FB9" s="239"/>
      <c r="FC9" s="239"/>
      <c r="FD9" s="239"/>
      <c r="FE9" s="239"/>
      <c r="FF9" s="239"/>
      <c r="FG9" s="239"/>
      <c r="FH9" s="239"/>
      <c r="FI9" s="239"/>
      <c r="FJ9" s="239"/>
      <c r="FK9" s="239"/>
      <c r="FL9" s="239"/>
      <c r="FM9" s="239"/>
      <c r="FN9" s="239"/>
      <c r="FO9" s="239"/>
      <c r="FP9" s="239"/>
      <c r="FQ9" s="239"/>
      <c r="FR9" s="239"/>
      <c r="FS9" s="239"/>
      <c r="FT9" s="239"/>
      <c r="FU9" s="239"/>
      <c r="FV9" s="239"/>
      <c r="FW9" s="239"/>
      <c r="FX9" s="239"/>
      <c r="FY9" s="239"/>
      <c r="FZ9" s="239"/>
      <c r="GA9" s="239"/>
      <c r="GB9" s="239"/>
      <c r="GC9" s="239"/>
      <c r="GD9" s="239"/>
      <c r="GE9" s="239"/>
      <c r="GF9" s="239"/>
      <c r="GG9" s="239"/>
      <c r="GH9" s="239"/>
      <c r="GI9" s="239"/>
      <c r="GJ9" s="239"/>
      <c r="GK9" s="239"/>
      <c r="GL9" s="239"/>
      <c r="GM9" s="239"/>
      <c r="GN9" s="239"/>
      <c r="GO9" s="239"/>
      <c r="GP9" s="239"/>
      <c r="GQ9" s="239"/>
      <c r="GR9" s="239"/>
      <c r="GS9" s="239"/>
      <c r="GT9" s="239"/>
      <c r="GU9" s="239"/>
      <c r="GV9" s="239"/>
      <c r="GW9" s="239"/>
      <c r="GX9" s="239"/>
      <c r="GY9" s="239"/>
      <c r="GZ9" s="239"/>
      <c r="HA9" s="239"/>
      <c r="HB9" s="239"/>
      <c r="HC9" s="239"/>
      <c r="HD9" s="239"/>
      <c r="HE9" s="239"/>
      <c r="HF9" s="239"/>
      <c r="HG9" s="239"/>
      <c r="HH9" s="239"/>
      <c r="HI9" s="239"/>
      <c r="HJ9" s="239"/>
      <c r="HK9" s="239"/>
      <c r="HL9" s="239"/>
      <c r="HM9" s="239"/>
      <c r="HN9" s="239"/>
      <c r="HO9" s="239"/>
      <c r="HP9" s="239"/>
      <c r="HQ9" s="239"/>
      <c r="HR9" s="239"/>
      <c r="HS9" s="239"/>
      <c r="HT9" s="239"/>
      <c r="HU9" s="239"/>
      <c r="HV9" s="239"/>
      <c r="HW9" s="239"/>
      <c r="HX9" s="239"/>
      <c r="HY9" s="239"/>
      <c r="HZ9" s="239"/>
      <c r="IA9" s="239"/>
      <c r="IB9" s="239"/>
      <c r="IC9" s="239"/>
      <c r="ID9" s="239"/>
      <c r="IE9" s="239"/>
      <c r="IF9" s="239"/>
      <c r="IG9" s="239"/>
      <c r="IH9" s="239"/>
      <c r="II9" s="239"/>
      <c r="IJ9" s="239"/>
      <c r="IK9" s="239"/>
      <c r="IL9" s="239"/>
      <c r="IM9" s="239"/>
      <c r="IN9" s="239"/>
      <c r="IO9" s="239"/>
      <c r="IP9" s="239"/>
      <c r="IQ9" s="239"/>
      <c r="IR9" s="239"/>
      <c r="IS9" s="239"/>
      <c r="IT9" s="239"/>
      <c r="IU9" s="239"/>
      <c r="IV9" s="239"/>
      <c r="IW9" s="239"/>
      <c r="IX9" s="239"/>
      <c r="IY9" s="239"/>
      <c r="IZ9" s="239"/>
      <c r="JA9" s="239"/>
      <c r="JB9" s="239"/>
      <c r="JC9" s="239"/>
      <c r="JD9" s="239"/>
      <c r="JE9" s="239"/>
      <c r="JF9" s="239"/>
      <c r="JG9" s="239"/>
      <c r="JH9" s="239"/>
      <c r="JI9" s="239"/>
      <c r="JJ9" s="239"/>
      <c r="JK9" s="239"/>
      <c r="JL9" s="239"/>
      <c r="JM9" s="239"/>
      <c r="JN9" s="239"/>
      <c r="JO9" s="239"/>
      <c r="JP9" s="239"/>
      <c r="JQ9" s="239"/>
      <c r="JR9" s="239"/>
      <c r="JS9" s="239"/>
      <c r="JT9" s="239"/>
      <c r="JU9" s="239"/>
      <c r="JV9" s="239"/>
      <c r="JW9" s="239"/>
      <c r="JX9" s="239"/>
      <c r="JY9" s="239"/>
      <c r="JZ9" s="239"/>
      <c r="KA9" s="239"/>
      <c r="KB9" s="239"/>
      <c r="KC9" s="239"/>
      <c r="KD9" s="239"/>
      <c r="KE9" s="239"/>
      <c r="KF9" s="239"/>
      <c r="KG9" s="239"/>
      <c r="KH9" s="239"/>
      <c r="KI9" s="239"/>
      <c r="KJ9" s="239"/>
      <c r="KK9" s="239"/>
      <c r="KL9" s="239"/>
      <c r="KM9" s="239"/>
      <c r="KN9" s="239"/>
      <c r="KO9" s="239"/>
      <c r="KP9" s="239"/>
      <c r="KQ9" s="239"/>
      <c r="KR9" s="239"/>
      <c r="KS9" s="239"/>
      <c r="KT9" s="239"/>
      <c r="KU9" s="239"/>
      <c r="KV9" s="239"/>
      <c r="KW9" s="239"/>
      <c r="KX9" s="239"/>
      <c r="KY9" s="239"/>
      <c r="KZ9" s="239"/>
      <c r="LA9" s="239"/>
      <c r="LB9" s="239"/>
      <c r="LC9" s="239"/>
      <c r="LD9" s="239"/>
      <c r="LE9" s="239"/>
      <c r="LF9" s="239"/>
      <c r="LG9" s="239"/>
      <c r="LH9" s="239"/>
      <c r="LI9" s="239"/>
      <c r="LJ9" s="239"/>
      <c r="LK9" s="239"/>
      <c r="LL9" s="239"/>
      <c r="LM9" s="239"/>
      <c r="LN9" s="239"/>
      <c r="LO9" s="239"/>
      <c r="LP9" s="239"/>
      <c r="LQ9" s="239"/>
      <c r="LR9" s="239"/>
      <c r="LS9" s="239"/>
      <c r="LT9" s="239"/>
      <c r="LU9" s="239"/>
      <c r="LV9" s="239"/>
      <c r="LW9" s="239"/>
      <c r="LX9" s="239"/>
      <c r="LY9" s="239"/>
      <c r="LZ9" s="239"/>
      <c r="MA9" s="239"/>
      <c r="MB9" s="239"/>
      <c r="MC9" s="239"/>
      <c r="MD9" s="239"/>
      <c r="ME9" s="239"/>
      <c r="MF9" s="239"/>
      <c r="MG9" s="239"/>
      <c r="MH9" s="239"/>
      <c r="MI9" s="239"/>
      <c r="MJ9" s="239"/>
      <c r="MK9" s="239"/>
      <c r="ML9" s="239"/>
      <c r="MM9" s="239"/>
      <c r="MN9" s="239"/>
      <c r="MO9" s="239"/>
      <c r="MP9" s="239"/>
      <c r="MQ9" s="239"/>
      <c r="MR9" s="239"/>
      <c r="MS9" s="239"/>
      <c r="MT9" s="239"/>
      <c r="MU9" s="239"/>
      <c r="MV9" s="239"/>
      <c r="MW9" s="239"/>
      <c r="MX9" s="239"/>
      <c r="MY9" s="239"/>
      <c r="MZ9" s="239"/>
      <c r="NA9" s="239"/>
      <c r="NB9" s="239"/>
      <c r="NC9" s="239"/>
      <c r="ND9" s="239"/>
      <c r="NE9" s="239"/>
      <c r="NF9" s="239"/>
      <c r="NG9" s="239"/>
      <c r="NH9" s="239"/>
      <c r="NI9" s="239"/>
      <c r="NJ9" s="239"/>
      <c r="NK9" s="239"/>
      <c r="NL9" s="239"/>
      <c r="NM9" s="239"/>
      <c r="NN9" s="239"/>
      <c r="NO9" s="239"/>
      <c r="NP9" s="239"/>
      <c r="NQ9" s="239"/>
      <c r="NR9" s="239"/>
      <c r="NS9" s="239"/>
      <c r="NT9" s="239"/>
      <c r="NU9" s="239"/>
      <c r="NV9" s="239"/>
      <c r="NW9" s="239"/>
      <c r="NX9" s="239"/>
      <c r="NY9" s="239"/>
      <c r="NZ9" s="239"/>
      <c r="OA9" s="239"/>
      <c r="OB9" s="239"/>
      <c r="OC9" s="239"/>
      <c r="OD9" s="239"/>
      <c r="OE9" s="239"/>
      <c r="OF9" s="239"/>
      <c r="OG9" s="239"/>
      <c r="OH9" s="239"/>
      <c r="OI9" s="239"/>
      <c r="OJ9" s="239"/>
      <c r="OK9" s="239"/>
      <c r="OL9" s="239"/>
      <c r="OM9" s="239"/>
      <c r="ON9" s="239"/>
      <c r="OO9" s="239"/>
      <c r="OP9" s="239"/>
      <c r="OQ9" s="239"/>
      <c r="OR9" s="239"/>
      <c r="OS9" s="239"/>
      <c r="OT9" s="239"/>
      <c r="OU9" s="239"/>
      <c r="OV9" s="239"/>
      <c r="OW9" s="239"/>
      <c r="OX9" s="239"/>
      <c r="OY9" s="239"/>
      <c r="OZ9" s="239"/>
      <c r="PA9" s="239"/>
      <c r="PB9" s="239"/>
      <c r="PC9" s="239"/>
      <c r="PD9" s="239"/>
      <c r="PE9" s="239"/>
      <c r="PF9" s="239"/>
      <c r="PG9" s="239"/>
      <c r="PH9" s="239"/>
      <c r="PI9" s="239"/>
      <c r="PJ9" s="239"/>
      <c r="PK9" s="239"/>
      <c r="PL9" s="239"/>
      <c r="PM9" s="239"/>
      <c r="PN9" s="239"/>
      <c r="PO9" s="239"/>
      <c r="PP9" s="239"/>
      <c r="PQ9" s="239"/>
      <c r="PR9" s="239"/>
      <c r="PS9" s="239"/>
      <c r="PT9" s="239"/>
      <c r="PU9" s="239"/>
      <c r="PV9" s="239"/>
      <c r="PW9" s="239"/>
      <c r="PX9" s="239"/>
      <c r="PY9" s="239"/>
      <c r="PZ9" s="239"/>
      <c r="QA9" s="239"/>
      <c r="QB9" s="239"/>
      <c r="QC9" s="239"/>
      <c r="QD9" s="239"/>
      <c r="QE9" s="239"/>
      <c r="QF9" s="239"/>
      <c r="QG9" s="239"/>
      <c r="QH9" s="239"/>
      <c r="QI9" s="239"/>
      <c r="QJ9" s="239"/>
      <c r="QK9" s="239"/>
      <c r="QL9" s="239"/>
      <c r="QM9" s="239"/>
      <c r="QN9" s="239"/>
      <c r="QO9" s="239"/>
      <c r="QP9" s="239"/>
      <c r="QQ9" s="239"/>
      <c r="QR9" s="239"/>
      <c r="QS9" s="239"/>
      <c r="QT9" s="239"/>
      <c r="QU9" s="239"/>
      <c r="QV9" s="239"/>
      <c r="QW9" s="239"/>
      <c r="QX9" s="239"/>
      <c r="QY9" s="239"/>
      <c r="QZ9" s="239"/>
      <c r="RA9" s="239"/>
      <c r="RB9" s="239"/>
      <c r="RC9" s="239"/>
      <c r="RD9" s="239"/>
      <c r="RE9" s="239"/>
      <c r="RF9" s="239"/>
      <c r="RG9" s="239"/>
      <c r="RH9" s="239"/>
      <c r="RI9" s="239"/>
      <c r="RJ9" s="239"/>
      <c r="RK9" s="239"/>
      <c r="RL9" s="239"/>
      <c r="RM9" s="239"/>
      <c r="RN9" s="239"/>
      <c r="RO9" s="239"/>
      <c r="RP9" s="239"/>
      <c r="RQ9" s="239"/>
      <c r="RR9" s="239"/>
      <c r="RS9" s="239"/>
      <c r="RT9" s="239"/>
      <c r="RU9" s="239"/>
      <c r="RV9" s="239"/>
      <c r="RW9" s="239"/>
      <c r="RX9" s="239"/>
      <c r="RY9" s="239"/>
      <c r="RZ9" s="239"/>
      <c r="SA9" s="239"/>
      <c r="SB9" s="239"/>
      <c r="SC9" s="239"/>
      <c r="SD9" s="239"/>
      <c r="SE9" s="239"/>
      <c r="SF9" s="239"/>
      <c r="SG9" s="239"/>
      <c r="SH9" s="239"/>
      <c r="SI9" s="239"/>
      <c r="SJ9" s="239"/>
      <c r="SK9" s="239"/>
      <c r="SL9" s="239"/>
      <c r="SM9" s="239"/>
      <c r="SN9" s="239"/>
      <c r="SO9" s="239"/>
      <c r="SP9" s="239"/>
      <c r="SQ9" s="239"/>
      <c r="SR9" s="239"/>
      <c r="SS9" s="239"/>
      <c r="ST9" s="239"/>
      <c r="SU9" s="239"/>
      <c r="SV9" s="239"/>
      <c r="SW9" s="239"/>
      <c r="SX9" s="239"/>
      <c r="SY9" s="239"/>
      <c r="SZ9" s="239"/>
      <c r="TA9" s="239"/>
      <c r="TB9" s="239"/>
      <c r="TC9" s="239"/>
      <c r="TD9" s="239"/>
      <c r="TE9" s="239"/>
      <c r="TF9" s="239"/>
      <c r="TG9" s="239"/>
      <c r="TH9" s="239"/>
      <c r="TI9" s="239"/>
      <c r="TJ9" s="239"/>
      <c r="TK9" s="239"/>
      <c r="TL9" s="239"/>
      <c r="TM9" s="239"/>
      <c r="TN9" s="239"/>
      <c r="TO9" s="239"/>
      <c r="TP9" s="239"/>
      <c r="TQ9" s="239"/>
      <c r="TR9" s="239"/>
      <c r="TS9" s="239"/>
      <c r="TT9" s="239"/>
      <c r="TU9" s="239"/>
      <c r="TV9" s="239"/>
      <c r="TW9" s="239"/>
      <c r="TX9" s="239"/>
      <c r="TY9" s="239"/>
      <c r="TZ9" s="239"/>
      <c r="UA9" s="239"/>
      <c r="UB9" s="239"/>
      <c r="UC9" s="239"/>
      <c r="UD9" s="239"/>
      <c r="UE9" s="239"/>
      <c r="UF9" s="239"/>
      <c r="UG9" s="239"/>
      <c r="UH9" s="239"/>
      <c r="UI9" s="239"/>
      <c r="UJ9" s="239"/>
      <c r="UK9" s="239"/>
      <c r="UL9" s="239"/>
      <c r="UM9" s="239"/>
      <c r="UN9" s="239"/>
      <c r="UO9" s="239"/>
      <c r="UP9" s="239"/>
      <c r="UQ9" s="239"/>
      <c r="UR9" s="239"/>
      <c r="US9" s="239"/>
      <c r="UT9" s="239"/>
      <c r="UU9" s="239"/>
      <c r="UV9" s="239"/>
      <c r="UW9" s="239"/>
      <c r="UX9" s="239"/>
      <c r="UY9" s="239"/>
      <c r="UZ9" s="239"/>
      <c r="VA9" s="239"/>
      <c r="VB9" s="239"/>
      <c r="VC9" s="239"/>
      <c r="VD9" s="239"/>
      <c r="VE9" s="239"/>
      <c r="VF9" s="239"/>
      <c r="VG9" s="239"/>
      <c r="VH9" s="239"/>
      <c r="VI9" s="239"/>
      <c r="VJ9" s="239"/>
      <c r="VK9" s="239"/>
      <c r="VL9" s="239"/>
      <c r="VM9" s="239"/>
      <c r="VN9" s="239"/>
      <c r="VO9" s="239"/>
      <c r="VP9" s="239"/>
      <c r="VQ9" s="239"/>
      <c r="VR9" s="239"/>
      <c r="VS9" s="239"/>
      <c r="VT9" s="239"/>
      <c r="VU9" s="239"/>
      <c r="VV9" s="239"/>
      <c r="VW9" s="239"/>
      <c r="VX9" s="239"/>
      <c r="VY9" s="239"/>
      <c r="VZ9" s="239"/>
      <c r="WA9" s="239"/>
      <c r="WB9" s="239"/>
      <c r="WC9" s="239"/>
      <c r="WD9" s="239"/>
      <c r="WE9" s="239"/>
      <c r="WF9" s="239"/>
      <c r="WG9" s="239"/>
      <c r="WH9" s="239"/>
      <c r="WI9" s="239"/>
      <c r="WJ9" s="239"/>
      <c r="WK9" s="239"/>
      <c r="WL9" s="239"/>
      <c r="WM9" s="239"/>
      <c r="WN9" s="239"/>
      <c r="WO9" s="239"/>
      <c r="WP9" s="239"/>
      <c r="WQ9" s="239"/>
      <c r="WR9" s="239"/>
      <c r="WS9" s="239"/>
      <c r="WT9" s="239"/>
      <c r="WU9" s="239"/>
      <c r="WV9" s="239"/>
      <c r="WW9" s="239"/>
      <c r="WX9" s="239"/>
      <c r="WY9" s="239"/>
      <c r="WZ9" s="239"/>
      <c r="XA9" s="239"/>
      <c r="XB9" s="239"/>
      <c r="XC9" s="239"/>
      <c r="XD9" s="239"/>
      <c r="XE9" s="239"/>
      <c r="XF9" s="239"/>
      <c r="XG9" s="239"/>
      <c r="XH9" s="239"/>
      <c r="XI9" s="239"/>
      <c r="XJ9" s="239"/>
      <c r="XK9" s="239"/>
      <c r="XL9" s="239"/>
      <c r="XM9" s="239"/>
      <c r="XN9" s="239"/>
      <c r="XO9" s="239"/>
      <c r="XP9" s="239"/>
      <c r="XQ9" s="239"/>
      <c r="XR9" s="239"/>
      <c r="XS9" s="239"/>
      <c r="XT9" s="239"/>
      <c r="XU9" s="239"/>
      <c r="XV9" s="239"/>
      <c r="XW9" s="239"/>
      <c r="XX9" s="239"/>
      <c r="XY9" s="239"/>
      <c r="XZ9" s="239"/>
      <c r="YA9" s="239"/>
      <c r="YB9" s="239"/>
      <c r="YC9" s="239"/>
      <c r="YD9" s="239"/>
      <c r="YE9" s="239"/>
      <c r="YF9" s="239"/>
      <c r="YG9" s="239"/>
      <c r="YH9" s="239"/>
      <c r="YI9" s="239"/>
      <c r="YJ9" s="239"/>
      <c r="YK9" s="239"/>
      <c r="YL9" s="239"/>
      <c r="YM9" s="239"/>
      <c r="YN9" s="239"/>
      <c r="YO9" s="239"/>
      <c r="YP9" s="239"/>
      <c r="YQ9" s="239"/>
      <c r="YR9" s="239"/>
      <c r="YS9" s="239"/>
      <c r="YT9" s="239"/>
      <c r="YU9" s="239"/>
      <c r="YV9" s="239"/>
      <c r="YW9" s="239"/>
      <c r="YX9" s="239"/>
      <c r="YY9" s="239"/>
      <c r="YZ9" s="239"/>
      <c r="ZA9" s="239"/>
      <c r="ZB9" s="239"/>
      <c r="ZC9" s="239"/>
      <c r="ZD9" s="239"/>
      <c r="ZE9" s="239"/>
      <c r="ZF9" s="239"/>
      <c r="ZG9" s="239"/>
      <c r="ZH9" s="239"/>
      <c r="ZI9" s="239"/>
      <c r="ZJ9" s="239"/>
      <c r="ZK9" s="239"/>
      <c r="ZL9" s="239"/>
      <c r="ZM9" s="239"/>
      <c r="ZN9" s="239"/>
      <c r="ZO9" s="239"/>
      <c r="ZP9" s="239"/>
      <c r="ZQ9" s="239"/>
      <c r="ZR9" s="239"/>
      <c r="ZS9" s="239"/>
      <c r="ZT9" s="239"/>
      <c r="ZU9" s="239"/>
      <c r="ZV9" s="239"/>
      <c r="ZW9" s="239"/>
      <c r="ZX9" s="239"/>
      <c r="ZY9" s="239"/>
      <c r="ZZ9" s="239"/>
      <c r="AAA9" s="239"/>
      <c r="AAB9" s="239"/>
      <c r="AAC9" s="239"/>
      <c r="AAD9" s="239"/>
      <c r="AAE9" s="239"/>
      <c r="AAF9" s="239"/>
      <c r="AAG9" s="239"/>
      <c r="AAH9" s="239"/>
      <c r="AAI9" s="239"/>
      <c r="AAJ9" s="239"/>
      <c r="AAK9" s="239"/>
      <c r="AAL9" s="239"/>
      <c r="AAM9" s="239"/>
      <c r="AAN9" s="239"/>
      <c r="AAO9" s="239"/>
      <c r="AAP9" s="239"/>
      <c r="AAQ9" s="239"/>
      <c r="AAR9" s="239"/>
      <c r="AAS9" s="239"/>
      <c r="AAT9" s="239"/>
      <c r="AAU9" s="239"/>
      <c r="AAV9" s="239"/>
      <c r="AAW9" s="239"/>
      <c r="AAX9" s="239"/>
      <c r="AAY9" s="239"/>
      <c r="AAZ9" s="239"/>
      <c r="ABA9" s="239"/>
      <c r="ABB9" s="239"/>
      <c r="ABC9" s="239"/>
      <c r="ABD9" s="239"/>
      <c r="ABE9" s="239"/>
      <c r="ABF9" s="239"/>
      <c r="ABG9" s="239"/>
      <c r="ABH9" s="239"/>
      <c r="ABI9" s="239"/>
      <c r="ABJ9" s="239"/>
      <c r="ABK9" s="239"/>
      <c r="ABL9" s="239"/>
      <c r="ABM9" s="239"/>
      <c r="ABN9" s="239"/>
      <c r="ABO9" s="239"/>
      <c r="ABP9" s="239"/>
      <c r="ABQ9" s="239"/>
      <c r="ABR9" s="239"/>
      <c r="ABS9" s="239"/>
      <c r="ABT9" s="239"/>
      <c r="ABU9" s="239"/>
      <c r="ABV9" s="239"/>
      <c r="ABW9" s="239"/>
      <c r="ABX9" s="239"/>
      <c r="ABY9" s="239"/>
      <c r="ABZ9" s="239"/>
      <c r="ACA9" s="239"/>
      <c r="ACB9" s="239"/>
      <c r="ACC9" s="239"/>
      <c r="ACD9" s="239"/>
      <c r="ACE9" s="239"/>
      <c r="ACF9" s="239"/>
      <c r="ACG9" s="239"/>
      <c r="ACH9" s="239"/>
      <c r="ACI9" s="239"/>
      <c r="ACJ9" s="239"/>
      <c r="ACK9" s="239"/>
      <c r="ACL9" s="239"/>
      <c r="ACM9" s="239"/>
      <c r="ACN9" s="239"/>
      <c r="ACO9" s="239"/>
      <c r="ACP9" s="239"/>
      <c r="ACQ9" s="239"/>
      <c r="ACR9" s="239"/>
      <c r="ACS9" s="239"/>
      <c r="ACT9" s="239"/>
      <c r="ACU9" s="239"/>
      <c r="ACV9" s="239"/>
      <c r="ACW9" s="239"/>
      <c r="ACX9" s="239"/>
      <c r="ACY9" s="239"/>
      <c r="ACZ9" s="239"/>
      <c r="ADA9" s="239"/>
      <c r="ADB9" s="239"/>
      <c r="ADC9" s="239"/>
      <c r="ADD9" s="239"/>
      <c r="ADE9" s="239"/>
      <c r="ADF9" s="239"/>
      <c r="ADG9" s="239"/>
      <c r="ADH9" s="239"/>
      <c r="ADI9" s="239"/>
      <c r="ADJ9" s="239"/>
      <c r="ADK9" s="239"/>
      <c r="ADL9" s="239"/>
      <c r="ADM9" s="239"/>
      <c r="ADN9" s="239"/>
      <c r="ADO9" s="239"/>
      <c r="ADP9" s="239"/>
      <c r="ADQ9" s="239"/>
      <c r="ADR9" s="239"/>
      <c r="ADS9" s="239"/>
      <c r="ADT9" s="239"/>
      <c r="ADU9" s="239"/>
      <c r="ADV9" s="239"/>
      <c r="ADW9" s="239"/>
      <c r="ADX9" s="239"/>
      <c r="ADY9" s="239"/>
      <c r="ADZ9" s="239"/>
      <c r="AEA9" s="239"/>
      <c r="AEB9" s="239"/>
      <c r="AEC9" s="239"/>
      <c r="AED9" s="239"/>
      <c r="AEE9" s="239"/>
      <c r="AEF9" s="239"/>
      <c r="AEG9" s="239"/>
      <c r="AEH9" s="239"/>
      <c r="AEI9" s="239"/>
      <c r="AEJ9" s="239"/>
      <c r="AEK9" s="239"/>
      <c r="AEL9" s="239"/>
      <c r="AEM9" s="239"/>
      <c r="AEN9" s="239"/>
      <c r="AEO9" s="239"/>
      <c r="AEP9" s="239"/>
      <c r="AEQ9" s="239"/>
      <c r="AER9" s="239"/>
      <c r="AES9" s="239"/>
      <c r="AET9" s="239"/>
      <c r="AEU9" s="239"/>
      <c r="AEV9" s="239"/>
      <c r="AEW9" s="239"/>
      <c r="AEX9" s="239"/>
      <c r="AEY9" s="239"/>
      <c r="AEZ9" s="239"/>
      <c r="AFA9" s="239"/>
      <c r="AFB9" s="239"/>
      <c r="AFC9" s="239"/>
      <c r="AFD9" s="239"/>
      <c r="AFE9" s="239"/>
      <c r="AFF9" s="239"/>
      <c r="AFG9" s="239"/>
      <c r="AFH9" s="239"/>
      <c r="AFI9" s="239"/>
      <c r="AFJ9" s="239"/>
      <c r="AFK9" s="239"/>
      <c r="AFL9" s="239"/>
      <c r="AFM9" s="239"/>
      <c r="AFN9" s="239"/>
      <c r="AFO9" s="239"/>
      <c r="AFP9" s="239"/>
      <c r="AFQ9" s="239"/>
      <c r="AFR9" s="239"/>
      <c r="AFS9" s="239"/>
      <c r="AFT9" s="239"/>
      <c r="AFU9" s="239"/>
      <c r="AFV9" s="239"/>
      <c r="AFW9" s="239"/>
      <c r="AFX9" s="239"/>
      <c r="AFY9" s="239"/>
      <c r="AFZ9" s="239"/>
      <c r="AGA9" s="239"/>
      <c r="AGB9" s="239"/>
      <c r="AGC9" s="239"/>
      <c r="AGD9" s="239"/>
      <c r="AGE9" s="239"/>
      <c r="AGF9" s="239"/>
      <c r="AGG9" s="239"/>
      <c r="AGH9" s="239"/>
      <c r="AGI9" s="239"/>
      <c r="AGJ9" s="239"/>
      <c r="AGK9" s="239"/>
      <c r="AGL9" s="239"/>
      <c r="AGM9" s="239"/>
      <c r="AGN9" s="239"/>
      <c r="AGO9" s="239"/>
      <c r="AGP9" s="239"/>
      <c r="AGQ9" s="239"/>
      <c r="AGR9" s="239"/>
      <c r="AGS9" s="239"/>
      <c r="AGT9" s="239"/>
      <c r="AGU9" s="239"/>
      <c r="AGV9" s="239"/>
      <c r="AGW9" s="239"/>
      <c r="AGX9" s="239"/>
      <c r="AGY9" s="239"/>
      <c r="AGZ9" s="239"/>
      <c r="AHA9" s="239"/>
      <c r="AHB9" s="239"/>
      <c r="AHC9" s="239"/>
      <c r="AHD9" s="239"/>
      <c r="AHE9" s="239"/>
      <c r="AHF9" s="239"/>
      <c r="AHG9" s="239"/>
      <c r="AHH9" s="239"/>
      <c r="AHI9" s="239"/>
      <c r="AHJ9" s="239"/>
      <c r="AHK9" s="239"/>
      <c r="AHL9" s="239"/>
      <c r="AHM9" s="239"/>
      <c r="AHN9" s="239"/>
      <c r="AHO9" s="239"/>
      <c r="AHP9" s="239"/>
      <c r="AHQ9" s="239"/>
      <c r="AHR9" s="239"/>
      <c r="AHS9" s="239"/>
      <c r="AHT9" s="239"/>
      <c r="AHU9" s="239"/>
      <c r="AHV9" s="239"/>
      <c r="AHW9" s="239"/>
      <c r="AHX9" s="239"/>
      <c r="AHY9" s="239"/>
      <c r="AHZ9" s="239"/>
      <c r="AIA9" s="239"/>
      <c r="AIB9" s="239"/>
      <c r="AIC9" s="239"/>
      <c r="AID9" s="239"/>
      <c r="AIE9" s="239"/>
      <c r="AIF9" s="239"/>
      <c r="AIG9" s="239"/>
      <c r="AIH9" s="239"/>
      <c r="AII9" s="239"/>
      <c r="AIJ9" s="239"/>
      <c r="AIK9" s="239"/>
      <c r="AIL9" s="239"/>
      <c r="AIM9" s="239"/>
      <c r="AIN9" s="239"/>
      <c r="AIO9" s="239"/>
      <c r="AIP9" s="239"/>
      <c r="AIQ9" s="239"/>
      <c r="AIR9" s="239"/>
      <c r="AIS9" s="239"/>
      <c r="AIT9" s="239"/>
      <c r="AIU9" s="239"/>
      <c r="AIV9" s="239"/>
      <c r="AIW9" s="239"/>
      <c r="AIX9" s="239"/>
      <c r="AIY9" s="239"/>
      <c r="AIZ9" s="239"/>
      <c r="AJA9" s="239"/>
      <c r="AJB9" s="239"/>
      <c r="AJC9" s="239"/>
      <c r="AJD9" s="239"/>
      <c r="AJE9" s="239"/>
      <c r="AJF9" s="239"/>
      <c r="AJG9" s="239"/>
      <c r="AJH9" s="239"/>
      <c r="AJI9" s="239"/>
      <c r="AJJ9" s="239"/>
      <c r="AJK9" s="239"/>
      <c r="AJL9" s="239"/>
      <c r="AJM9" s="239"/>
      <c r="AJN9" s="239"/>
      <c r="AJO9" s="239"/>
      <c r="AJP9" s="239"/>
      <c r="AJQ9" s="239"/>
      <c r="AJR9" s="239"/>
      <c r="AJS9" s="239"/>
      <c r="AJT9" s="239"/>
      <c r="AJU9" s="239"/>
      <c r="AJV9" s="239"/>
      <c r="AJW9" s="239"/>
      <c r="AJX9" s="239"/>
      <c r="AJY9" s="239"/>
      <c r="AJZ9" s="239"/>
      <c r="AKA9" s="239"/>
      <c r="AKB9" s="239"/>
      <c r="AKC9" s="239"/>
      <c r="AKD9" s="239"/>
      <c r="AKE9" s="239"/>
      <c r="AKF9" s="239"/>
      <c r="AKG9" s="239"/>
      <c r="AKH9" s="239"/>
      <c r="AKI9" s="239"/>
      <c r="AKJ9" s="239"/>
      <c r="AKK9" s="239"/>
      <c r="AKL9" s="239"/>
      <c r="AKM9" s="239"/>
      <c r="AKN9" s="239"/>
      <c r="AKO9" s="239"/>
      <c r="AKP9" s="239"/>
      <c r="AKQ9" s="239"/>
      <c r="AKR9" s="239"/>
      <c r="AKS9" s="239"/>
      <c r="AKT9" s="239"/>
      <c r="AKU9" s="239"/>
      <c r="AKV9" s="239"/>
      <c r="AKW9" s="239"/>
      <c r="AKX9" s="239"/>
      <c r="AKY9" s="239"/>
      <c r="AKZ9" s="239"/>
      <c r="ALA9" s="239"/>
      <c r="ALB9" s="239"/>
      <c r="ALC9" s="239"/>
      <c r="ALD9" s="239"/>
      <c r="ALE9" s="239"/>
      <c r="ALF9" s="239"/>
      <c r="ALG9" s="239"/>
      <c r="ALH9" s="239"/>
      <c r="ALI9" s="239"/>
      <c r="ALJ9" s="239"/>
      <c r="ALK9" s="239"/>
      <c r="ALL9" s="239"/>
      <c r="ALM9" s="239"/>
      <c r="ALN9" s="239"/>
      <c r="ALO9" s="239"/>
      <c r="ALP9" s="239"/>
      <c r="ALQ9" s="239"/>
      <c r="ALR9" s="239"/>
      <c r="ALS9" s="239"/>
      <c r="ALT9" s="239"/>
      <c r="ALU9" s="239"/>
      <c r="ALV9" s="239"/>
      <c r="ALW9" s="239"/>
      <c r="ALX9" s="239"/>
      <c r="ALY9" s="239"/>
      <c r="ALZ9" s="239"/>
      <c r="AMA9" s="239"/>
      <c r="AMB9" s="239"/>
      <c r="AMC9" s="239"/>
      <c r="AMD9" s="239"/>
      <c r="AME9" s="239"/>
      <c r="AMF9" s="239"/>
      <c r="AMG9" s="239"/>
      <c r="AMH9" s="239"/>
      <c r="AMI9" s="239"/>
      <c r="AMJ9" s="239"/>
      <c r="AMK9" s="239"/>
      <c r="AML9" s="239"/>
      <c r="AMM9" s="239"/>
      <c r="AMN9" s="239"/>
      <c r="AMO9" s="239"/>
      <c r="AMP9" s="239"/>
      <c r="AMQ9" s="239"/>
      <c r="AMR9" s="239"/>
      <c r="AMS9" s="239"/>
      <c r="AMT9" s="239"/>
      <c r="AMU9" s="239"/>
      <c r="AMV9" s="239"/>
      <c r="AMW9" s="239"/>
      <c r="AMX9" s="239"/>
      <c r="AMY9" s="239"/>
      <c r="AMZ9" s="239"/>
      <c r="ANA9" s="239"/>
      <c r="ANB9" s="239"/>
      <c r="ANC9" s="239"/>
      <c r="AND9" s="239"/>
      <c r="ANE9" s="239"/>
      <c r="ANF9" s="239"/>
      <c r="ANG9" s="239"/>
      <c r="ANH9" s="239"/>
      <c r="ANI9" s="239"/>
      <c r="ANJ9" s="239"/>
      <c r="ANK9" s="239"/>
      <c r="ANL9" s="239"/>
      <c r="ANM9" s="239"/>
      <c r="ANN9" s="239"/>
      <c r="ANO9" s="239"/>
      <c r="ANP9" s="239"/>
      <c r="ANQ9" s="239"/>
      <c r="ANR9" s="239"/>
      <c r="ANS9" s="239"/>
      <c r="ANT9" s="239"/>
      <c r="ANU9" s="239"/>
      <c r="ANV9" s="239"/>
      <c r="ANW9" s="239"/>
      <c r="ANX9" s="239"/>
      <c r="ANY9" s="239"/>
      <c r="ANZ9" s="239"/>
      <c r="AOA9" s="239"/>
      <c r="AOB9" s="239"/>
      <c r="AOC9" s="239"/>
      <c r="AOD9" s="239"/>
      <c r="AOE9" s="239"/>
      <c r="AOF9" s="239"/>
      <c r="AOG9" s="239"/>
      <c r="AOH9" s="239"/>
      <c r="AOI9" s="239"/>
      <c r="AOJ9" s="239"/>
      <c r="AOK9" s="239"/>
      <c r="AOL9" s="239"/>
      <c r="AOM9" s="239"/>
      <c r="AON9" s="239"/>
      <c r="AOO9" s="239"/>
      <c r="AOP9" s="239"/>
      <c r="AOQ9" s="239"/>
      <c r="AOR9" s="239"/>
      <c r="AOS9" s="239"/>
      <c r="AOT9" s="239"/>
      <c r="AOU9" s="239"/>
      <c r="AOV9" s="239"/>
      <c r="AOW9" s="239"/>
      <c r="AOX9" s="239"/>
      <c r="AOY9" s="239"/>
      <c r="AOZ9" s="239"/>
      <c r="APA9" s="239"/>
      <c r="APB9" s="239"/>
      <c r="APC9" s="239"/>
      <c r="APD9" s="239"/>
      <c r="APE9" s="239"/>
      <c r="APF9" s="239"/>
      <c r="APG9" s="239"/>
      <c r="APH9" s="239"/>
      <c r="API9" s="239"/>
      <c r="APJ9" s="239"/>
      <c r="APK9" s="239"/>
      <c r="APL9" s="239"/>
      <c r="APM9" s="239"/>
      <c r="APN9" s="239"/>
      <c r="APO9" s="239"/>
      <c r="APP9" s="239"/>
      <c r="APQ9" s="239"/>
      <c r="APR9" s="239"/>
      <c r="APS9" s="239"/>
      <c r="APT9" s="239"/>
      <c r="APU9" s="239"/>
      <c r="APV9" s="239"/>
      <c r="APW9" s="239"/>
      <c r="APX9" s="239"/>
      <c r="APY9" s="239"/>
      <c r="APZ9" s="239"/>
      <c r="AQA9" s="239"/>
      <c r="AQB9" s="239"/>
      <c r="AQC9" s="239"/>
      <c r="AQD9" s="239"/>
      <c r="AQE9" s="239"/>
      <c r="AQF9" s="239"/>
      <c r="AQG9" s="239"/>
      <c r="AQH9" s="239"/>
      <c r="AQI9" s="239"/>
      <c r="AQJ9" s="239"/>
      <c r="AQK9" s="239"/>
      <c r="AQL9" s="239"/>
      <c r="AQM9" s="239"/>
      <c r="AQN9" s="239"/>
      <c r="AQO9" s="239"/>
      <c r="AQP9" s="239"/>
      <c r="AQQ9" s="239"/>
      <c r="AQR9" s="239"/>
      <c r="AQS9" s="239"/>
      <c r="AQT9" s="239"/>
      <c r="AQU9" s="239"/>
      <c r="AQV9" s="239"/>
      <c r="AQW9" s="239"/>
      <c r="AQX9" s="239"/>
      <c r="AQY9" s="239"/>
      <c r="AQZ9" s="239"/>
      <c r="ARA9" s="239"/>
      <c r="ARB9" s="239"/>
      <c r="ARC9" s="239"/>
      <c r="ARD9" s="239"/>
      <c r="ARE9" s="239"/>
      <c r="ARF9" s="239"/>
      <c r="ARG9" s="239"/>
      <c r="ARH9" s="239"/>
      <c r="ARI9" s="239"/>
      <c r="ARJ9" s="239"/>
      <c r="ARK9" s="239"/>
      <c r="ARL9" s="239"/>
      <c r="ARM9" s="239"/>
      <c r="ARN9" s="239"/>
      <c r="ARO9" s="239"/>
      <c r="ARP9" s="239"/>
      <c r="ARQ9" s="239"/>
      <c r="ARR9" s="239"/>
      <c r="ARS9" s="239"/>
      <c r="ART9" s="239"/>
      <c r="ARU9" s="239"/>
      <c r="ARV9" s="239"/>
      <c r="ARW9" s="239"/>
      <c r="ARX9" s="239"/>
      <c r="ARY9" s="239"/>
      <c r="ARZ9" s="239"/>
      <c r="ASA9" s="239"/>
      <c r="ASB9" s="239"/>
      <c r="ASC9" s="239"/>
      <c r="ASD9" s="239"/>
      <c r="ASE9" s="239"/>
      <c r="ASF9" s="239"/>
      <c r="ASG9" s="239"/>
      <c r="ASH9" s="239"/>
      <c r="ASI9" s="239"/>
      <c r="ASJ9" s="239"/>
      <c r="ASK9" s="239"/>
      <c r="ASL9" s="239"/>
      <c r="ASM9" s="239"/>
      <c r="ASN9" s="239"/>
      <c r="ASO9" s="239"/>
      <c r="ASP9" s="239"/>
      <c r="ASQ9" s="239"/>
      <c r="ASR9" s="239"/>
      <c r="ASS9" s="239"/>
      <c r="AST9" s="239"/>
      <c r="ASU9" s="239"/>
      <c r="ASV9" s="239"/>
      <c r="ASW9" s="239"/>
      <c r="ASX9" s="239"/>
      <c r="ASY9" s="239"/>
      <c r="ASZ9" s="239"/>
      <c r="ATA9" s="239"/>
      <c r="ATB9" s="239"/>
      <c r="ATC9" s="239"/>
      <c r="ATD9" s="239"/>
      <c r="ATE9" s="239"/>
      <c r="ATF9" s="239"/>
      <c r="ATG9" s="239"/>
      <c r="ATH9" s="239"/>
      <c r="ATI9" s="239"/>
      <c r="ATJ9" s="239"/>
      <c r="ATK9" s="239"/>
      <c r="ATL9" s="239"/>
      <c r="ATM9" s="239"/>
      <c r="ATN9" s="239"/>
      <c r="ATO9" s="239"/>
      <c r="ATP9" s="239"/>
      <c r="ATQ9" s="239"/>
      <c r="ATR9" s="239"/>
      <c r="ATS9" s="239"/>
      <c r="ATT9" s="239"/>
      <c r="ATU9" s="239"/>
      <c r="ATV9" s="239"/>
      <c r="ATW9" s="239"/>
      <c r="ATX9" s="239"/>
      <c r="ATY9" s="239"/>
      <c r="ATZ9" s="239"/>
      <c r="AUA9" s="239"/>
      <c r="AUB9" s="239"/>
      <c r="AUC9" s="239"/>
      <c r="AUD9" s="239"/>
      <c r="AUE9" s="239"/>
      <c r="AUF9" s="239"/>
      <c r="AUG9" s="239"/>
      <c r="AUH9" s="239"/>
      <c r="AUI9" s="239"/>
      <c r="AUJ9" s="239"/>
      <c r="AUK9" s="239"/>
      <c r="AUL9" s="239"/>
      <c r="AUM9" s="239"/>
      <c r="AUN9" s="239"/>
      <c r="AUO9" s="239"/>
      <c r="AUP9" s="239"/>
      <c r="AUQ9" s="239"/>
      <c r="AUR9" s="239"/>
      <c r="AUS9" s="239"/>
      <c r="AUT9" s="239"/>
      <c r="AUU9" s="239"/>
      <c r="AUV9" s="239"/>
      <c r="AUW9" s="239"/>
      <c r="AUX9" s="239"/>
      <c r="AUY9" s="239"/>
      <c r="AUZ9" s="239"/>
      <c r="AVA9" s="239"/>
      <c r="AVB9" s="239"/>
      <c r="AVC9" s="239"/>
      <c r="AVD9" s="239"/>
      <c r="AVE9" s="239"/>
      <c r="AVF9" s="239"/>
      <c r="AVG9" s="239"/>
      <c r="AVH9" s="239"/>
      <c r="AVI9" s="239"/>
      <c r="AVJ9" s="239"/>
      <c r="AVK9" s="239"/>
      <c r="AVL9" s="239"/>
      <c r="AVM9" s="239"/>
      <c r="AVN9" s="239"/>
      <c r="AVO9" s="239"/>
      <c r="AVP9" s="239"/>
      <c r="AVQ9" s="239"/>
      <c r="AVR9" s="239"/>
      <c r="AVS9" s="239"/>
      <c r="AVT9" s="239"/>
      <c r="AVU9" s="239"/>
      <c r="AVV9" s="239"/>
      <c r="AVW9" s="239"/>
      <c r="AVX9" s="239"/>
      <c r="AVY9" s="239"/>
      <c r="AVZ9" s="239"/>
      <c r="AWA9" s="239"/>
      <c r="AWB9" s="239"/>
      <c r="AWC9" s="239"/>
      <c r="AWD9" s="239"/>
      <c r="AWE9" s="239"/>
      <c r="AWF9" s="239"/>
      <c r="AWG9" s="239"/>
      <c r="AWH9" s="239"/>
      <c r="AWI9" s="239"/>
      <c r="AWJ9" s="239"/>
      <c r="AWK9" s="239"/>
      <c r="AWL9" s="239"/>
      <c r="AWM9" s="239"/>
      <c r="AWN9" s="239"/>
      <c r="AWO9" s="239"/>
      <c r="AWP9" s="239"/>
      <c r="AWQ9" s="239"/>
      <c r="AWR9" s="239"/>
      <c r="AWS9" s="239"/>
      <c r="AWT9" s="239"/>
      <c r="AWU9" s="239"/>
      <c r="AWV9" s="239"/>
      <c r="AWW9" s="239"/>
      <c r="AWX9" s="239"/>
      <c r="AWY9" s="239"/>
      <c r="AWZ9" s="239"/>
      <c r="AXA9" s="239"/>
      <c r="AXB9" s="239"/>
      <c r="AXC9" s="239"/>
      <c r="AXD9" s="239"/>
      <c r="AXE9" s="239"/>
      <c r="AXF9" s="239"/>
      <c r="AXG9" s="239"/>
      <c r="AXH9" s="239"/>
      <c r="AXI9" s="239"/>
      <c r="AXJ9" s="239"/>
      <c r="AXK9" s="239"/>
      <c r="AXL9" s="239"/>
      <c r="AXM9" s="239"/>
      <c r="AXN9" s="239"/>
      <c r="AXO9" s="239"/>
      <c r="AXP9" s="239"/>
      <c r="AXQ9" s="239"/>
      <c r="AXR9" s="239"/>
      <c r="AXS9" s="239"/>
      <c r="AXT9" s="239"/>
      <c r="AXU9" s="239"/>
      <c r="AXV9" s="239"/>
      <c r="AXW9" s="239"/>
      <c r="AXX9" s="239"/>
      <c r="AXY9" s="239"/>
      <c r="AXZ9" s="239"/>
      <c r="AYA9" s="239"/>
      <c r="AYB9" s="239"/>
      <c r="AYC9" s="239"/>
      <c r="AYD9" s="239"/>
      <c r="AYE9" s="239"/>
      <c r="AYF9" s="239"/>
      <c r="AYG9" s="239"/>
      <c r="AYH9" s="239"/>
      <c r="AYI9" s="239"/>
      <c r="AYJ9" s="239"/>
      <c r="AYK9" s="239"/>
      <c r="AYL9" s="239"/>
      <c r="AYM9" s="239"/>
      <c r="AYN9" s="239"/>
      <c r="AYO9" s="239"/>
      <c r="AYP9" s="239"/>
      <c r="AYQ9" s="239"/>
      <c r="AYR9" s="239"/>
      <c r="AYS9" s="239"/>
      <c r="AYT9" s="239"/>
      <c r="AYU9" s="239"/>
      <c r="AYV9" s="239"/>
      <c r="AYW9" s="239"/>
      <c r="AYX9" s="239"/>
      <c r="AYY9" s="239"/>
      <c r="AYZ9" s="239"/>
      <c r="AZA9" s="239"/>
      <c r="AZB9" s="239"/>
      <c r="AZC9" s="239"/>
      <c r="AZD9" s="239"/>
      <c r="AZE9" s="239"/>
      <c r="AZF9" s="239"/>
      <c r="AZG9" s="239"/>
      <c r="AZH9" s="239"/>
      <c r="AZI9" s="239"/>
      <c r="AZJ9" s="239"/>
      <c r="AZK9" s="239"/>
      <c r="AZL9" s="239"/>
      <c r="AZM9" s="239"/>
      <c r="AZN9" s="239"/>
      <c r="AZO9" s="239"/>
      <c r="AZP9" s="239"/>
      <c r="AZQ9" s="239"/>
      <c r="AZR9" s="239"/>
      <c r="AZS9" s="239"/>
      <c r="AZT9" s="239"/>
      <c r="AZU9" s="239"/>
      <c r="AZV9" s="239"/>
      <c r="AZW9" s="239"/>
      <c r="AZX9" s="239"/>
      <c r="AZY9" s="239"/>
      <c r="AZZ9" s="239"/>
      <c r="BAA9" s="239"/>
      <c r="BAB9" s="239"/>
      <c r="BAC9" s="239"/>
      <c r="BAD9" s="239"/>
      <c r="BAE9" s="239"/>
      <c r="BAF9" s="239"/>
      <c r="BAG9" s="239"/>
      <c r="BAH9" s="239"/>
      <c r="BAI9" s="239"/>
      <c r="BAJ9" s="239"/>
      <c r="BAK9" s="239"/>
      <c r="BAL9" s="239"/>
      <c r="BAM9" s="239"/>
      <c r="BAN9" s="239"/>
      <c r="BAO9" s="239"/>
      <c r="BAP9" s="239"/>
      <c r="BAQ9" s="239"/>
      <c r="BAR9" s="239"/>
      <c r="BAS9" s="239"/>
      <c r="BAT9" s="239"/>
      <c r="BAU9" s="239"/>
      <c r="BAV9" s="239"/>
      <c r="BAW9" s="239"/>
      <c r="BAX9" s="239"/>
      <c r="BAY9" s="239"/>
      <c r="BAZ9" s="239"/>
      <c r="BBA9" s="239"/>
      <c r="BBB9" s="239"/>
      <c r="BBC9" s="239"/>
      <c r="BBD9" s="239"/>
      <c r="BBE9" s="239"/>
      <c r="BBF9" s="239"/>
      <c r="BBG9" s="239"/>
      <c r="BBH9" s="239"/>
      <c r="BBI9" s="239"/>
      <c r="BBJ9" s="239"/>
      <c r="BBK9" s="239"/>
      <c r="BBL9" s="239"/>
      <c r="BBM9" s="239"/>
      <c r="BBN9" s="239"/>
      <c r="BBO9" s="239"/>
      <c r="BBP9" s="239"/>
      <c r="BBQ9" s="239"/>
      <c r="BBR9" s="239"/>
      <c r="BBS9" s="239"/>
      <c r="BBT9" s="239"/>
      <c r="BBU9" s="239"/>
      <c r="BBV9" s="239"/>
      <c r="BBW9" s="239"/>
      <c r="BBX9" s="239"/>
      <c r="BBY9" s="239"/>
      <c r="BBZ9" s="239"/>
      <c r="BCA9" s="239"/>
      <c r="BCB9" s="239"/>
      <c r="BCC9" s="239"/>
      <c r="BCD9" s="239"/>
      <c r="BCE9" s="239"/>
      <c r="BCF9" s="239"/>
      <c r="BCG9" s="239"/>
      <c r="BCH9" s="239"/>
      <c r="BCI9" s="239"/>
      <c r="BCJ9" s="239"/>
      <c r="BCK9" s="239"/>
      <c r="BCL9" s="239"/>
      <c r="BCM9" s="239"/>
      <c r="BCN9" s="239"/>
      <c r="BCO9" s="239"/>
      <c r="BCP9" s="239"/>
      <c r="BCQ9" s="239"/>
      <c r="BCR9" s="239"/>
      <c r="BCS9" s="239"/>
      <c r="BCT9" s="239"/>
      <c r="BCU9" s="239"/>
      <c r="BCV9" s="239"/>
      <c r="BCW9" s="239"/>
      <c r="BCX9" s="239"/>
      <c r="BCY9" s="239"/>
      <c r="BCZ9" s="239"/>
      <c r="BDA9" s="239"/>
      <c r="BDB9" s="239"/>
      <c r="BDC9" s="239"/>
      <c r="BDD9" s="239"/>
      <c r="BDE9" s="239"/>
      <c r="BDF9" s="239"/>
      <c r="BDG9" s="239"/>
      <c r="BDH9" s="239"/>
      <c r="BDI9" s="239"/>
      <c r="BDJ9" s="239"/>
      <c r="BDK9" s="239"/>
      <c r="BDL9" s="239"/>
      <c r="BDM9" s="239"/>
      <c r="BDN9" s="239"/>
      <c r="BDO9" s="239"/>
      <c r="BDP9" s="239"/>
      <c r="BDQ9" s="239"/>
      <c r="BDR9" s="239"/>
      <c r="BDS9" s="239"/>
      <c r="BDT9" s="239"/>
      <c r="BDU9" s="239"/>
      <c r="BDV9" s="239"/>
      <c r="BDW9" s="239"/>
      <c r="BDX9" s="239"/>
      <c r="BDY9" s="239"/>
      <c r="BDZ9" s="239"/>
      <c r="BEA9" s="239"/>
      <c r="BEB9" s="239"/>
      <c r="BEC9" s="239"/>
      <c r="BED9" s="239"/>
      <c r="BEE9" s="239"/>
      <c r="BEF9" s="239"/>
      <c r="BEG9" s="239"/>
      <c r="BEH9" s="239"/>
      <c r="BEI9" s="239"/>
      <c r="BEJ9" s="239"/>
      <c r="BEK9" s="239"/>
      <c r="BEL9" s="239"/>
      <c r="BEM9" s="239"/>
      <c r="BEN9" s="239"/>
      <c r="BEO9" s="239"/>
      <c r="BEP9" s="239"/>
      <c r="BEQ9" s="239"/>
      <c r="BER9" s="239"/>
      <c r="BES9" s="239"/>
      <c r="BET9" s="239"/>
      <c r="BEU9" s="239"/>
      <c r="BEV9" s="239"/>
      <c r="BEW9" s="239"/>
      <c r="BEX9" s="239"/>
      <c r="BEY9" s="239"/>
      <c r="BEZ9" s="239"/>
      <c r="BFA9" s="239"/>
      <c r="BFB9" s="239"/>
      <c r="BFC9" s="239"/>
      <c r="BFD9" s="239"/>
      <c r="BFE9" s="239"/>
      <c r="BFF9" s="239"/>
      <c r="BFG9" s="239"/>
      <c r="BFH9" s="239"/>
      <c r="BFI9" s="239"/>
      <c r="BFJ9" s="239"/>
      <c r="BFK9" s="239"/>
      <c r="BFL9" s="239"/>
      <c r="BFM9" s="239"/>
      <c r="BFN9" s="239"/>
      <c r="BFO9" s="239"/>
      <c r="BFP9" s="239"/>
      <c r="BFQ9" s="239"/>
      <c r="BFR9" s="239"/>
      <c r="BFS9" s="239"/>
      <c r="BFT9" s="239"/>
      <c r="BFU9" s="239"/>
      <c r="BFV9" s="239"/>
      <c r="BFW9" s="239"/>
      <c r="BFX9" s="239"/>
      <c r="BFY9" s="239"/>
      <c r="BFZ9" s="239"/>
      <c r="BGA9" s="239"/>
      <c r="BGB9" s="239"/>
      <c r="BGC9" s="239"/>
      <c r="BGD9" s="239"/>
      <c r="BGE9" s="239"/>
      <c r="BGF9" s="239"/>
      <c r="BGG9" s="239"/>
      <c r="BGH9" s="239"/>
      <c r="BGI9" s="239"/>
      <c r="BGJ9" s="239"/>
      <c r="BGK9" s="239"/>
      <c r="BGL9" s="239"/>
      <c r="BGM9" s="239"/>
      <c r="BGN9" s="239"/>
      <c r="BGO9" s="239"/>
      <c r="BGP9" s="239"/>
      <c r="BGQ9" s="239"/>
      <c r="BGR9" s="239"/>
      <c r="BGS9" s="239"/>
      <c r="BGT9" s="239"/>
      <c r="BGU9" s="239"/>
      <c r="BGV9" s="239"/>
      <c r="BGW9" s="239"/>
      <c r="BGX9" s="239"/>
      <c r="BGY9" s="239"/>
      <c r="BGZ9" s="239"/>
      <c r="BHA9" s="239"/>
      <c r="BHB9" s="239"/>
      <c r="BHC9" s="239"/>
      <c r="BHD9" s="239"/>
      <c r="BHE9" s="239"/>
      <c r="BHF9" s="239"/>
      <c r="BHG9" s="239"/>
      <c r="BHH9" s="239"/>
      <c r="BHI9" s="239"/>
      <c r="BHJ9" s="239"/>
      <c r="BHK9" s="239"/>
      <c r="BHL9" s="239"/>
      <c r="BHM9" s="239"/>
      <c r="BHN9" s="239"/>
      <c r="BHO9" s="239"/>
      <c r="BHP9" s="239"/>
      <c r="BHQ9" s="239"/>
      <c r="BHR9" s="239"/>
      <c r="BHS9" s="239"/>
      <c r="BHT9" s="239"/>
      <c r="BHU9" s="239"/>
      <c r="BHV9" s="239"/>
      <c r="BHW9" s="239"/>
      <c r="BHX9" s="239"/>
      <c r="BHY9" s="239"/>
      <c r="BHZ9" s="239"/>
      <c r="BIA9" s="239"/>
      <c r="BIB9" s="239"/>
      <c r="BIC9" s="239"/>
      <c r="BID9" s="239"/>
      <c r="BIE9" s="239"/>
      <c r="BIF9" s="239"/>
      <c r="BIG9" s="239"/>
      <c r="BIH9" s="239"/>
      <c r="BII9" s="239"/>
      <c r="BIJ9" s="239"/>
      <c r="BIK9" s="239"/>
      <c r="BIL9" s="239"/>
      <c r="BIM9" s="239"/>
      <c r="BIN9" s="239"/>
      <c r="BIO9" s="239"/>
      <c r="BIP9" s="239"/>
      <c r="BIQ9" s="239"/>
      <c r="BIR9" s="239"/>
      <c r="BIS9" s="239"/>
      <c r="BIT9" s="239"/>
      <c r="BIU9" s="239"/>
      <c r="BIV9" s="239"/>
      <c r="BIW9" s="239"/>
      <c r="BIX9" s="239"/>
      <c r="BIY9" s="239"/>
      <c r="BIZ9" s="239"/>
      <c r="BJA9" s="239"/>
      <c r="BJB9" s="239"/>
      <c r="BJC9" s="239"/>
      <c r="BJD9" s="239"/>
      <c r="BJE9" s="239"/>
      <c r="BJF9" s="239"/>
      <c r="BJG9" s="239"/>
      <c r="BJH9" s="239"/>
      <c r="BJI9" s="239"/>
      <c r="BJJ9" s="239"/>
      <c r="BJK9" s="239"/>
      <c r="BJL9" s="239"/>
      <c r="BJM9" s="239"/>
      <c r="BJN9" s="239"/>
      <c r="BJO9" s="239"/>
      <c r="BJP9" s="239"/>
      <c r="BJQ9" s="239"/>
      <c r="BJR9" s="239"/>
      <c r="BJS9" s="239"/>
      <c r="BJT9" s="239"/>
      <c r="BJU9" s="239"/>
      <c r="BJV9" s="239"/>
      <c r="BJW9" s="239"/>
      <c r="BJX9" s="239"/>
      <c r="BJY9" s="239"/>
      <c r="BJZ9" s="239"/>
      <c r="BKA9" s="239"/>
      <c r="BKB9" s="239"/>
      <c r="BKC9" s="239"/>
      <c r="BKD9" s="239"/>
      <c r="BKE9" s="239"/>
      <c r="BKF9" s="239"/>
      <c r="BKG9" s="239"/>
      <c r="BKH9" s="239"/>
      <c r="BKI9" s="239"/>
      <c r="BKJ9" s="239"/>
      <c r="BKK9" s="239"/>
      <c r="BKL9" s="239"/>
      <c r="BKM9" s="239"/>
      <c r="BKN9" s="239"/>
      <c r="BKO9" s="239"/>
      <c r="BKP9" s="239"/>
      <c r="BKQ9" s="239"/>
      <c r="BKR9" s="239"/>
      <c r="BKS9" s="239"/>
      <c r="BKT9" s="239"/>
      <c r="BKU9" s="239"/>
      <c r="BKV9" s="239"/>
      <c r="BKW9" s="239"/>
      <c r="BKX9" s="239"/>
      <c r="BKY9" s="239"/>
      <c r="BKZ9" s="239"/>
      <c r="BLA9" s="239"/>
      <c r="BLB9" s="239"/>
      <c r="BLC9" s="239"/>
      <c r="BLD9" s="239"/>
      <c r="BLE9" s="239"/>
      <c r="BLF9" s="239"/>
      <c r="BLG9" s="239"/>
      <c r="BLH9" s="239"/>
      <c r="BLI9" s="239"/>
      <c r="BLJ9" s="239"/>
      <c r="BLK9" s="239"/>
      <c r="BLL9" s="239"/>
      <c r="BLM9" s="239"/>
      <c r="BLN9" s="239"/>
      <c r="BLO9" s="239"/>
      <c r="BLP9" s="239"/>
      <c r="BLQ9" s="239"/>
      <c r="BLR9" s="239"/>
      <c r="BLS9" s="239"/>
      <c r="BLT9" s="239"/>
      <c r="BLU9" s="239"/>
      <c r="BLV9" s="239"/>
      <c r="BLW9" s="239"/>
      <c r="BLX9" s="239"/>
      <c r="BLY9" s="239"/>
      <c r="BLZ9" s="239"/>
      <c r="BMA9" s="239"/>
      <c r="BMB9" s="239"/>
      <c r="BMC9" s="239"/>
      <c r="BMD9" s="239"/>
      <c r="BME9" s="239"/>
      <c r="BMF9" s="239"/>
      <c r="BMG9" s="239"/>
      <c r="BMH9" s="239"/>
      <c r="BMI9" s="239"/>
      <c r="BMJ9" s="239"/>
      <c r="BMK9" s="239"/>
      <c r="BML9" s="239"/>
      <c r="BMM9" s="239"/>
      <c r="BMN9" s="239"/>
      <c r="BMO9" s="239"/>
      <c r="BMP9" s="239"/>
      <c r="BMQ9" s="239"/>
      <c r="BMR9" s="239"/>
      <c r="BMS9" s="239"/>
      <c r="BMT9" s="239"/>
      <c r="BMU9" s="239"/>
      <c r="BMV9" s="239"/>
      <c r="BMW9" s="239"/>
      <c r="BMX9" s="239"/>
      <c r="BMY9" s="239"/>
      <c r="BMZ9" s="239"/>
      <c r="BNA9" s="239"/>
      <c r="BNB9" s="239"/>
      <c r="BNC9" s="239"/>
      <c r="BND9" s="239"/>
      <c r="BNE9" s="239"/>
      <c r="BNF9" s="239"/>
      <c r="BNG9" s="239"/>
      <c r="BNH9" s="239"/>
      <c r="BNI9" s="239"/>
      <c r="BNJ9" s="239"/>
      <c r="BNK9" s="239"/>
      <c r="BNL9" s="239"/>
      <c r="BNM9" s="239"/>
      <c r="BNN9" s="239"/>
      <c r="BNO9" s="239"/>
      <c r="BNP9" s="239"/>
      <c r="BNQ9" s="239"/>
      <c r="BNR9" s="239"/>
      <c r="BNS9" s="239"/>
      <c r="BNT9" s="239"/>
      <c r="BNU9" s="239"/>
      <c r="BNV9" s="239"/>
      <c r="BNW9" s="239"/>
      <c r="BNX9" s="239"/>
      <c r="BNY9" s="239"/>
      <c r="BNZ9" s="239"/>
      <c r="BOA9" s="239"/>
      <c r="BOB9" s="239"/>
      <c r="BOC9" s="239"/>
      <c r="BOD9" s="239"/>
      <c r="BOE9" s="239"/>
      <c r="BOF9" s="239"/>
      <c r="BOG9" s="239"/>
      <c r="BOH9" s="239"/>
      <c r="BOI9" s="239"/>
      <c r="BOJ9" s="239"/>
      <c r="BOK9" s="239"/>
      <c r="BOL9" s="239"/>
      <c r="BOM9" s="239"/>
      <c r="BON9" s="239"/>
      <c r="BOO9" s="239"/>
      <c r="BOP9" s="239"/>
      <c r="BOQ9" s="239"/>
      <c r="BOR9" s="239"/>
      <c r="BOS9" s="239"/>
      <c r="BOT9" s="239"/>
      <c r="BOU9" s="239"/>
      <c r="BOV9" s="239"/>
      <c r="BOW9" s="239"/>
      <c r="BOX9" s="239"/>
      <c r="BOY9" s="239"/>
      <c r="BOZ9" s="239"/>
      <c r="BPA9" s="239"/>
      <c r="BPB9" s="239"/>
      <c r="BPC9" s="239"/>
      <c r="BPD9" s="239"/>
      <c r="BPE9" s="239"/>
      <c r="BPF9" s="239"/>
      <c r="BPG9" s="239"/>
      <c r="BPH9" s="239"/>
      <c r="BPI9" s="239"/>
      <c r="BPJ9" s="239"/>
      <c r="BPK9" s="239"/>
      <c r="BPL9" s="239"/>
      <c r="BPM9" s="239"/>
      <c r="BPN9" s="239"/>
      <c r="BPO9" s="239"/>
      <c r="BPP9" s="239"/>
      <c r="BPQ9" s="239"/>
      <c r="BPR9" s="239"/>
      <c r="BPS9" s="239"/>
      <c r="BPT9" s="239"/>
      <c r="BPU9" s="239"/>
      <c r="BPV9" s="239"/>
      <c r="BPW9" s="239"/>
      <c r="BPX9" s="239"/>
      <c r="BPY9" s="239"/>
      <c r="BPZ9" s="239"/>
      <c r="BQA9" s="239"/>
      <c r="BQB9" s="239"/>
      <c r="BQC9" s="239"/>
      <c r="BQD9" s="239"/>
      <c r="BQE9" s="239"/>
      <c r="BQF9" s="239"/>
      <c r="BQG9" s="239"/>
      <c r="BQH9" s="239"/>
      <c r="BQI9" s="239"/>
      <c r="BQJ9" s="239"/>
      <c r="BQK9" s="239"/>
      <c r="BQL9" s="239"/>
      <c r="BQM9" s="239"/>
      <c r="BQN9" s="239"/>
      <c r="BQO9" s="239"/>
      <c r="BQP9" s="239"/>
      <c r="BQQ9" s="239"/>
      <c r="BQR9" s="239"/>
      <c r="BQS9" s="239"/>
      <c r="BQT9" s="239"/>
      <c r="BQU9" s="239"/>
      <c r="BQV9" s="239"/>
      <c r="BQW9" s="239"/>
      <c r="BQX9" s="239"/>
      <c r="BQY9" s="239"/>
      <c r="BQZ9" s="239"/>
      <c r="BRA9" s="239"/>
      <c r="BRB9" s="239"/>
      <c r="BRC9" s="239"/>
      <c r="BRD9" s="239"/>
      <c r="BRE9" s="239"/>
      <c r="BRF9" s="239"/>
      <c r="BRG9" s="239"/>
      <c r="BRH9" s="239"/>
      <c r="BRI9" s="239"/>
      <c r="BRJ9" s="239"/>
      <c r="BRK9" s="239"/>
      <c r="BRL9" s="239"/>
      <c r="BRM9" s="239"/>
      <c r="BRN9" s="239"/>
      <c r="BRO9" s="239"/>
      <c r="BRP9" s="239"/>
      <c r="BRQ9" s="239"/>
      <c r="BRR9" s="239"/>
      <c r="BRS9" s="239"/>
      <c r="BRT9" s="239"/>
      <c r="BRU9" s="239"/>
      <c r="BRV9" s="239"/>
      <c r="BRW9" s="239"/>
      <c r="BRX9" s="239"/>
      <c r="BRY9" s="239"/>
      <c r="BRZ9" s="239"/>
      <c r="BSA9" s="239"/>
      <c r="BSB9" s="239"/>
      <c r="BSC9" s="239"/>
      <c r="BSD9" s="239"/>
      <c r="BSE9" s="239"/>
      <c r="BSF9" s="239"/>
      <c r="BSG9" s="239"/>
      <c r="BSH9" s="239"/>
      <c r="BSI9" s="239"/>
      <c r="BSJ9" s="239"/>
      <c r="BSK9" s="239"/>
      <c r="BSL9" s="239"/>
      <c r="BSM9" s="239"/>
      <c r="BSN9" s="239"/>
      <c r="BSO9" s="239"/>
      <c r="BSP9" s="239"/>
      <c r="BSQ9" s="239"/>
      <c r="BSR9" s="239"/>
      <c r="BSS9" s="239"/>
      <c r="BST9" s="239"/>
      <c r="BSU9" s="239"/>
      <c r="BSV9" s="239"/>
      <c r="BSW9" s="239"/>
      <c r="BSX9" s="239"/>
      <c r="BSY9" s="239"/>
      <c r="BSZ9" s="239"/>
      <c r="BTA9" s="239"/>
      <c r="BTB9" s="239"/>
      <c r="BTC9" s="239"/>
      <c r="BTD9" s="239"/>
      <c r="BTE9" s="239"/>
      <c r="BTF9" s="239"/>
      <c r="BTG9" s="239"/>
      <c r="BTH9" s="239"/>
      <c r="BTI9" s="239"/>
      <c r="BTJ9" s="239"/>
      <c r="BTK9" s="239"/>
      <c r="BTL9" s="239"/>
      <c r="BTM9" s="239"/>
      <c r="BTN9" s="239"/>
      <c r="BTO9" s="239"/>
      <c r="BTP9" s="239"/>
      <c r="BTQ9" s="239"/>
      <c r="BTR9" s="239"/>
      <c r="BTS9" s="239"/>
      <c r="BTT9" s="239"/>
      <c r="BTU9" s="239"/>
      <c r="BTV9" s="239"/>
      <c r="BTW9" s="239"/>
      <c r="BTX9" s="239"/>
      <c r="BTY9" s="239"/>
      <c r="BTZ9" s="239"/>
      <c r="BUA9" s="239"/>
      <c r="BUB9" s="239"/>
      <c r="BUC9" s="239"/>
      <c r="BUD9" s="239"/>
      <c r="BUE9" s="239"/>
      <c r="BUF9" s="239"/>
      <c r="BUG9" s="239"/>
      <c r="BUH9" s="239"/>
      <c r="BUI9" s="239"/>
      <c r="BUJ9" s="239"/>
      <c r="BUK9" s="239"/>
      <c r="BUL9" s="239"/>
      <c r="BUM9" s="239"/>
      <c r="BUN9" s="239"/>
      <c r="BUO9" s="239"/>
      <c r="BUP9" s="239"/>
      <c r="BUQ9" s="239"/>
      <c r="BUR9" s="239"/>
      <c r="BUS9" s="239"/>
      <c r="BUT9" s="239"/>
      <c r="BUU9" s="239"/>
      <c r="BUV9" s="239"/>
      <c r="BUW9" s="239"/>
      <c r="BUX9" s="239"/>
      <c r="BUY9" s="239"/>
      <c r="BUZ9" s="239"/>
      <c r="BVA9" s="239"/>
      <c r="BVB9" s="239"/>
      <c r="BVC9" s="239"/>
      <c r="BVD9" s="239"/>
      <c r="BVE9" s="239"/>
      <c r="BVF9" s="239"/>
      <c r="BVG9" s="239"/>
      <c r="BVH9" s="239"/>
      <c r="BVI9" s="239"/>
      <c r="BVJ9" s="239"/>
      <c r="BVK9" s="239"/>
      <c r="BVL9" s="239"/>
      <c r="BVM9" s="239"/>
      <c r="BVN9" s="239"/>
      <c r="BVO9" s="239"/>
      <c r="BVP9" s="239"/>
      <c r="BVQ9" s="239"/>
      <c r="BVR9" s="239"/>
      <c r="BVS9" s="239"/>
      <c r="BVT9" s="239"/>
      <c r="BVU9" s="239"/>
      <c r="BVV9" s="239"/>
      <c r="BVW9" s="239"/>
      <c r="BVX9" s="239"/>
      <c r="BVY9" s="239"/>
      <c r="BVZ9" s="239"/>
      <c r="BWA9" s="239"/>
      <c r="BWB9" s="239"/>
      <c r="BWC9" s="239"/>
      <c r="BWD9" s="239"/>
      <c r="BWE9" s="239"/>
      <c r="BWF9" s="239"/>
      <c r="BWG9" s="239"/>
      <c r="BWH9" s="239"/>
      <c r="BWI9" s="239"/>
      <c r="BWJ9" s="239"/>
      <c r="BWK9" s="239"/>
      <c r="BWL9" s="239"/>
      <c r="BWM9" s="239"/>
      <c r="BWN9" s="239"/>
      <c r="BWO9" s="239"/>
      <c r="BWP9" s="239"/>
      <c r="BWQ9" s="239"/>
      <c r="BWR9" s="239"/>
      <c r="BWS9" s="239"/>
      <c r="BWT9" s="239"/>
      <c r="BWU9" s="239"/>
      <c r="BWV9" s="239"/>
      <c r="BWW9" s="239"/>
      <c r="BWX9" s="239"/>
      <c r="BWY9" s="239"/>
      <c r="BWZ9" s="239"/>
      <c r="BXA9" s="239"/>
      <c r="BXB9" s="239"/>
      <c r="BXC9" s="239"/>
      <c r="BXD9" s="239"/>
      <c r="BXE9" s="239"/>
      <c r="BXF9" s="239"/>
      <c r="BXG9" s="239"/>
      <c r="BXH9" s="239"/>
      <c r="BXI9" s="239"/>
      <c r="BXJ9" s="239"/>
      <c r="BXK9" s="239"/>
      <c r="BXL9" s="239"/>
      <c r="BXM9" s="239"/>
      <c r="BXN9" s="239"/>
      <c r="BXO9" s="239"/>
      <c r="BXP9" s="239"/>
      <c r="BXQ9" s="239"/>
      <c r="BXR9" s="239"/>
      <c r="BXS9" s="239"/>
      <c r="BXT9" s="239"/>
      <c r="BXU9" s="239"/>
      <c r="BXV9" s="239"/>
      <c r="BXW9" s="239"/>
      <c r="BXX9" s="239"/>
      <c r="BXY9" s="239"/>
      <c r="BXZ9" s="239"/>
      <c r="BYA9" s="239"/>
      <c r="BYB9" s="239"/>
      <c r="BYC9" s="239"/>
      <c r="BYD9" s="239"/>
      <c r="BYE9" s="239"/>
      <c r="BYF9" s="239"/>
      <c r="BYG9" s="239"/>
      <c r="BYH9" s="239"/>
      <c r="BYI9" s="239"/>
      <c r="BYJ9" s="239"/>
      <c r="BYK9" s="239"/>
      <c r="BYL9" s="239"/>
      <c r="BYM9" s="239"/>
      <c r="BYN9" s="239"/>
      <c r="BYO9" s="239"/>
      <c r="BYP9" s="239"/>
      <c r="BYQ9" s="239"/>
      <c r="BYR9" s="239"/>
      <c r="BYS9" s="239"/>
      <c r="BYT9" s="239"/>
      <c r="BYU9" s="239"/>
      <c r="BYV9" s="239"/>
      <c r="BYW9" s="239"/>
      <c r="BYX9" s="239"/>
      <c r="BYY9" s="239"/>
      <c r="BYZ9" s="239"/>
      <c r="BZA9" s="239"/>
      <c r="BZB9" s="239"/>
      <c r="BZC9" s="239"/>
      <c r="BZD9" s="239"/>
      <c r="BZE9" s="239"/>
      <c r="BZF9" s="239"/>
      <c r="BZG9" s="239"/>
      <c r="BZH9" s="239"/>
      <c r="BZI9" s="239"/>
      <c r="BZJ9" s="239"/>
      <c r="BZK9" s="239"/>
      <c r="BZL9" s="239"/>
      <c r="BZM9" s="239"/>
      <c r="BZN9" s="239"/>
      <c r="BZO9" s="239"/>
      <c r="BZP9" s="239"/>
      <c r="BZQ9" s="239"/>
      <c r="BZR9" s="239"/>
      <c r="BZS9" s="239"/>
      <c r="BZT9" s="239"/>
      <c r="BZU9" s="239"/>
      <c r="BZV9" s="239"/>
      <c r="BZW9" s="239"/>
      <c r="BZX9" s="239"/>
      <c r="BZY9" s="239"/>
      <c r="BZZ9" s="239"/>
      <c r="CAA9" s="239"/>
      <c r="CAB9" s="239"/>
      <c r="CAC9" s="239"/>
      <c r="CAD9" s="239"/>
      <c r="CAE9" s="239"/>
      <c r="CAF9" s="239"/>
      <c r="CAG9" s="239"/>
      <c r="CAH9" s="239"/>
      <c r="CAI9" s="239"/>
      <c r="CAJ9" s="239"/>
      <c r="CAK9" s="239"/>
      <c r="CAL9" s="239"/>
      <c r="CAM9" s="239"/>
      <c r="CAN9" s="239"/>
      <c r="CAO9" s="239"/>
      <c r="CAP9" s="239"/>
      <c r="CAQ9" s="239"/>
      <c r="CAR9" s="239"/>
      <c r="CAS9" s="239"/>
      <c r="CAT9" s="239"/>
      <c r="CAU9" s="239"/>
      <c r="CAV9" s="239"/>
      <c r="CAW9" s="239"/>
      <c r="CAX9" s="239"/>
      <c r="CAY9" s="239"/>
      <c r="CAZ9" s="239"/>
      <c r="CBA9" s="239"/>
      <c r="CBB9" s="239"/>
      <c r="CBC9" s="239"/>
      <c r="CBD9" s="239"/>
      <c r="CBE9" s="239"/>
      <c r="CBF9" s="239"/>
      <c r="CBG9" s="239"/>
      <c r="CBH9" s="239"/>
      <c r="CBI9" s="239"/>
      <c r="CBJ9" s="239"/>
      <c r="CBK9" s="239"/>
      <c r="CBL9" s="239"/>
      <c r="CBM9" s="239"/>
      <c r="CBN9" s="239"/>
      <c r="CBO9" s="239"/>
      <c r="CBP9" s="239"/>
      <c r="CBQ9" s="239"/>
      <c r="CBR9" s="239"/>
      <c r="CBS9" s="239"/>
      <c r="CBT9" s="239"/>
      <c r="CBU9" s="239"/>
      <c r="CBV9" s="239"/>
      <c r="CBW9" s="239"/>
      <c r="CBX9" s="239"/>
      <c r="CBY9" s="239"/>
      <c r="CBZ9" s="239"/>
      <c r="CCA9" s="239"/>
      <c r="CCB9" s="239"/>
      <c r="CCC9" s="239"/>
      <c r="CCD9" s="239"/>
      <c r="CCE9" s="239"/>
      <c r="CCF9" s="239"/>
      <c r="CCG9" s="239"/>
      <c r="CCH9" s="239"/>
      <c r="CCI9" s="239"/>
      <c r="CCJ9" s="239"/>
      <c r="CCK9" s="239"/>
      <c r="CCL9" s="239"/>
      <c r="CCM9" s="239"/>
      <c r="CCN9" s="239"/>
      <c r="CCO9" s="239"/>
      <c r="CCP9" s="239"/>
      <c r="CCQ9" s="239"/>
      <c r="CCR9" s="239"/>
      <c r="CCS9" s="239"/>
      <c r="CCT9" s="239"/>
      <c r="CCU9" s="239"/>
      <c r="CCV9" s="239"/>
      <c r="CCW9" s="239"/>
      <c r="CCX9" s="239"/>
      <c r="CCY9" s="239"/>
      <c r="CCZ9" s="239"/>
      <c r="CDA9" s="239"/>
      <c r="CDB9" s="239"/>
      <c r="CDC9" s="239"/>
      <c r="CDD9" s="239"/>
      <c r="CDE9" s="239"/>
      <c r="CDF9" s="239"/>
      <c r="CDG9" s="239"/>
      <c r="CDH9" s="239"/>
      <c r="CDI9" s="239"/>
      <c r="CDJ9" s="239"/>
      <c r="CDK9" s="239"/>
      <c r="CDL9" s="239"/>
      <c r="CDM9" s="239"/>
      <c r="CDN9" s="239"/>
      <c r="CDO9" s="239"/>
      <c r="CDP9" s="239"/>
      <c r="CDQ9" s="239"/>
      <c r="CDR9" s="239"/>
      <c r="CDS9" s="239"/>
      <c r="CDT9" s="239"/>
      <c r="CDU9" s="239"/>
      <c r="CDV9" s="239"/>
      <c r="CDW9" s="239"/>
      <c r="CDX9" s="239"/>
      <c r="CDY9" s="239"/>
      <c r="CDZ9" s="239"/>
      <c r="CEA9" s="239"/>
      <c r="CEB9" s="239"/>
      <c r="CEC9" s="239"/>
      <c r="CED9" s="239"/>
      <c r="CEE9" s="239"/>
      <c r="CEF9" s="239"/>
      <c r="CEG9" s="239"/>
      <c r="CEH9" s="239"/>
      <c r="CEI9" s="239"/>
      <c r="CEJ9" s="239"/>
      <c r="CEK9" s="239"/>
      <c r="CEL9" s="239"/>
      <c r="CEM9" s="239"/>
      <c r="CEN9" s="239"/>
      <c r="CEO9" s="239"/>
      <c r="CEP9" s="239"/>
      <c r="CEQ9" s="239"/>
      <c r="CER9" s="239"/>
      <c r="CES9" s="239"/>
      <c r="CET9" s="239"/>
      <c r="CEU9" s="239"/>
      <c r="CEV9" s="239"/>
      <c r="CEW9" s="239"/>
      <c r="CEX9" s="239"/>
      <c r="CEY9" s="239"/>
      <c r="CEZ9" s="239"/>
      <c r="CFA9" s="239"/>
      <c r="CFB9" s="239"/>
      <c r="CFC9" s="239"/>
      <c r="CFD9" s="239"/>
      <c r="CFE9" s="239"/>
      <c r="CFF9" s="239"/>
      <c r="CFG9" s="239"/>
      <c r="CFH9" s="239"/>
      <c r="CFI9" s="239"/>
      <c r="CFJ9" s="239"/>
      <c r="CFK9" s="239"/>
      <c r="CFL9" s="239"/>
      <c r="CFM9" s="239"/>
      <c r="CFN9" s="239"/>
      <c r="CFO9" s="239"/>
      <c r="CFP9" s="239"/>
      <c r="CFQ9" s="239"/>
      <c r="CFR9" s="239"/>
      <c r="CFS9" s="239"/>
      <c r="CFT9" s="239"/>
      <c r="CFU9" s="239"/>
      <c r="CFV9" s="239"/>
      <c r="CFW9" s="239"/>
      <c r="CFX9" s="239"/>
      <c r="CFY9" s="239"/>
      <c r="CFZ9" s="239"/>
      <c r="CGA9" s="239"/>
      <c r="CGB9" s="239"/>
      <c r="CGC9" s="239"/>
      <c r="CGD9" s="239"/>
      <c r="CGE9" s="239"/>
      <c r="CGF9" s="239"/>
      <c r="CGG9" s="239"/>
      <c r="CGH9" s="239"/>
      <c r="CGI9" s="239"/>
      <c r="CGJ9" s="239"/>
      <c r="CGK9" s="239"/>
      <c r="CGL9" s="239"/>
      <c r="CGM9" s="239"/>
      <c r="CGN9" s="239"/>
      <c r="CGO9" s="239"/>
      <c r="CGP9" s="239"/>
      <c r="CGQ9" s="239"/>
      <c r="CGR9" s="239"/>
      <c r="CGS9" s="239"/>
      <c r="CGT9" s="239"/>
      <c r="CGU9" s="239"/>
      <c r="CGV9" s="239"/>
      <c r="CGW9" s="239"/>
      <c r="CGX9" s="239"/>
      <c r="CGY9" s="239"/>
      <c r="CGZ9" s="239"/>
      <c r="CHA9" s="239"/>
      <c r="CHB9" s="239"/>
      <c r="CHC9" s="239"/>
      <c r="CHD9" s="239"/>
      <c r="CHE9" s="239"/>
      <c r="CHF9" s="239"/>
      <c r="CHG9" s="239"/>
      <c r="CHH9" s="239"/>
      <c r="CHI9" s="239"/>
      <c r="CHJ9" s="239"/>
      <c r="CHK9" s="239"/>
      <c r="CHL9" s="239"/>
      <c r="CHM9" s="239"/>
      <c r="CHN9" s="239"/>
      <c r="CHO9" s="239"/>
      <c r="CHP9" s="239"/>
      <c r="CHQ9" s="239"/>
      <c r="CHR9" s="239"/>
      <c r="CHS9" s="239"/>
      <c r="CHT9" s="239"/>
      <c r="CHU9" s="239"/>
      <c r="CHV9" s="239"/>
      <c r="CHW9" s="239"/>
      <c r="CHX9" s="239"/>
      <c r="CHY9" s="239"/>
      <c r="CHZ9" s="239"/>
      <c r="CIA9" s="239"/>
      <c r="CIB9" s="239"/>
      <c r="CIC9" s="239"/>
      <c r="CID9" s="239"/>
      <c r="CIE9" s="239"/>
      <c r="CIF9" s="239"/>
      <c r="CIG9" s="239"/>
      <c r="CIH9" s="239"/>
      <c r="CII9" s="239"/>
      <c r="CIJ9" s="239"/>
      <c r="CIK9" s="239"/>
      <c r="CIL9" s="239"/>
      <c r="CIM9" s="239"/>
      <c r="CIN9" s="239"/>
      <c r="CIO9" s="239"/>
      <c r="CIP9" s="239"/>
      <c r="CIQ9" s="239"/>
      <c r="CIR9" s="239"/>
      <c r="CIS9" s="239"/>
      <c r="CIT9" s="239"/>
      <c r="CIU9" s="239"/>
      <c r="CIV9" s="239"/>
      <c r="CIW9" s="239"/>
      <c r="CIX9" s="239"/>
      <c r="CIY9" s="239"/>
      <c r="CIZ9" s="239"/>
      <c r="CJA9" s="239"/>
      <c r="CJB9" s="239"/>
      <c r="CJC9" s="239"/>
      <c r="CJD9" s="239"/>
      <c r="CJE9" s="239"/>
      <c r="CJF9" s="239"/>
      <c r="CJG9" s="239"/>
      <c r="CJH9" s="239"/>
      <c r="CJI9" s="239"/>
      <c r="CJJ9" s="239"/>
      <c r="CJK9" s="239"/>
      <c r="CJL9" s="239"/>
      <c r="CJM9" s="239"/>
      <c r="CJN9" s="239"/>
      <c r="CJO9" s="239"/>
      <c r="CJP9" s="239"/>
      <c r="CJQ9" s="239"/>
      <c r="CJR9" s="239"/>
      <c r="CJS9" s="239"/>
      <c r="CJT9" s="239"/>
      <c r="CJU9" s="239"/>
      <c r="CJV9" s="239"/>
      <c r="CJW9" s="239"/>
      <c r="CJX9" s="239"/>
      <c r="CJY9" s="239"/>
      <c r="CJZ9" s="239"/>
      <c r="CKA9" s="239"/>
      <c r="CKB9" s="239"/>
      <c r="CKC9" s="239"/>
      <c r="CKD9" s="239"/>
      <c r="CKE9" s="239"/>
      <c r="CKF9" s="239"/>
      <c r="CKG9" s="239"/>
      <c r="CKH9" s="239"/>
      <c r="CKI9" s="239"/>
      <c r="CKJ9" s="239"/>
      <c r="CKK9" s="239"/>
      <c r="CKL9" s="239"/>
      <c r="CKM9" s="239"/>
      <c r="CKN9" s="239"/>
      <c r="CKO9" s="239"/>
      <c r="CKP9" s="239"/>
      <c r="CKQ9" s="239"/>
      <c r="CKR9" s="239"/>
      <c r="CKS9" s="239"/>
      <c r="CKT9" s="239"/>
      <c r="CKU9" s="239"/>
      <c r="CKV9" s="239"/>
      <c r="CKW9" s="239"/>
      <c r="CKX9" s="239"/>
      <c r="CKY9" s="239"/>
      <c r="CKZ9" s="239"/>
      <c r="CLA9" s="239"/>
      <c r="CLB9" s="239"/>
      <c r="CLC9" s="239"/>
      <c r="CLD9" s="239"/>
      <c r="CLE9" s="239"/>
      <c r="CLF9" s="239"/>
      <c r="CLG9" s="239"/>
      <c r="CLH9" s="239"/>
      <c r="CLI9" s="239"/>
      <c r="CLJ9" s="239"/>
      <c r="CLK9" s="239"/>
      <c r="CLL9" s="239"/>
      <c r="CLM9" s="239"/>
      <c r="CLN9" s="239"/>
      <c r="CLO9" s="239"/>
      <c r="CLP9" s="239"/>
      <c r="CLQ9" s="239"/>
      <c r="CLR9" s="239"/>
      <c r="CLS9" s="239"/>
      <c r="CLT9" s="239"/>
      <c r="CLU9" s="239"/>
      <c r="CLV9" s="239"/>
      <c r="CLW9" s="239"/>
      <c r="CLX9" s="239"/>
      <c r="CLY9" s="239"/>
      <c r="CLZ9" s="239"/>
      <c r="CMA9" s="239"/>
      <c r="CMB9" s="239"/>
      <c r="CMC9" s="239"/>
      <c r="CMD9" s="239"/>
      <c r="CME9" s="239"/>
      <c r="CMF9" s="239"/>
      <c r="CMG9" s="239"/>
      <c r="CMH9" s="239"/>
      <c r="CMI9" s="239"/>
      <c r="CMJ9" s="239"/>
      <c r="CMK9" s="239"/>
      <c r="CML9" s="239"/>
      <c r="CMM9" s="239"/>
      <c r="CMN9" s="239"/>
      <c r="CMO9" s="239"/>
      <c r="CMP9" s="239"/>
      <c r="CMQ9" s="239"/>
      <c r="CMR9" s="239"/>
      <c r="CMS9" s="239"/>
      <c r="CMT9" s="239"/>
      <c r="CMU9" s="239"/>
      <c r="CMV9" s="239"/>
      <c r="CMW9" s="239"/>
      <c r="CMX9" s="239"/>
      <c r="CMY9" s="239"/>
      <c r="CMZ9" s="239"/>
      <c r="CNA9" s="239"/>
      <c r="CNB9" s="239"/>
      <c r="CNC9" s="239"/>
      <c r="CND9" s="239"/>
      <c r="CNE9" s="239"/>
      <c r="CNF9" s="239"/>
      <c r="CNG9" s="239"/>
      <c r="CNH9" s="239"/>
      <c r="CNI9" s="239"/>
      <c r="CNJ9" s="239"/>
      <c r="CNK9" s="239"/>
      <c r="CNL9" s="239"/>
      <c r="CNM9" s="239"/>
      <c r="CNN9" s="239"/>
      <c r="CNO9" s="239"/>
      <c r="CNP9" s="239"/>
      <c r="CNQ9" s="239"/>
      <c r="CNR9" s="239"/>
      <c r="CNS9" s="239"/>
      <c r="CNT9" s="239"/>
      <c r="CNU9" s="239"/>
      <c r="CNV9" s="239"/>
      <c r="CNW9" s="239"/>
      <c r="CNX9" s="239"/>
      <c r="CNY9" s="239"/>
      <c r="CNZ9" s="239"/>
      <c r="COA9" s="239"/>
      <c r="COB9" s="239"/>
      <c r="COC9" s="239"/>
      <c r="COD9" s="239"/>
      <c r="COE9" s="239"/>
      <c r="COF9" s="239"/>
      <c r="COG9" s="239"/>
      <c r="COH9" s="239"/>
      <c r="COI9" s="239"/>
      <c r="COJ9" s="239"/>
      <c r="COK9" s="239"/>
      <c r="COL9" s="239"/>
      <c r="COM9" s="239"/>
      <c r="CON9" s="239"/>
      <c r="COO9" s="239"/>
      <c r="COP9" s="239"/>
      <c r="COQ9" s="239"/>
      <c r="COR9" s="239"/>
      <c r="COS9" s="239"/>
      <c r="COT9" s="239"/>
      <c r="COU9" s="239"/>
      <c r="COV9" s="239"/>
      <c r="COW9" s="239"/>
      <c r="COX9" s="239"/>
      <c r="COY9" s="239"/>
      <c r="COZ9" s="239"/>
      <c r="CPA9" s="239"/>
      <c r="CPB9" s="239"/>
      <c r="CPC9" s="239"/>
      <c r="CPD9" s="239"/>
      <c r="CPE9" s="239"/>
      <c r="CPF9" s="239"/>
      <c r="CPG9" s="239"/>
      <c r="CPH9" s="239"/>
      <c r="CPI9" s="239"/>
      <c r="CPJ9" s="239"/>
      <c r="CPK9" s="239"/>
      <c r="CPL9" s="239"/>
      <c r="CPM9" s="239"/>
      <c r="CPN9" s="239"/>
      <c r="CPO9" s="239"/>
      <c r="CPP9" s="239"/>
      <c r="CPQ9" s="239"/>
      <c r="CPR9" s="239"/>
      <c r="CPS9" s="239"/>
      <c r="CPT9" s="239"/>
      <c r="CPU9" s="239"/>
      <c r="CPV9" s="239"/>
      <c r="CPW9" s="239"/>
      <c r="CPX9" s="239"/>
      <c r="CPY9" s="239"/>
      <c r="CPZ9" s="239"/>
      <c r="CQA9" s="239"/>
      <c r="CQB9" s="239"/>
      <c r="CQC9" s="239"/>
      <c r="CQD9" s="239"/>
      <c r="CQE9" s="239"/>
      <c r="CQF9" s="239"/>
      <c r="CQG9" s="239"/>
      <c r="CQH9" s="239"/>
      <c r="CQI9" s="239"/>
      <c r="CQJ9" s="239"/>
      <c r="CQK9" s="239"/>
      <c r="CQL9" s="239"/>
      <c r="CQM9" s="239"/>
      <c r="CQN9" s="239"/>
      <c r="CQO9" s="239"/>
      <c r="CQP9" s="239"/>
      <c r="CQQ9" s="239"/>
      <c r="CQR9" s="239"/>
      <c r="CQS9" s="239"/>
      <c r="CQT9" s="239"/>
      <c r="CQU9" s="239"/>
      <c r="CQV9" s="239"/>
      <c r="CQW9" s="239"/>
      <c r="CQX9" s="239"/>
      <c r="CQY9" s="239"/>
      <c r="CQZ9" s="239"/>
      <c r="CRA9" s="239"/>
      <c r="CRB9" s="239"/>
      <c r="CRC9" s="239"/>
      <c r="CRD9" s="239"/>
      <c r="CRE9" s="239"/>
      <c r="CRF9" s="239"/>
      <c r="CRG9" s="239"/>
      <c r="CRH9" s="239"/>
      <c r="CRI9" s="239"/>
      <c r="CRJ9" s="239"/>
      <c r="CRK9" s="239"/>
      <c r="CRL9" s="239"/>
      <c r="CRM9" s="239"/>
      <c r="CRN9" s="239"/>
      <c r="CRO9" s="239"/>
      <c r="CRP9" s="239"/>
      <c r="CRQ9" s="239"/>
      <c r="CRR9" s="239"/>
      <c r="CRS9" s="239"/>
      <c r="CRT9" s="239"/>
      <c r="CRU9" s="239"/>
      <c r="CRV9" s="239"/>
      <c r="CRW9" s="239"/>
      <c r="CRX9" s="239"/>
      <c r="CRY9" s="239"/>
      <c r="CRZ9" s="239"/>
      <c r="CSA9" s="239"/>
      <c r="CSB9" s="239"/>
      <c r="CSC9" s="239"/>
      <c r="CSD9" s="239"/>
      <c r="CSE9" s="239"/>
      <c r="CSF9" s="239"/>
      <c r="CSG9" s="239"/>
      <c r="CSH9" s="239"/>
      <c r="CSI9" s="239"/>
      <c r="CSJ9" s="239"/>
      <c r="CSK9" s="239"/>
      <c r="CSL9" s="239"/>
      <c r="CSM9" s="239"/>
      <c r="CSN9" s="239"/>
      <c r="CSO9" s="239"/>
      <c r="CSP9" s="239"/>
      <c r="CSQ9" s="239"/>
      <c r="CSR9" s="239"/>
      <c r="CSS9" s="239"/>
      <c r="CST9" s="239"/>
      <c r="CSU9" s="239"/>
      <c r="CSV9" s="239"/>
      <c r="CSW9" s="239"/>
      <c r="CSX9" s="239"/>
      <c r="CSY9" s="239"/>
      <c r="CSZ9" s="239"/>
      <c r="CTA9" s="239"/>
      <c r="CTB9" s="239"/>
      <c r="CTC9" s="239"/>
      <c r="CTD9" s="239"/>
      <c r="CTE9" s="239"/>
      <c r="CTF9" s="239"/>
      <c r="CTG9" s="239"/>
      <c r="CTH9" s="239"/>
      <c r="CTI9" s="239"/>
      <c r="CTJ9" s="239"/>
      <c r="CTK9" s="239"/>
      <c r="CTL9" s="239"/>
      <c r="CTM9" s="239"/>
      <c r="CTN9" s="239"/>
      <c r="CTO9" s="239"/>
      <c r="CTP9" s="239"/>
      <c r="CTQ9" s="239"/>
      <c r="CTR9" s="239"/>
      <c r="CTS9" s="239"/>
      <c r="CTT9" s="239"/>
      <c r="CTU9" s="239"/>
      <c r="CTV9" s="239"/>
      <c r="CTW9" s="239"/>
      <c r="CTX9" s="239"/>
      <c r="CTY9" s="239"/>
      <c r="CTZ9" s="239"/>
      <c r="CUA9" s="239"/>
      <c r="CUB9" s="239"/>
      <c r="CUC9" s="239"/>
      <c r="CUD9" s="239"/>
      <c r="CUE9" s="239"/>
      <c r="CUF9" s="239"/>
      <c r="CUG9" s="239"/>
      <c r="CUH9" s="239"/>
      <c r="CUI9" s="239"/>
      <c r="CUJ9" s="239"/>
      <c r="CUK9" s="239"/>
      <c r="CUL9" s="239"/>
      <c r="CUM9" s="239"/>
      <c r="CUN9" s="239"/>
      <c r="CUO9" s="239"/>
      <c r="CUP9" s="239"/>
      <c r="CUQ9" s="239"/>
      <c r="CUR9" s="239"/>
      <c r="CUS9" s="239"/>
      <c r="CUT9" s="239"/>
      <c r="CUU9" s="239"/>
      <c r="CUV9" s="239"/>
      <c r="CUW9" s="239"/>
      <c r="CUX9" s="239"/>
      <c r="CUY9" s="239"/>
      <c r="CUZ9" s="239"/>
      <c r="CVA9" s="239"/>
      <c r="CVB9" s="239"/>
      <c r="CVC9" s="239"/>
      <c r="CVD9" s="239"/>
      <c r="CVE9" s="239"/>
      <c r="CVF9" s="239"/>
      <c r="CVG9" s="239"/>
      <c r="CVH9" s="239"/>
      <c r="CVI9" s="239"/>
      <c r="CVJ9" s="239"/>
      <c r="CVK9" s="239"/>
      <c r="CVL9" s="239"/>
      <c r="CVM9" s="239"/>
      <c r="CVN9" s="239"/>
      <c r="CVO9" s="239"/>
      <c r="CVP9" s="239"/>
      <c r="CVQ9" s="239"/>
      <c r="CVR9" s="239"/>
      <c r="CVS9" s="239"/>
      <c r="CVT9" s="239"/>
      <c r="CVU9" s="239"/>
      <c r="CVV9" s="239"/>
      <c r="CVW9" s="239"/>
      <c r="CVX9" s="239"/>
      <c r="CVY9" s="239"/>
      <c r="CVZ9" s="239"/>
      <c r="CWA9" s="239"/>
      <c r="CWB9" s="239"/>
      <c r="CWC9" s="239"/>
      <c r="CWD9" s="239"/>
      <c r="CWE9" s="239"/>
      <c r="CWF9" s="239"/>
      <c r="CWG9" s="239"/>
      <c r="CWH9" s="239"/>
      <c r="CWI9" s="239"/>
      <c r="CWJ9" s="239"/>
      <c r="CWK9" s="239"/>
      <c r="CWL9" s="239"/>
      <c r="CWM9" s="239"/>
      <c r="CWN9" s="239"/>
      <c r="CWO9" s="239"/>
      <c r="CWP9" s="239"/>
      <c r="CWQ9" s="239"/>
      <c r="CWR9" s="239"/>
      <c r="CWS9" s="239"/>
      <c r="CWT9" s="239"/>
      <c r="CWU9" s="239"/>
      <c r="CWV9" s="239"/>
      <c r="CWW9" s="239"/>
      <c r="CWX9" s="239"/>
      <c r="CWY9" s="239"/>
      <c r="CWZ9" s="239"/>
      <c r="CXA9" s="239"/>
      <c r="CXB9" s="239"/>
      <c r="CXC9" s="239"/>
      <c r="CXD9" s="239"/>
      <c r="CXE9" s="239"/>
      <c r="CXF9" s="239"/>
      <c r="CXG9" s="239"/>
      <c r="CXH9" s="239"/>
      <c r="CXI9" s="239"/>
      <c r="CXJ9" s="239"/>
      <c r="CXK9" s="239"/>
      <c r="CXL9" s="239"/>
      <c r="CXM9" s="239"/>
      <c r="CXN9" s="239"/>
      <c r="CXO9" s="239"/>
      <c r="CXP9" s="239"/>
      <c r="CXQ9" s="239"/>
      <c r="CXR9" s="239"/>
      <c r="CXS9" s="239"/>
      <c r="CXT9" s="239"/>
      <c r="CXU9" s="239"/>
      <c r="CXV9" s="239"/>
      <c r="CXW9" s="239"/>
      <c r="CXX9" s="239"/>
      <c r="CXY9" s="239"/>
      <c r="CXZ9" s="239"/>
      <c r="CYA9" s="239"/>
      <c r="CYB9" s="239"/>
      <c r="CYC9" s="239"/>
      <c r="CYD9" s="239"/>
      <c r="CYE9" s="239"/>
      <c r="CYF9" s="239"/>
      <c r="CYG9" s="239"/>
      <c r="CYH9" s="239"/>
      <c r="CYI9" s="239"/>
      <c r="CYJ9" s="239"/>
      <c r="CYK9" s="239"/>
      <c r="CYL9" s="239"/>
      <c r="CYM9" s="239"/>
      <c r="CYN9" s="239"/>
      <c r="CYO9" s="239"/>
      <c r="CYP9" s="239"/>
      <c r="CYQ9" s="239"/>
      <c r="CYR9" s="239"/>
      <c r="CYS9" s="239"/>
      <c r="CYT9" s="239"/>
      <c r="CYU9" s="239"/>
      <c r="CYV9" s="239"/>
      <c r="CYW9" s="239"/>
      <c r="CYX9" s="239"/>
      <c r="CYY9" s="239"/>
      <c r="CYZ9" s="239"/>
      <c r="CZA9" s="239"/>
      <c r="CZB9" s="239"/>
      <c r="CZC9" s="239"/>
      <c r="CZD9" s="239"/>
      <c r="CZE9" s="239"/>
      <c r="CZF9" s="239"/>
      <c r="CZG9" s="239"/>
      <c r="CZH9" s="239"/>
      <c r="CZI9" s="239"/>
      <c r="CZJ9" s="239"/>
      <c r="CZK9" s="239"/>
      <c r="CZL9" s="239"/>
      <c r="CZM9" s="239"/>
      <c r="CZN9" s="239"/>
      <c r="CZO9" s="239"/>
      <c r="CZP9" s="239"/>
      <c r="CZQ9" s="239"/>
      <c r="CZR9" s="239"/>
      <c r="CZS9" s="239"/>
      <c r="CZT9" s="239"/>
      <c r="CZU9" s="239"/>
      <c r="CZV9" s="239"/>
      <c r="CZW9" s="239"/>
      <c r="CZX9" s="239"/>
      <c r="CZY9" s="239"/>
      <c r="CZZ9" s="239"/>
      <c r="DAA9" s="239"/>
      <c r="DAB9" s="239"/>
      <c r="DAC9" s="239"/>
      <c r="DAD9" s="239"/>
      <c r="DAE9" s="239"/>
      <c r="DAF9" s="239"/>
      <c r="DAG9" s="239"/>
      <c r="DAH9" s="239"/>
      <c r="DAI9" s="239"/>
      <c r="DAJ9" s="239"/>
      <c r="DAK9" s="239"/>
      <c r="DAL9" s="239"/>
      <c r="DAM9" s="239"/>
      <c r="DAN9" s="239"/>
      <c r="DAO9" s="239"/>
      <c r="DAP9" s="239"/>
      <c r="DAQ9" s="239"/>
      <c r="DAR9" s="239"/>
      <c r="DAS9" s="239"/>
      <c r="DAT9" s="239"/>
      <c r="DAU9" s="239"/>
      <c r="DAV9" s="239"/>
      <c r="DAW9" s="239"/>
      <c r="DAX9" s="239"/>
      <c r="DAY9" s="239"/>
      <c r="DAZ9" s="239"/>
      <c r="DBA9" s="239"/>
      <c r="DBB9" s="239"/>
      <c r="DBC9" s="239"/>
      <c r="DBD9" s="239"/>
      <c r="DBE9" s="239"/>
      <c r="DBF9" s="239"/>
      <c r="DBG9" s="239"/>
      <c r="DBH9" s="239"/>
      <c r="DBI9" s="239"/>
      <c r="DBJ9" s="239"/>
      <c r="DBK9" s="239"/>
      <c r="DBL9" s="239"/>
      <c r="DBM9" s="239"/>
      <c r="DBN9" s="239"/>
      <c r="DBO9" s="239"/>
      <c r="DBP9" s="239"/>
      <c r="DBQ9" s="239"/>
      <c r="DBR9" s="239"/>
      <c r="DBS9" s="239"/>
      <c r="DBT9" s="239"/>
      <c r="DBU9" s="239"/>
      <c r="DBV9" s="239"/>
      <c r="DBW9" s="239"/>
      <c r="DBX9" s="239"/>
      <c r="DBY9" s="239"/>
      <c r="DBZ9" s="239"/>
      <c r="DCA9" s="239"/>
      <c r="DCB9" s="239"/>
      <c r="DCC9" s="239"/>
      <c r="DCD9" s="239"/>
      <c r="DCE9" s="239"/>
      <c r="DCF9" s="239"/>
      <c r="DCG9" s="239"/>
      <c r="DCH9" s="239"/>
      <c r="DCI9" s="239"/>
      <c r="DCJ9" s="239"/>
      <c r="DCK9" s="239"/>
      <c r="DCL9" s="239"/>
      <c r="DCM9" s="239"/>
      <c r="DCN9" s="239"/>
      <c r="DCO9" s="239"/>
      <c r="DCP9" s="239"/>
      <c r="DCQ9" s="239"/>
      <c r="DCR9" s="239"/>
      <c r="DCS9" s="239"/>
      <c r="DCT9" s="239"/>
      <c r="DCU9" s="239"/>
      <c r="DCV9" s="239"/>
      <c r="DCW9" s="239"/>
      <c r="DCX9" s="239"/>
      <c r="DCY9" s="239"/>
      <c r="DCZ9" s="239"/>
      <c r="DDA9" s="239"/>
      <c r="DDB9" s="239"/>
      <c r="DDC9" s="239"/>
      <c r="DDD9" s="239"/>
      <c r="DDE9" s="239"/>
      <c r="DDF9" s="239"/>
      <c r="DDG9" s="239"/>
      <c r="DDH9" s="239"/>
      <c r="DDI9" s="239"/>
      <c r="DDJ9" s="239"/>
      <c r="DDK9" s="239"/>
      <c r="DDL9" s="239"/>
      <c r="DDM9" s="239"/>
      <c r="DDN9" s="239"/>
      <c r="DDO9" s="239"/>
      <c r="DDP9" s="239"/>
      <c r="DDQ9" s="239"/>
      <c r="DDR9" s="239"/>
      <c r="DDS9" s="239"/>
      <c r="DDT9" s="239"/>
      <c r="DDU9" s="239"/>
      <c r="DDV9" s="239"/>
      <c r="DDW9" s="239"/>
      <c r="DDX9" s="239"/>
      <c r="DDY9" s="239"/>
      <c r="DDZ9" s="239"/>
      <c r="DEA9" s="239"/>
      <c r="DEB9" s="239"/>
      <c r="DEC9" s="239"/>
      <c r="DED9" s="239"/>
      <c r="DEE9" s="239"/>
      <c r="DEF9" s="239"/>
      <c r="DEG9" s="239"/>
      <c r="DEH9" s="239"/>
      <c r="DEI9" s="239"/>
      <c r="DEJ9" s="239"/>
      <c r="DEK9" s="239"/>
      <c r="DEL9" s="239"/>
      <c r="DEM9" s="239"/>
      <c r="DEN9" s="239"/>
      <c r="DEO9" s="239"/>
      <c r="DEP9" s="239"/>
      <c r="DEQ9" s="239"/>
      <c r="DER9" s="239"/>
      <c r="DES9" s="239"/>
      <c r="DET9" s="239"/>
      <c r="DEU9" s="239"/>
      <c r="DEV9" s="239"/>
      <c r="DEW9" s="239"/>
      <c r="DEX9" s="239"/>
      <c r="DEY9" s="239"/>
      <c r="DEZ9" s="239"/>
      <c r="DFA9" s="239"/>
      <c r="DFB9" s="239"/>
      <c r="DFC9" s="239"/>
      <c r="DFD9" s="239"/>
      <c r="DFE9" s="239"/>
      <c r="DFF9" s="239"/>
      <c r="DFG9" s="239"/>
      <c r="DFH9" s="239"/>
      <c r="DFI9" s="239"/>
      <c r="DFJ9" s="239"/>
      <c r="DFK9" s="239"/>
      <c r="DFL9" s="239"/>
      <c r="DFM9" s="239"/>
      <c r="DFN9" s="239"/>
      <c r="DFO9" s="239"/>
      <c r="DFP9" s="239"/>
      <c r="DFQ9" s="239"/>
      <c r="DFR9" s="239"/>
      <c r="DFS9" s="239"/>
      <c r="DFT9" s="239"/>
      <c r="DFU9" s="239"/>
      <c r="DFV9" s="239"/>
      <c r="DFW9" s="239"/>
      <c r="DFX9" s="239"/>
      <c r="DFY9" s="239"/>
      <c r="DFZ9" s="239"/>
      <c r="DGA9" s="239"/>
      <c r="DGB9" s="239"/>
      <c r="DGC9" s="239"/>
      <c r="DGD9" s="239"/>
      <c r="DGE9" s="239"/>
      <c r="DGF9" s="239"/>
      <c r="DGG9" s="239"/>
      <c r="DGH9" s="239"/>
      <c r="DGI9" s="239"/>
      <c r="DGJ9" s="239"/>
      <c r="DGK9" s="239"/>
      <c r="DGL9" s="239"/>
      <c r="DGM9" s="239"/>
      <c r="DGN9" s="239"/>
      <c r="DGO9" s="239"/>
      <c r="DGP9" s="239"/>
      <c r="DGQ9" s="239"/>
      <c r="DGR9" s="239"/>
      <c r="DGS9" s="239"/>
      <c r="DGT9" s="239"/>
      <c r="DGU9" s="239"/>
      <c r="DGV9" s="239"/>
      <c r="DGW9" s="239"/>
      <c r="DGX9" s="239"/>
      <c r="DGY9" s="239"/>
      <c r="DGZ9" s="239"/>
      <c r="DHA9" s="239"/>
      <c r="DHB9" s="239"/>
      <c r="DHC9" s="239"/>
      <c r="DHD9" s="239"/>
      <c r="DHE9" s="239"/>
      <c r="DHF9" s="239"/>
      <c r="DHG9" s="239"/>
      <c r="DHH9" s="239"/>
      <c r="DHI9" s="239"/>
      <c r="DHJ9" s="239"/>
      <c r="DHK9" s="239"/>
      <c r="DHL9" s="239"/>
      <c r="DHM9" s="239"/>
      <c r="DHN9" s="239"/>
      <c r="DHO9" s="239"/>
      <c r="DHP9" s="239"/>
      <c r="DHQ9" s="239"/>
      <c r="DHR9" s="239"/>
      <c r="DHS9" s="239"/>
      <c r="DHT9" s="239"/>
      <c r="DHU9" s="239"/>
      <c r="DHV9" s="239"/>
      <c r="DHW9" s="239"/>
      <c r="DHX9" s="239"/>
      <c r="DHY9" s="239"/>
      <c r="DHZ9" s="239"/>
      <c r="DIA9" s="239"/>
      <c r="DIB9" s="239"/>
      <c r="DIC9" s="239"/>
      <c r="DID9" s="239"/>
      <c r="DIE9" s="239"/>
      <c r="DIF9" s="239"/>
      <c r="DIG9" s="239"/>
      <c r="DIH9" s="239"/>
      <c r="DII9" s="239"/>
      <c r="DIJ9" s="239"/>
      <c r="DIK9" s="239"/>
      <c r="DIL9" s="239"/>
      <c r="DIM9" s="239"/>
      <c r="DIN9" s="239"/>
      <c r="DIO9" s="239"/>
      <c r="DIP9" s="239"/>
      <c r="DIQ9" s="239"/>
      <c r="DIR9" s="239"/>
      <c r="DIS9" s="239"/>
      <c r="DIT9" s="239"/>
      <c r="DIU9" s="239"/>
      <c r="DIV9" s="239"/>
      <c r="DIW9" s="239"/>
      <c r="DIX9" s="239"/>
      <c r="DIY9" s="239"/>
      <c r="DIZ9" s="239"/>
      <c r="DJA9" s="239"/>
      <c r="DJB9" s="239"/>
      <c r="DJC9" s="239"/>
      <c r="DJD9" s="239"/>
      <c r="DJE9" s="239"/>
      <c r="DJF9" s="239"/>
      <c r="DJG9" s="239"/>
      <c r="DJH9" s="239"/>
      <c r="DJI9" s="239"/>
      <c r="DJJ9" s="239"/>
      <c r="DJK9" s="239"/>
      <c r="DJL9" s="239"/>
      <c r="DJM9" s="239"/>
      <c r="DJN9" s="239"/>
      <c r="DJO9" s="239"/>
      <c r="DJP9" s="239"/>
      <c r="DJQ9" s="239"/>
      <c r="DJR9" s="239"/>
      <c r="DJS9" s="239"/>
      <c r="DJT9" s="239"/>
      <c r="DJU9" s="239"/>
      <c r="DJV9" s="239"/>
      <c r="DJW9" s="239"/>
      <c r="DJX9" s="239"/>
      <c r="DJY9" s="239"/>
      <c r="DJZ9" s="239"/>
      <c r="DKA9" s="239"/>
      <c r="DKB9" s="239"/>
      <c r="DKC9" s="239"/>
      <c r="DKD9" s="239"/>
      <c r="DKE9" s="239"/>
      <c r="DKF9" s="239"/>
      <c r="DKG9" s="239"/>
      <c r="DKH9" s="239"/>
      <c r="DKI9" s="239"/>
      <c r="DKJ9" s="239"/>
      <c r="DKK9" s="239"/>
      <c r="DKL9" s="239"/>
      <c r="DKM9" s="239"/>
      <c r="DKN9" s="239"/>
      <c r="DKO9" s="239"/>
      <c r="DKP9" s="239"/>
      <c r="DKQ9" s="239"/>
      <c r="DKR9" s="239"/>
      <c r="DKS9" s="239"/>
      <c r="DKT9" s="239"/>
      <c r="DKU9" s="239"/>
      <c r="DKV9" s="239"/>
      <c r="DKW9" s="239"/>
      <c r="DKX9" s="239"/>
      <c r="DKY9" s="239"/>
      <c r="DKZ9" s="239"/>
      <c r="DLA9" s="239"/>
      <c r="DLB9" s="239"/>
      <c r="DLC9" s="239"/>
      <c r="DLD9" s="239"/>
      <c r="DLE9" s="239"/>
      <c r="DLF9" s="239"/>
      <c r="DLG9" s="239"/>
      <c r="DLH9" s="239"/>
      <c r="DLI9" s="239"/>
      <c r="DLJ9" s="239"/>
      <c r="DLK9" s="239"/>
      <c r="DLL9" s="239"/>
      <c r="DLM9" s="239"/>
      <c r="DLN9" s="239"/>
      <c r="DLO9" s="239"/>
      <c r="DLP9" s="239"/>
      <c r="DLQ9" s="239"/>
      <c r="DLR9" s="239"/>
      <c r="DLS9" s="239"/>
      <c r="DLT9" s="239"/>
      <c r="DLU9" s="239"/>
      <c r="DLV9" s="239"/>
      <c r="DLW9" s="239"/>
      <c r="DLX9" s="239"/>
      <c r="DLY9" s="239"/>
      <c r="DLZ9" s="239"/>
      <c r="DMA9" s="239"/>
      <c r="DMB9" s="239"/>
      <c r="DMC9" s="239"/>
      <c r="DMD9" s="239"/>
      <c r="DME9" s="239"/>
      <c r="DMF9" s="239"/>
      <c r="DMG9" s="239"/>
      <c r="DMH9" s="239"/>
      <c r="DMI9" s="239"/>
      <c r="DMJ9" s="239"/>
      <c r="DMK9" s="239"/>
      <c r="DML9" s="239"/>
      <c r="DMM9" s="239"/>
      <c r="DMN9" s="239"/>
      <c r="DMO9" s="239"/>
      <c r="DMP9" s="239"/>
      <c r="DMQ9" s="239"/>
      <c r="DMR9" s="239"/>
      <c r="DMS9" s="239"/>
      <c r="DMT9" s="239"/>
      <c r="DMU9" s="239"/>
      <c r="DMV9" s="239"/>
      <c r="DMW9" s="239"/>
      <c r="DMX9" s="239"/>
      <c r="DMY9" s="239"/>
      <c r="DMZ9" s="239"/>
      <c r="DNA9" s="239"/>
      <c r="DNB9" s="239"/>
      <c r="DNC9" s="239"/>
      <c r="DND9" s="239"/>
      <c r="DNE9" s="239"/>
      <c r="DNF9" s="239"/>
      <c r="DNG9" s="239"/>
      <c r="DNH9" s="239"/>
      <c r="DNI9" s="239"/>
      <c r="DNJ9" s="239"/>
      <c r="DNK9" s="239"/>
      <c r="DNL9" s="239"/>
      <c r="DNM9" s="239"/>
      <c r="DNN9" s="239"/>
      <c r="DNO9" s="239"/>
      <c r="DNP9" s="239"/>
      <c r="DNQ9" s="239"/>
      <c r="DNR9" s="239"/>
      <c r="DNS9" s="239"/>
      <c r="DNT9" s="239"/>
      <c r="DNU9" s="239"/>
      <c r="DNV9" s="239"/>
      <c r="DNW9" s="239"/>
      <c r="DNX9" s="239"/>
      <c r="DNY9" s="239"/>
      <c r="DNZ9" s="239"/>
      <c r="DOA9" s="239"/>
      <c r="DOB9" s="239"/>
      <c r="DOC9" s="239"/>
      <c r="DOD9" s="239"/>
      <c r="DOE9" s="239"/>
      <c r="DOF9" s="239"/>
      <c r="DOG9" s="239"/>
      <c r="DOH9" s="239"/>
      <c r="DOI9" s="239"/>
      <c r="DOJ9" s="239"/>
      <c r="DOK9" s="239"/>
      <c r="DOL9" s="239"/>
      <c r="DOM9" s="239"/>
      <c r="DON9" s="239"/>
      <c r="DOO9" s="239"/>
      <c r="DOP9" s="239"/>
      <c r="DOQ9" s="239"/>
      <c r="DOR9" s="239"/>
      <c r="DOS9" s="239"/>
      <c r="DOT9" s="239"/>
      <c r="DOU9" s="239"/>
      <c r="DOV9" s="239"/>
      <c r="DOW9" s="239"/>
      <c r="DOX9" s="239"/>
      <c r="DOY9" s="239"/>
      <c r="DOZ9" s="239"/>
      <c r="DPA9" s="239"/>
      <c r="DPB9" s="239"/>
      <c r="DPC9" s="239"/>
      <c r="DPD9" s="239"/>
      <c r="DPE9" s="239"/>
      <c r="DPF9" s="239"/>
      <c r="DPG9" s="239"/>
      <c r="DPH9" s="239"/>
      <c r="DPI9" s="239"/>
      <c r="DPJ9" s="239"/>
      <c r="DPK9" s="239"/>
      <c r="DPL9" s="239"/>
      <c r="DPM9" s="239"/>
      <c r="DPN9" s="239"/>
      <c r="DPO9" s="239"/>
      <c r="DPP9" s="239"/>
      <c r="DPQ9" s="239"/>
      <c r="DPR9" s="239"/>
      <c r="DPS9" s="239"/>
      <c r="DPT9" s="239"/>
      <c r="DPU9" s="239"/>
      <c r="DPV9" s="239"/>
      <c r="DPW9" s="239"/>
      <c r="DPX9" s="239"/>
      <c r="DPY9" s="239"/>
      <c r="DPZ9" s="239"/>
      <c r="DQA9" s="239"/>
      <c r="DQB9" s="239"/>
      <c r="DQC9" s="239"/>
      <c r="DQD9" s="239"/>
      <c r="DQE9" s="239"/>
      <c r="DQF9" s="239"/>
      <c r="DQG9" s="239"/>
      <c r="DQH9" s="239"/>
      <c r="DQI9" s="239"/>
      <c r="DQJ9" s="239"/>
      <c r="DQK9" s="239"/>
      <c r="DQL9" s="239"/>
      <c r="DQM9" s="239"/>
      <c r="DQN9" s="239"/>
      <c r="DQO9" s="239"/>
      <c r="DQP9" s="239"/>
      <c r="DQQ9" s="239"/>
      <c r="DQR9" s="239"/>
      <c r="DQS9" s="239"/>
      <c r="DQT9" s="239"/>
      <c r="DQU9" s="239"/>
      <c r="DQV9" s="239"/>
      <c r="DQW9" s="239"/>
      <c r="DQX9" s="239"/>
      <c r="DQY9" s="239"/>
      <c r="DQZ9" s="239"/>
      <c r="DRA9" s="239"/>
      <c r="DRB9" s="239"/>
      <c r="DRC9" s="239"/>
      <c r="DRD9" s="239"/>
      <c r="DRE9" s="239"/>
      <c r="DRF9" s="239"/>
      <c r="DRG9" s="239"/>
      <c r="DRH9" s="239"/>
      <c r="DRI9" s="239"/>
      <c r="DRJ9" s="239"/>
      <c r="DRK9" s="239"/>
      <c r="DRL9" s="239"/>
      <c r="DRM9" s="239"/>
      <c r="DRN9" s="239"/>
      <c r="DRO9" s="239"/>
      <c r="DRP9" s="239"/>
      <c r="DRQ9" s="239"/>
      <c r="DRR9" s="239"/>
      <c r="DRS9" s="239"/>
      <c r="DRT9" s="239"/>
      <c r="DRU9" s="239"/>
      <c r="DRV9" s="239"/>
      <c r="DRW9" s="239"/>
      <c r="DRX9" s="239"/>
      <c r="DRY9" s="239"/>
      <c r="DRZ9" s="239"/>
      <c r="DSA9" s="239"/>
      <c r="DSB9" s="239"/>
      <c r="DSC9" s="239"/>
      <c r="DSD9" s="239"/>
      <c r="DSE9" s="239"/>
      <c r="DSF9" s="239"/>
      <c r="DSG9" s="239"/>
      <c r="DSH9" s="239"/>
      <c r="DSI9" s="239"/>
      <c r="DSJ9" s="239"/>
      <c r="DSK9" s="239"/>
      <c r="DSL9" s="239"/>
      <c r="DSM9" s="239"/>
      <c r="DSN9" s="239"/>
      <c r="DSO9" s="239"/>
      <c r="DSP9" s="239"/>
      <c r="DSQ9" s="239"/>
      <c r="DSR9" s="239"/>
      <c r="DSS9" s="239"/>
      <c r="DST9" s="239"/>
      <c r="DSU9" s="239"/>
      <c r="DSV9" s="239"/>
      <c r="DSW9" s="239"/>
      <c r="DSX9" s="239"/>
      <c r="DSY9" s="239"/>
      <c r="DSZ9" s="239"/>
      <c r="DTA9" s="239"/>
      <c r="DTB9" s="239"/>
      <c r="DTC9" s="239"/>
      <c r="DTD9" s="239"/>
      <c r="DTE9" s="239"/>
      <c r="DTF9" s="239"/>
      <c r="DTG9" s="239"/>
      <c r="DTH9" s="239"/>
      <c r="DTI9" s="239"/>
      <c r="DTJ9" s="239"/>
      <c r="DTK9" s="239"/>
      <c r="DTL9" s="239"/>
      <c r="DTM9" s="239"/>
      <c r="DTN9" s="239"/>
      <c r="DTO9" s="239"/>
      <c r="DTP9" s="239"/>
      <c r="DTQ9" s="239"/>
      <c r="DTR9" s="239"/>
      <c r="DTS9" s="239"/>
      <c r="DTT9" s="239"/>
      <c r="DTU9" s="239"/>
      <c r="DTV9" s="239"/>
      <c r="DTW9" s="239"/>
      <c r="DTX9" s="239"/>
      <c r="DTY9" s="239"/>
      <c r="DTZ9" s="239"/>
      <c r="DUA9" s="239"/>
      <c r="DUB9" s="239"/>
      <c r="DUC9" s="239"/>
      <c r="DUD9" s="239"/>
      <c r="DUE9" s="239"/>
      <c r="DUF9" s="239"/>
      <c r="DUG9" s="239"/>
      <c r="DUH9" s="239"/>
      <c r="DUI9" s="239"/>
      <c r="DUJ9" s="239"/>
      <c r="DUK9" s="239"/>
      <c r="DUL9" s="239"/>
      <c r="DUM9" s="239"/>
      <c r="DUN9" s="239"/>
      <c r="DUO9" s="239"/>
      <c r="DUP9" s="239"/>
      <c r="DUQ9" s="239"/>
      <c r="DUR9" s="239"/>
      <c r="DUS9" s="239"/>
      <c r="DUT9" s="239"/>
      <c r="DUU9" s="239"/>
      <c r="DUV9" s="239"/>
      <c r="DUW9" s="239"/>
      <c r="DUX9" s="239"/>
      <c r="DUY9" s="239"/>
      <c r="DUZ9" s="239"/>
      <c r="DVA9" s="239"/>
      <c r="DVB9" s="239"/>
      <c r="DVC9" s="239"/>
      <c r="DVD9" s="239"/>
      <c r="DVE9" s="239"/>
      <c r="DVF9" s="239"/>
      <c r="DVG9" s="239"/>
      <c r="DVH9" s="239"/>
      <c r="DVI9" s="239"/>
      <c r="DVJ9" s="239"/>
      <c r="DVK9" s="239"/>
      <c r="DVL9" s="239"/>
      <c r="DVM9" s="239"/>
      <c r="DVN9" s="239"/>
      <c r="DVO9" s="239"/>
      <c r="DVP9" s="239"/>
      <c r="DVQ9" s="239"/>
      <c r="DVR9" s="239"/>
      <c r="DVS9" s="239"/>
      <c r="DVT9" s="239"/>
      <c r="DVU9" s="239"/>
      <c r="DVV9" s="239"/>
      <c r="DVW9" s="239"/>
      <c r="DVX9" s="239"/>
      <c r="DVY9" s="239"/>
      <c r="DVZ9" s="239"/>
      <c r="DWA9" s="239"/>
      <c r="DWB9" s="239"/>
      <c r="DWC9" s="239"/>
      <c r="DWD9" s="239"/>
      <c r="DWE9" s="239"/>
      <c r="DWF9" s="239"/>
      <c r="DWG9" s="239"/>
      <c r="DWH9" s="239"/>
      <c r="DWI9" s="239"/>
      <c r="DWJ9" s="239"/>
      <c r="DWK9" s="239"/>
      <c r="DWL9" s="239"/>
      <c r="DWM9" s="239"/>
      <c r="DWN9" s="239"/>
      <c r="DWO9" s="239"/>
      <c r="DWP9" s="239"/>
      <c r="DWQ9" s="239"/>
      <c r="DWR9" s="239"/>
      <c r="DWS9" s="239"/>
      <c r="DWT9" s="239"/>
      <c r="DWU9" s="239"/>
      <c r="DWV9" s="239"/>
      <c r="DWW9" s="239"/>
      <c r="DWX9" s="239"/>
      <c r="DWY9" s="239"/>
      <c r="DWZ9" s="239"/>
      <c r="DXA9" s="239"/>
      <c r="DXB9" s="239"/>
      <c r="DXC9" s="239"/>
      <c r="DXD9" s="239"/>
      <c r="DXE9" s="239"/>
      <c r="DXF9" s="239"/>
      <c r="DXG9" s="239"/>
      <c r="DXH9" s="239"/>
      <c r="DXI9" s="239"/>
      <c r="DXJ9" s="239"/>
      <c r="DXK9" s="239"/>
      <c r="DXL9" s="239"/>
      <c r="DXM9" s="239"/>
      <c r="DXN9" s="239"/>
      <c r="DXO9" s="239"/>
      <c r="DXP9" s="239"/>
      <c r="DXQ9" s="239"/>
      <c r="DXR9" s="239"/>
      <c r="DXS9" s="239"/>
      <c r="DXT9" s="239"/>
      <c r="DXU9" s="239"/>
      <c r="DXV9" s="239"/>
      <c r="DXW9" s="239"/>
      <c r="DXX9" s="239"/>
      <c r="DXY9" s="239"/>
      <c r="DXZ9" s="239"/>
      <c r="DYA9" s="239"/>
      <c r="DYB9" s="239"/>
      <c r="DYC9" s="239"/>
      <c r="DYD9" s="239"/>
      <c r="DYE9" s="239"/>
      <c r="DYF9" s="239"/>
      <c r="DYG9" s="239"/>
      <c r="DYH9" s="239"/>
      <c r="DYI9" s="239"/>
      <c r="DYJ9" s="239"/>
      <c r="DYK9" s="239"/>
      <c r="DYL9" s="239"/>
      <c r="DYM9" s="239"/>
      <c r="DYN9" s="239"/>
      <c r="DYO9" s="239"/>
      <c r="DYP9" s="239"/>
      <c r="DYQ9" s="239"/>
      <c r="DYR9" s="239"/>
      <c r="DYS9" s="239"/>
      <c r="DYT9" s="239"/>
      <c r="DYU9" s="239"/>
      <c r="DYV9" s="239"/>
      <c r="DYW9" s="239"/>
      <c r="DYX9" s="239"/>
      <c r="DYY9" s="239"/>
      <c r="DYZ9" s="239"/>
      <c r="DZA9" s="239"/>
      <c r="DZB9" s="239"/>
      <c r="DZC9" s="239"/>
      <c r="DZD9" s="239"/>
      <c r="DZE9" s="239"/>
      <c r="DZF9" s="239"/>
      <c r="DZG9" s="239"/>
      <c r="DZH9" s="239"/>
      <c r="DZI9" s="239"/>
      <c r="DZJ9" s="239"/>
      <c r="DZK9" s="239"/>
      <c r="DZL9" s="239"/>
      <c r="DZM9" s="239"/>
      <c r="DZN9" s="239"/>
      <c r="DZO9" s="239"/>
      <c r="DZP9" s="239"/>
      <c r="DZQ9" s="239"/>
      <c r="DZR9" s="239"/>
      <c r="DZS9" s="239"/>
      <c r="DZT9" s="239"/>
      <c r="DZU9" s="239"/>
      <c r="DZV9" s="239"/>
      <c r="DZW9" s="239"/>
      <c r="DZX9" s="239"/>
      <c r="DZY9" s="239"/>
      <c r="DZZ9" s="239"/>
      <c r="EAA9" s="239"/>
      <c r="EAB9" s="239"/>
      <c r="EAC9" s="239"/>
      <c r="EAD9" s="239"/>
      <c r="EAE9" s="239"/>
      <c r="EAF9" s="239"/>
      <c r="EAG9" s="239"/>
      <c r="EAH9" s="239"/>
      <c r="EAI9" s="239"/>
      <c r="EAJ9" s="239"/>
      <c r="EAK9" s="239"/>
      <c r="EAL9" s="239"/>
      <c r="EAM9" s="239"/>
      <c r="EAN9" s="239"/>
      <c r="EAO9" s="239"/>
      <c r="EAP9" s="239"/>
      <c r="EAQ9" s="239"/>
      <c r="EAR9" s="239"/>
      <c r="EAS9" s="239"/>
      <c r="EAT9" s="239"/>
      <c r="EAU9" s="239"/>
      <c r="EAV9" s="239"/>
      <c r="EAW9" s="239"/>
      <c r="EAX9" s="239"/>
      <c r="EAY9" s="239"/>
      <c r="EAZ9" s="239"/>
      <c r="EBA9" s="239"/>
      <c r="EBB9" s="239"/>
      <c r="EBC9" s="239"/>
      <c r="EBD9" s="239"/>
      <c r="EBE9" s="239"/>
      <c r="EBF9" s="239"/>
      <c r="EBG9" s="239"/>
      <c r="EBH9" s="239"/>
      <c r="EBI9" s="239"/>
      <c r="EBJ9" s="239"/>
      <c r="EBK9" s="239"/>
      <c r="EBL9" s="239"/>
      <c r="EBM9" s="239"/>
      <c r="EBN9" s="239"/>
      <c r="EBO9" s="239"/>
      <c r="EBP9" s="239"/>
      <c r="EBQ9" s="239"/>
      <c r="EBR9" s="239"/>
      <c r="EBS9" s="239"/>
      <c r="EBT9" s="239"/>
      <c r="EBU9" s="239"/>
      <c r="EBV9" s="239"/>
      <c r="EBW9" s="239"/>
      <c r="EBX9" s="239"/>
      <c r="EBY9" s="239"/>
      <c r="EBZ9" s="239"/>
      <c r="ECA9" s="239"/>
      <c r="ECB9" s="239"/>
      <c r="ECC9" s="239"/>
      <c r="ECD9" s="239"/>
      <c r="ECE9" s="239"/>
      <c r="ECF9" s="239"/>
      <c r="ECG9" s="239"/>
      <c r="ECH9" s="239"/>
      <c r="ECI9" s="239"/>
      <c r="ECJ9" s="239"/>
      <c r="ECK9" s="239"/>
      <c r="ECL9" s="239"/>
      <c r="ECM9" s="239"/>
      <c r="ECN9" s="239"/>
      <c r="ECO9" s="239"/>
      <c r="ECP9" s="239"/>
      <c r="ECQ9" s="239"/>
      <c r="ECR9" s="239"/>
      <c r="ECS9" s="239"/>
      <c r="ECT9" s="239"/>
      <c r="ECU9" s="239"/>
      <c r="ECV9" s="239"/>
      <c r="ECW9" s="239"/>
      <c r="ECX9" s="239"/>
      <c r="ECY9" s="239"/>
      <c r="ECZ9" s="239"/>
      <c r="EDA9" s="239"/>
      <c r="EDB9" s="239"/>
      <c r="EDC9" s="239"/>
      <c r="EDD9" s="239"/>
      <c r="EDE9" s="239"/>
      <c r="EDF9" s="239"/>
      <c r="EDG9" s="239"/>
      <c r="EDH9" s="239"/>
      <c r="EDI9" s="239"/>
      <c r="EDJ9" s="239"/>
      <c r="EDK9" s="239"/>
      <c r="EDL9" s="239"/>
      <c r="EDM9" s="239"/>
      <c r="EDN9" s="239"/>
      <c r="EDO9" s="239"/>
      <c r="EDP9" s="239"/>
      <c r="EDQ9" s="239"/>
      <c r="EDR9" s="239"/>
      <c r="EDS9" s="239"/>
      <c r="EDT9" s="239"/>
      <c r="EDU9" s="239"/>
      <c r="EDV9" s="239"/>
      <c r="EDW9" s="239"/>
      <c r="EDX9" s="239"/>
      <c r="EDY9" s="239"/>
      <c r="EDZ9" s="239"/>
      <c r="EEA9" s="239"/>
      <c r="EEB9" s="239"/>
      <c r="EEC9" s="239"/>
      <c r="EED9" s="239"/>
      <c r="EEE9" s="239"/>
      <c r="EEF9" s="239"/>
      <c r="EEG9" s="239"/>
      <c r="EEH9" s="239"/>
      <c r="EEI9" s="239"/>
      <c r="EEJ9" s="239"/>
      <c r="EEK9" s="239"/>
      <c r="EEL9" s="239"/>
      <c r="EEM9" s="239"/>
      <c r="EEN9" s="239"/>
      <c r="EEO9" s="239"/>
      <c r="EEP9" s="239"/>
      <c r="EEQ9" s="239"/>
      <c r="EER9" s="239"/>
      <c r="EES9" s="239"/>
      <c r="EET9" s="239"/>
      <c r="EEU9" s="239"/>
      <c r="EEV9" s="239"/>
      <c r="EEW9" s="239"/>
      <c r="EEX9" s="239"/>
      <c r="EEY9" s="239"/>
      <c r="EEZ9" s="239"/>
      <c r="EFA9" s="239"/>
      <c r="EFB9" s="239"/>
      <c r="EFC9" s="239"/>
      <c r="EFD9" s="239"/>
      <c r="EFE9" s="239"/>
      <c r="EFF9" s="239"/>
      <c r="EFG9" s="239"/>
      <c r="EFH9" s="239"/>
      <c r="EFI9" s="239"/>
      <c r="EFJ9" s="239"/>
      <c r="EFK9" s="239"/>
      <c r="EFL9" s="239"/>
      <c r="EFM9" s="239"/>
      <c r="EFN9" s="239"/>
      <c r="EFO9" s="239"/>
      <c r="EFP9" s="239"/>
      <c r="EFQ9" s="239"/>
      <c r="EFR9" s="239"/>
      <c r="EFS9" s="239"/>
      <c r="EFT9" s="239"/>
      <c r="EFU9" s="239"/>
      <c r="EFV9" s="239"/>
      <c r="EFW9" s="239"/>
      <c r="EFX9" s="239"/>
      <c r="EFY9" s="239"/>
      <c r="EFZ9" s="239"/>
      <c r="EGA9" s="239"/>
      <c r="EGB9" s="239"/>
      <c r="EGC9" s="239"/>
      <c r="EGD9" s="239"/>
      <c r="EGE9" s="239"/>
      <c r="EGF9" s="239"/>
      <c r="EGG9" s="239"/>
      <c r="EGH9" s="239"/>
      <c r="EGI9" s="239"/>
      <c r="EGJ9" s="239"/>
      <c r="EGK9" s="239"/>
      <c r="EGL9" s="239"/>
      <c r="EGM9" s="239"/>
      <c r="EGN9" s="239"/>
      <c r="EGO9" s="239"/>
      <c r="EGP9" s="239"/>
      <c r="EGQ9" s="239"/>
      <c r="EGR9" s="239"/>
      <c r="EGS9" s="239"/>
      <c r="EGT9" s="239"/>
      <c r="EGU9" s="239"/>
      <c r="EGV9" s="239"/>
      <c r="EGW9" s="239"/>
      <c r="EGX9" s="239"/>
      <c r="EGY9" s="239"/>
      <c r="EGZ9" s="239"/>
      <c r="EHA9" s="239"/>
      <c r="EHB9" s="239"/>
      <c r="EHC9" s="239"/>
      <c r="EHD9" s="239"/>
      <c r="EHE9" s="239"/>
      <c r="EHF9" s="239"/>
      <c r="EHG9" s="239"/>
      <c r="EHH9" s="239"/>
      <c r="EHI9" s="239"/>
      <c r="EHJ9" s="239"/>
      <c r="EHK9" s="239"/>
      <c r="EHL9" s="239"/>
      <c r="EHM9" s="239"/>
      <c r="EHN9" s="239"/>
      <c r="EHO9" s="239"/>
      <c r="EHP9" s="239"/>
      <c r="EHQ9" s="239"/>
      <c r="EHR9" s="239"/>
      <c r="EHS9" s="239"/>
      <c r="EHT9" s="239"/>
      <c r="EHU9" s="239"/>
      <c r="EHV9" s="239"/>
      <c r="EHW9" s="239"/>
      <c r="EHX9" s="239"/>
      <c r="EHY9" s="239"/>
      <c r="EHZ9" s="239"/>
      <c r="EIA9" s="239"/>
      <c r="EIB9" s="239"/>
      <c r="EIC9" s="239"/>
      <c r="EID9" s="239"/>
      <c r="EIE9" s="239"/>
      <c r="EIF9" s="239"/>
      <c r="EIG9" s="239"/>
      <c r="EIH9" s="239"/>
      <c r="EII9" s="239"/>
      <c r="EIJ9" s="239"/>
      <c r="EIK9" s="239"/>
      <c r="EIL9" s="239"/>
      <c r="EIM9" s="239"/>
      <c r="EIN9" s="239"/>
      <c r="EIO9" s="239"/>
      <c r="EIP9" s="239"/>
      <c r="EIQ9" s="239"/>
      <c r="EIR9" s="239"/>
      <c r="EIS9" s="239"/>
      <c r="EIT9" s="239"/>
      <c r="EIU9" s="239"/>
      <c r="EIV9" s="239"/>
      <c r="EIW9" s="239"/>
      <c r="EIX9" s="239"/>
      <c r="EIY9" s="239"/>
      <c r="EIZ9" s="239"/>
      <c r="EJA9" s="239"/>
      <c r="EJB9" s="239"/>
      <c r="EJC9" s="239"/>
      <c r="EJD9" s="239"/>
      <c r="EJE9" s="239"/>
      <c r="EJF9" s="239"/>
      <c r="EJG9" s="239"/>
      <c r="EJH9" s="239"/>
      <c r="EJI9" s="239"/>
      <c r="EJJ9" s="239"/>
      <c r="EJK9" s="239"/>
      <c r="EJL9" s="239"/>
      <c r="EJM9" s="239"/>
      <c r="EJN9" s="239"/>
      <c r="EJO9" s="239"/>
      <c r="EJP9" s="239"/>
      <c r="EJQ9" s="239"/>
      <c r="EJR9" s="239"/>
      <c r="EJS9" s="239"/>
      <c r="EJT9" s="239"/>
      <c r="EJU9" s="239"/>
      <c r="EJV9" s="239"/>
      <c r="EJW9" s="239"/>
      <c r="EJX9" s="239"/>
      <c r="EJY9" s="239"/>
      <c r="EJZ9" s="239"/>
      <c r="EKA9" s="239"/>
      <c r="EKB9" s="239"/>
      <c r="EKC9" s="239"/>
      <c r="EKD9" s="239"/>
      <c r="EKE9" s="239"/>
      <c r="EKF9" s="239"/>
      <c r="EKG9" s="239"/>
      <c r="EKH9" s="239"/>
      <c r="EKI9" s="239"/>
      <c r="EKJ9" s="239"/>
      <c r="EKK9" s="239"/>
      <c r="EKL9" s="239"/>
      <c r="EKM9" s="239"/>
      <c r="EKN9" s="239"/>
      <c r="EKO9" s="239"/>
      <c r="EKP9" s="239"/>
      <c r="EKQ9" s="239"/>
      <c r="EKR9" s="239"/>
      <c r="EKS9" s="239"/>
      <c r="EKT9" s="239"/>
      <c r="EKU9" s="239"/>
      <c r="EKV9" s="239"/>
      <c r="EKW9" s="239"/>
      <c r="EKX9" s="239"/>
      <c r="EKY9" s="239"/>
      <c r="EKZ9" s="239"/>
      <c r="ELA9" s="239"/>
      <c r="ELB9" s="239"/>
      <c r="ELC9" s="239"/>
      <c r="ELD9" s="239"/>
      <c r="ELE9" s="239"/>
      <c r="ELF9" s="239"/>
      <c r="ELG9" s="239"/>
      <c r="ELH9" s="239"/>
      <c r="ELI9" s="239"/>
      <c r="ELJ9" s="239"/>
      <c r="ELK9" s="239"/>
      <c r="ELL9" s="239"/>
      <c r="ELM9" s="239"/>
      <c r="ELN9" s="239"/>
      <c r="ELO9" s="239"/>
      <c r="ELP9" s="239"/>
      <c r="ELQ9" s="239"/>
      <c r="ELR9" s="239"/>
      <c r="ELS9" s="239"/>
      <c r="ELT9" s="239"/>
      <c r="ELU9" s="239"/>
      <c r="ELV9" s="239"/>
      <c r="ELW9" s="239"/>
      <c r="ELX9" s="239"/>
      <c r="ELY9" s="239"/>
      <c r="ELZ9" s="239"/>
      <c r="EMA9" s="239"/>
      <c r="EMB9" s="239"/>
      <c r="EMC9" s="239"/>
      <c r="EMD9" s="239"/>
      <c r="EME9" s="239"/>
      <c r="EMF9" s="239"/>
      <c r="EMG9" s="239"/>
      <c r="EMH9" s="239"/>
      <c r="EMI9" s="239"/>
      <c r="EMJ9" s="239"/>
      <c r="EMK9" s="239"/>
      <c r="EML9" s="239"/>
      <c r="EMM9" s="239"/>
      <c r="EMN9" s="239"/>
      <c r="EMO9" s="239"/>
      <c r="EMP9" s="239"/>
      <c r="EMQ9" s="239"/>
      <c r="EMR9" s="239"/>
      <c r="EMS9" s="239"/>
      <c r="EMT9" s="239"/>
      <c r="EMU9" s="239"/>
      <c r="EMV9" s="239"/>
      <c r="EMW9" s="239"/>
      <c r="EMX9" s="239"/>
      <c r="EMY9" s="239"/>
      <c r="EMZ9" s="239"/>
      <c r="ENA9" s="239"/>
      <c r="ENB9" s="239"/>
      <c r="ENC9" s="239"/>
      <c r="END9" s="239"/>
      <c r="ENE9" s="239"/>
      <c r="ENF9" s="239"/>
      <c r="ENG9" s="239"/>
      <c r="ENH9" s="239"/>
      <c r="ENI9" s="239"/>
      <c r="ENJ9" s="239"/>
      <c r="ENK9" s="239"/>
      <c r="ENL9" s="239"/>
      <c r="ENM9" s="239"/>
      <c r="ENN9" s="239"/>
      <c r="ENO9" s="239"/>
      <c r="ENP9" s="239"/>
      <c r="ENQ9" s="239"/>
      <c r="ENR9" s="239"/>
      <c r="ENS9" s="239"/>
      <c r="ENT9" s="239"/>
      <c r="ENU9" s="239"/>
      <c r="ENV9" s="239"/>
      <c r="ENW9" s="239"/>
      <c r="ENX9" s="239"/>
      <c r="ENY9" s="239"/>
      <c r="ENZ9" s="239"/>
      <c r="EOA9" s="239"/>
      <c r="EOB9" s="239"/>
      <c r="EOC9" s="239"/>
      <c r="EOD9" s="239"/>
      <c r="EOE9" s="239"/>
      <c r="EOF9" s="239"/>
      <c r="EOG9" s="239"/>
      <c r="EOH9" s="239"/>
      <c r="EOI9" s="239"/>
      <c r="EOJ9" s="239"/>
      <c r="EOK9" s="239"/>
      <c r="EOL9" s="239"/>
      <c r="EOM9" s="239"/>
      <c r="EON9" s="239"/>
      <c r="EOO9" s="239"/>
      <c r="EOP9" s="239"/>
      <c r="EOQ9" s="239"/>
      <c r="EOR9" s="239"/>
      <c r="EOS9" s="239"/>
      <c r="EOT9" s="239"/>
      <c r="EOU9" s="239"/>
      <c r="EOV9" s="239"/>
      <c r="EOW9" s="239"/>
      <c r="EOX9" s="239"/>
      <c r="EOY9" s="239"/>
      <c r="EOZ9" s="239"/>
      <c r="EPA9" s="239"/>
      <c r="EPB9" s="239"/>
      <c r="EPC9" s="239"/>
      <c r="EPD9" s="239"/>
      <c r="EPE9" s="239"/>
      <c r="EPF9" s="239"/>
      <c r="EPG9" s="239"/>
      <c r="EPH9" s="239"/>
      <c r="EPI9" s="239"/>
      <c r="EPJ9" s="239"/>
      <c r="EPK9" s="239"/>
      <c r="EPL9" s="239"/>
      <c r="EPM9" s="239"/>
      <c r="EPN9" s="239"/>
      <c r="EPO9" s="239"/>
      <c r="EPP9" s="239"/>
      <c r="EPQ9" s="239"/>
      <c r="EPR9" s="239"/>
      <c r="EPS9" s="239"/>
      <c r="EPT9" s="239"/>
      <c r="EPU9" s="239"/>
      <c r="EPV9" s="239"/>
      <c r="EPW9" s="239"/>
      <c r="EPX9" s="239"/>
      <c r="EPY9" s="239"/>
      <c r="EPZ9" s="239"/>
      <c r="EQA9" s="239"/>
      <c r="EQB9" s="239"/>
      <c r="EQC9" s="239"/>
      <c r="EQD9" s="239"/>
      <c r="EQE9" s="239"/>
      <c r="EQF9" s="239"/>
      <c r="EQG9" s="239"/>
      <c r="EQH9" s="239"/>
      <c r="EQI9" s="239"/>
      <c r="EQJ9" s="239"/>
      <c r="EQK9" s="239"/>
      <c r="EQL9" s="239"/>
      <c r="EQM9" s="239"/>
      <c r="EQN9" s="239"/>
      <c r="EQO9" s="239"/>
      <c r="EQP9" s="239"/>
      <c r="EQQ9" s="239"/>
      <c r="EQR9" s="239"/>
      <c r="EQS9" s="239"/>
      <c r="EQT9" s="239"/>
      <c r="EQU9" s="239"/>
      <c r="EQV9" s="239"/>
      <c r="EQW9" s="239"/>
      <c r="EQX9" s="239"/>
      <c r="EQY9" s="239"/>
      <c r="EQZ9" s="239"/>
      <c r="ERA9" s="239"/>
      <c r="ERB9" s="239"/>
      <c r="ERC9" s="239"/>
      <c r="ERD9" s="239"/>
      <c r="ERE9" s="239"/>
      <c r="ERF9" s="239"/>
      <c r="ERG9" s="239"/>
      <c r="ERH9" s="239"/>
      <c r="ERI9" s="239"/>
      <c r="ERJ9" s="239"/>
      <c r="ERK9" s="239"/>
      <c r="ERL9" s="239"/>
      <c r="ERM9" s="239"/>
      <c r="ERN9" s="239"/>
      <c r="ERO9" s="239"/>
      <c r="ERP9" s="239"/>
      <c r="ERQ9" s="239"/>
      <c r="ERR9" s="239"/>
      <c r="ERS9" s="239"/>
      <c r="ERT9" s="239"/>
      <c r="ERU9" s="239"/>
      <c r="ERV9" s="239"/>
      <c r="ERW9" s="239"/>
      <c r="ERX9" s="239"/>
      <c r="ERY9" s="239"/>
      <c r="ERZ9" s="239"/>
      <c r="ESA9" s="239"/>
      <c r="ESB9" s="239"/>
      <c r="ESC9" s="239"/>
      <c r="ESD9" s="239"/>
      <c r="ESE9" s="239"/>
      <c r="ESF9" s="239"/>
      <c r="ESG9" s="239"/>
      <c r="ESH9" s="239"/>
      <c r="ESI9" s="239"/>
      <c r="ESJ9" s="239"/>
      <c r="ESK9" s="239"/>
      <c r="ESL9" s="239"/>
      <c r="ESM9" s="239"/>
      <c r="ESN9" s="239"/>
      <c r="ESO9" s="239"/>
      <c r="ESP9" s="239"/>
      <c r="ESQ9" s="239"/>
      <c r="ESR9" s="239"/>
      <c r="ESS9" s="239"/>
      <c r="EST9" s="239"/>
      <c r="ESU9" s="239"/>
      <c r="ESV9" s="239"/>
      <c r="ESW9" s="239"/>
      <c r="ESX9" s="239"/>
      <c r="ESY9" s="239"/>
      <c r="ESZ9" s="239"/>
      <c r="ETA9" s="239"/>
      <c r="ETB9" s="239"/>
      <c r="ETC9" s="239"/>
      <c r="ETD9" s="239"/>
      <c r="ETE9" s="239"/>
      <c r="ETF9" s="239"/>
      <c r="ETG9" s="239"/>
      <c r="ETH9" s="239"/>
      <c r="ETI9" s="239"/>
      <c r="ETJ9" s="239"/>
      <c r="ETK9" s="239"/>
      <c r="ETL9" s="239"/>
      <c r="ETM9" s="239"/>
      <c r="ETN9" s="239"/>
      <c r="ETO9" s="239"/>
      <c r="ETP9" s="239"/>
      <c r="ETQ9" s="239"/>
      <c r="ETR9" s="239"/>
      <c r="ETS9" s="239"/>
      <c r="ETT9" s="239"/>
      <c r="ETU9" s="239"/>
      <c r="ETV9" s="239"/>
      <c r="ETW9" s="239"/>
      <c r="ETX9" s="239"/>
      <c r="ETY9" s="239"/>
      <c r="ETZ9" s="239"/>
      <c r="EUA9" s="239"/>
      <c r="EUB9" s="239"/>
      <c r="EUC9" s="239"/>
      <c r="EUD9" s="239"/>
      <c r="EUE9" s="239"/>
      <c r="EUF9" s="239"/>
      <c r="EUG9" s="239"/>
      <c r="EUH9" s="239"/>
      <c r="EUI9" s="239"/>
      <c r="EUJ9" s="239"/>
      <c r="EUK9" s="239"/>
      <c r="EUL9" s="239"/>
      <c r="EUM9" s="239"/>
      <c r="EUN9" s="239"/>
      <c r="EUO9" s="239"/>
      <c r="EUP9" s="239"/>
      <c r="EUQ9" s="239"/>
      <c r="EUR9" s="239"/>
      <c r="EUS9" s="239"/>
      <c r="EUT9" s="239"/>
      <c r="EUU9" s="239"/>
      <c r="EUV9" s="239"/>
      <c r="EUW9" s="239"/>
      <c r="EUX9" s="239"/>
      <c r="EUY9" s="239"/>
      <c r="EUZ9" s="239"/>
      <c r="EVA9" s="239"/>
      <c r="EVB9" s="239"/>
      <c r="EVC9" s="239"/>
      <c r="EVD9" s="239"/>
      <c r="EVE9" s="239"/>
      <c r="EVF9" s="239"/>
      <c r="EVG9" s="239"/>
      <c r="EVH9" s="239"/>
      <c r="EVI9" s="239"/>
      <c r="EVJ9" s="239"/>
      <c r="EVK9" s="239"/>
      <c r="EVL9" s="239"/>
      <c r="EVM9" s="239"/>
      <c r="EVN9" s="239"/>
      <c r="EVO9" s="239"/>
      <c r="EVP9" s="239"/>
      <c r="EVQ9" s="239"/>
      <c r="EVR9" s="239"/>
      <c r="EVS9" s="239"/>
      <c r="EVT9" s="239"/>
      <c r="EVU9" s="239"/>
      <c r="EVV9" s="239"/>
      <c r="EVW9" s="239"/>
      <c r="EVX9" s="239"/>
      <c r="EVY9" s="239"/>
      <c r="EVZ9" s="239"/>
      <c r="EWA9" s="239"/>
      <c r="EWB9" s="239"/>
      <c r="EWC9" s="239"/>
      <c r="EWD9" s="239"/>
      <c r="EWE9" s="239"/>
      <c r="EWF9" s="239"/>
      <c r="EWG9" s="239"/>
      <c r="EWH9" s="239"/>
      <c r="EWI9" s="239"/>
      <c r="EWJ9" s="239"/>
      <c r="EWK9" s="239"/>
      <c r="EWL9" s="239"/>
      <c r="EWM9" s="239"/>
      <c r="EWN9" s="239"/>
      <c r="EWO9" s="239"/>
      <c r="EWP9" s="239"/>
      <c r="EWQ9" s="239"/>
      <c r="EWR9" s="239"/>
      <c r="EWS9" s="239"/>
      <c r="EWT9" s="239"/>
      <c r="EWU9" s="239"/>
      <c r="EWV9" s="239"/>
      <c r="EWW9" s="239"/>
      <c r="EWX9" s="239"/>
      <c r="EWY9" s="239"/>
      <c r="EWZ9" s="239"/>
      <c r="EXA9" s="239"/>
      <c r="EXB9" s="239"/>
      <c r="EXC9" s="239"/>
      <c r="EXD9" s="239"/>
      <c r="EXE9" s="239"/>
      <c r="EXF9" s="239"/>
      <c r="EXG9" s="239"/>
      <c r="EXH9" s="239"/>
      <c r="EXI9" s="239"/>
      <c r="EXJ9" s="239"/>
      <c r="EXK9" s="239"/>
      <c r="EXL9" s="239"/>
      <c r="EXM9" s="239"/>
      <c r="EXN9" s="239"/>
      <c r="EXO9" s="239"/>
      <c r="EXP9" s="239"/>
      <c r="EXQ9" s="239"/>
      <c r="EXR9" s="239"/>
      <c r="EXS9" s="239"/>
      <c r="EXT9" s="239"/>
      <c r="EXU9" s="239"/>
      <c r="EXV9" s="239"/>
      <c r="EXW9" s="239"/>
      <c r="EXX9" s="239"/>
      <c r="EXY9" s="239"/>
      <c r="EXZ9" s="239"/>
      <c r="EYA9" s="239"/>
      <c r="EYB9" s="239"/>
      <c r="EYC9" s="239"/>
      <c r="EYD9" s="239"/>
      <c r="EYE9" s="239"/>
      <c r="EYF9" s="239"/>
      <c r="EYG9" s="239"/>
      <c r="EYH9" s="239"/>
      <c r="EYI9" s="239"/>
      <c r="EYJ9" s="239"/>
      <c r="EYK9" s="239"/>
      <c r="EYL9" s="239"/>
      <c r="EYM9" s="239"/>
      <c r="EYN9" s="239"/>
      <c r="EYO9" s="239"/>
      <c r="EYP9" s="239"/>
      <c r="EYQ9" s="239"/>
      <c r="EYR9" s="239"/>
      <c r="EYS9" s="239"/>
      <c r="EYT9" s="239"/>
      <c r="EYU9" s="239"/>
      <c r="EYV9" s="239"/>
      <c r="EYW9" s="239"/>
      <c r="EYX9" s="239"/>
      <c r="EYY9" s="239"/>
      <c r="EYZ9" s="239"/>
      <c r="EZA9" s="239"/>
      <c r="EZB9" s="239"/>
      <c r="EZC9" s="239"/>
      <c r="EZD9" s="239"/>
      <c r="EZE9" s="239"/>
      <c r="EZF9" s="239"/>
      <c r="EZG9" s="239"/>
      <c r="EZH9" s="239"/>
      <c r="EZI9" s="239"/>
      <c r="EZJ9" s="239"/>
      <c r="EZK9" s="239"/>
      <c r="EZL9" s="239"/>
      <c r="EZM9" s="239"/>
      <c r="EZN9" s="239"/>
      <c r="EZO9" s="239"/>
      <c r="EZP9" s="239"/>
      <c r="EZQ9" s="239"/>
      <c r="EZR9" s="239"/>
      <c r="EZS9" s="239"/>
      <c r="EZT9" s="239"/>
      <c r="EZU9" s="239"/>
      <c r="EZV9" s="239"/>
      <c r="EZW9" s="239"/>
      <c r="EZX9" s="239"/>
      <c r="EZY9" s="239"/>
      <c r="EZZ9" s="239"/>
      <c r="FAA9" s="239"/>
      <c r="FAB9" s="239"/>
      <c r="FAC9" s="239"/>
      <c r="FAD9" s="239"/>
      <c r="FAE9" s="239"/>
      <c r="FAF9" s="239"/>
      <c r="FAG9" s="239"/>
      <c r="FAH9" s="239"/>
      <c r="FAI9" s="239"/>
      <c r="FAJ9" s="239"/>
      <c r="FAK9" s="239"/>
      <c r="FAL9" s="239"/>
      <c r="FAM9" s="239"/>
      <c r="FAN9" s="239"/>
      <c r="FAO9" s="239"/>
      <c r="FAP9" s="239"/>
      <c r="FAQ9" s="239"/>
      <c r="FAR9" s="239"/>
      <c r="FAS9" s="239"/>
      <c r="FAT9" s="239"/>
      <c r="FAU9" s="239"/>
      <c r="FAV9" s="239"/>
      <c r="FAW9" s="239"/>
      <c r="FAX9" s="239"/>
      <c r="FAY9" s="239"/>
      <c r="FAZ9" s="239"/>
      <c r="FBA9" s="239"/>
      <c r="FBB9" s="239"/>
      <c r="FBC9" s="239"/>
      <c r="FBD9" s="239"/>
      <c r="FBE9" s="239"/>
      <c r="FBF9" s="239"/>
      <c r="FBG9" s="239"/>
      <c r="FBH9" s="239"/>
      <c r="FBI9" s="239"/>
      <c r="FBJ9" s="239"/>
      <c r="FBK9" s="239"/>
      <c r="FBL9" s="239"/>
      <c r="FBM9" s="239"/>
      <c r="FBN9" s="239"/>
      <c r="FBO9" s="239"/>
      <c r="FBP9" s="239"/>
      <c r="FBQ9" s="239"/>
      <c r="FBR9" s="239"/>
      <c r="FBS9" s="239"/>
      <c r="FBT9" s="239"/>
      <c r="FBU9" s="239"/>
      <c r="FBV9" s="239"/>
      <c r="FBW9" s="239"/>
      <c r="FBX9" s="239"/>
      <c r="FBY9" s="239"/>
      <c r="FBZ9" s="239"/>
      <c r="FCA9" s="239"/>
      <c r="FCB9" s="239"/>
      <c r="FCC9" s="239"/>
      <c r="FCD9" s="239"/>
      <c r="FCE9" s="239"/>
      <c r="FCF9" s="239"/>
      <c r="FCG9" s="239"/>
      <c r="FCH9" s="239"/>
      <c r="FCI9" s="239"/>
      <c r="FCJ9" s="239"/>
      <c r="FCK9" s="239"/>
      <c r="FCL9" s="239"/>
      <c r="FCM9" s="239"/>
      <c r="FCN9" s="239"/>
      <c r="FCO9" s="239"/>
      <c r="FCP9" s="239"/>
      <c r="FCQ9" s="239"/>
      <c r="FCR9" s="239"/>
      <c r="FCS9" s="239"/>
      <c r="FCT9" s="239"/>
      <c r="FCU9" s="239"/>
      <c r="FCV9" s="239"/>
      <c r="FCW9" s="239"/>
      <c r="FCX9" s="239"/>
      <c r="FCY9" s="239"/>
      <c r="FCZ9" s="239"/>
      <c r="FDA9" s="239"/>
      <c r="FDB9" s="239"/>
      <c r="FDC9" s="239"/>
      <c r="FDD9" s="239"/>
      <c r="FDE9" s="239"/>
      <c r="FDF9" s="239"/>
      <c r="FDG9" s="239"/>
      <c r="FDH9" s="239"/>
      <c r="FDI9" s="239"/>
      <c r="FDJ9" s="239"/>
      <c r="FDK9" s="239"/>
      <c r="FDL9" s="239"/>
      <c r="FDM9" s="239"/>
      <c r="FDN9" s="239"/>
      <c r="FDO9" s="239"/>
      <c r="FDP9" s="239"/>
      <c r="FDQ9" s="239"/>
      <c r="FDR9" s="239"/>
      <c r="FDS9" s="239"/>
      <c r="FDT9" s="239"/>
      <c r="FDU9" s="239"/>
      <c r="FDV9" s="239"/>
      <c r="FDW9" s="239"/>
      <c r="FDX9" s="239"/>
      <c r="FDY9" s="239"/>
      <c r="FDZ9" s="239"/>
      <c r="FEA9" s="239"/>
      <c r="FEB9" s="239"/>
      <c r="FEC9" s="239"/>
      <c r="FED9" s="239"/>
      <c r="FEE9" s="239"/>
      <c r="FEF9" s="239"/>
      <c r="FEG9" s="239"/>
      <c r="FEH9" s="239"/>
      <c r="FEI9" s="239"/>
      <c r="FEJ9" s="239"/>
      <c r="FEK9" s="239"/>
      <c r="FEL9" s="239"/>
      <c r="FEM9" s="239"/>
      <c r="FEN9" s="239"/>
      <c r="FEO9" s="239"/>
      <c r="FEP9" s="239"/>
      <c r="FEQ9" s="239"/>
      <c r="FER9" s="239"/>
      <c r="FES9" s="239"/>
      <c r="FET9" s="239"/>
      <c r="FEU9" s="239"/>
      <c r="FEV9" s="239"/>
      <c r="FEW9" s="239"/>
      <c r="FEX9" s="239"/>
      <c r="FEY9" s="239"/>
      <c r="FEZ9" s="239"/>
      <c r="FFA9" s="239"/>
      <c r="FFB9" s="239"/>
      <c r="FFC9" s="239"/>
      <c r="FFD9" s="239"/>
      <c r="FFE9" s="239"/>
      <c r="FFF9" s="239"/>
      <c r="FFG9" s="239"/>
      <c r="FFH9" s="239"/>
      <c r="FFI9" s="239"/>
      <c r="FFJ9" s="239"/>
      <c r="FFK9" s="239"/>
      <c r="FFL9" s="239"/>
      <c r="FFM9" s="239"/>
      <c r="FFN9" s="239"/>
      <c r="FFO9" s="239"/>
      <c r="FFP9" s="239"/>
      <c r="FFQ9" s="239"/>
      <c r="FFR9" s="239"/>
      <c r="FFS9" s="239"/>
      <c r="FFT9" s="239"/>
      <c r="FFU9" s="239"/>
      <c r="FFV9" s="239"/>
      <c r="FFW9" s="239"/>
      <c r="FFX9" s="239"/>
      <c r="FFY9" s="239"/>
      <c r="FFZ9" s="239"/>
      <c r="FGA9" s="239"/>
      <c r="FGB9" s="239"/>
      <c r="FGC9" s="239"/>
      <c r="FGD9" s="239"/>
      <c r="FGE9" s="239"/>
      <c r="FGF9" s="239"/>
      <c r="FGG9" s="239"/>
      <c r="FGH9" s="239"/>
      <c r="FGI9" s="239"/>
      <c r="FGJ9" s="239"/>
      <c r="FGK9" s="239"/>
      <c r="FGL9" s="239"/>
      <c r="FGM9" s="239"/>
      <c r="FGN9" s="239"/>
      <c r="FGO9" s="239"/>
      <c r="FGP9" s="239"/>
      <c r="FGQ9" s="239"/>
      <c r="FGR9" s="239"/>
      <c r="FGS9" s="239"/>
      <c r="FGT9" s="239"/>
      <c r="FGU9" s="239"/>
      <c r="FGV9" s="239"/>
      <c r="FGW9" s="239"/>
      <c r="FGX9" s="239"/>
      <c r="FGY9" s="239"/>
      <c r="FGZ9" s="239"/>
      <c r="FHA9" s="239"/>
      <c r="FHB9" s="239"/>
      <c r="FHC9" s="239"/>
      <c r="FHD9" s="239"/>
      <c r="FHE9" s="239"/>
      <c r="FHF9" s="239"/>
      <c r="FHG9" s="239"/>
      <c r="FHH9" s="239"/>
      <c r="FHI9" s="239"/>
      <c r="FHJ9" s="239"/>
      <c r="FHK9" s="239"/>
      <c r="FHL9" s="239"/>
      <c r="FHM9" s="239"/>
      <c r="FHN9" s="239"/>
      <c r="FHO9" s="239"/>
      <c r="FHP9" s="239"/>
      <c r="FHQ9" s="239"/>
      <c r="FHR9" s="239"/>
      <c r="FHS9" s="239"/>
      <c r="FHT9" s="239"/>
      <c r="FHU9" s="239"/>
      <c r="FHV9" s="239"/>
      <c r="FHW9" s="239"/>
      <c r="FHX9" s="239"/>
      <c r="FHY9" s="239"/>
      <c r="FHZ9" s="239"/>
      <c r="FIA9" s="239"/>
      <c r="FIB9" s="239"/>
      <c r="FIC9" s="239"/>
      <c r="FID9" s="239"/>
      <c r="FIE9" s="239"/>
      <c r="FIF9" s="239"/>
      <c r="FIG9" s="239"/>
      <c r="FIH9" s="239"/>
      <c r="FII9" s="239"/>
      <c r="FIJ9" s="239"/>
      <c r="FIK9" s="239"/>
      <c r="FIL9" s="239"/>
      <c r="FIM9" s="239"/>
      <c r="FIN9" s="239"/>
      <c r="FIO9" s="239"/>
      <c r="FIP9" s="239"/>
      <c r="FIQ9" s="239"/>
      <c r="FIR9" s="239"/>
      <c r="FIS9" s="239"/>
      <c r="FIT9" s="239"/>
      <c r="FIU9" s="239"/>
      <c r="FIV9" s="239"/>
      <c r="FIW9" s="239"/>
      <c r="FIX9" s="239"/>
      <c r="FIY9" s="239"/>
      <c r="FIZ9" s="239"/>
      <c r="FJA9" s="239"/>
      <c r="FJB9" s="239"/>
      <c r="FJC9" s="239"/>
      <c r="FJD9" s="239"/>
      <c r="FJE9" s="239"/>
      <c r="FJF9" s="239"/>
      <c r="FJG9" s="239"/>
      <c r="FJH9" s="239"/>
      <c r="FJI9" s="239"/>
      <c r="FJJ9" s="239"/>
      <c r="FJK9" s="239"/>
      <c r="FJL9" s="239"/>
      <c r="FJM9" s="239"/>
      <c r="FJN9" s="239"/>
      <c r="FJO9" s="239"/>
      <c r="FJP9" s="239"/>
      <c r="FJQ9" s="239"/>
      <c r="FJR9" s="239"/>
      <c r="FJS9" s="239"/>
      <c r="FJT9" s="239"/>
      <c r="FJU9" s="239"/>
      <c r="FJV9" s="239"/>
      <c r="FJW9" s="239"/>
      <c r="FJX9" s="239"/>
      <c r="FJY9" s="239"/>
      <c r="FJZ9" s="239"/>
      <c r="FKA9" s="239"/>
      <c r="FKB9" s="239"/>
      <c r="FKC9" s="239"/>
      <c r="FKD9" s="239"/>
      <c r="FKE9" s="239"/>
      <c r="FKF9" s="239"/>
      <c r="FKG9" s="239"/>
      <c r="FKH9" s="239"/>
      <c r="FKI9" s="239"/>
      <c r="FKJ9" s="239"/>
      <c r="FKK9" s="239"/>
      <c r="FKL9" s="239"/>
      <c r="FKM9" s="239"/>
      <c r="FKN9" s="239"/>
      <c r="FKO9" s="239"/>
      <c r="FKP9" s="239"/>
      <c r="FKQ9" s="239"/>
      <c r="FKR9" s="239"/>
      <c r="FKS9" s="239"/>
      <c r="FKT9" s="239"/>
      <c r="FKU9" s="239"/>
      <c r="FKV9" s="239"/>
      <c r="FKW9" s="239"/>
      <c r="FKX9" s="239"/>
      <c r="FKY9" s="239"/>
      <c r="FKZ9" s="239"/>
      <c r="FLA9" s="239"/>
      <c r="FLB9" s="239"/>
      <c r="FLC9" s="239"/>
      <c r="FLD9" s="239"/>
      <c r="FLE9" s="239"/>
      <c r="FLF9" s="239"/>
      <c r="FLG9" s="239"/>
      <c r="FLH9" s="239"/>
      <c r="FLI9" s="239"/>
      <c r="FLJ9" s="239"/>
      <c r="FLK9" s="239"/>
      <c r="FLL9" s="239"/>
      <c r="FLM9" s="239"/>
      <c r="FLN9" s="239"/>
      <c r="FLO9" s="239"/>
      <c r="FLP9" s="239"/>
      <c r="FLQ9" s="239"/>
      <c r="FLR9" s="239"/>
      <c r="FLS9" s="239"/>
      <c r="FLT9" s="239"/>
      <c r="FLU9" s="239"/>
      <c r="FLV9" s="239"/>
      <c r="FLW9" s="239"/>
      <c r="FLX9" s="239"/>
      <c r="FLY9" s="239"/>
      <c r="FLZ9" s="239"/>
      <c r="FMA9" s="239"/>
      <c r="FMB9" s="239"/>
      <c r="FMC9" s="239"/>
      <c r="FMD9" s="239"/>
      <c r="FME9" s="239"/>
      <c r="FMF9" s="239"/>
      <c r="FMG9" s="239"/>
      <c r="FMH9" s="239"/>
      <c r="FMI9" s="239"/>
      <c r="FMJ9" s="239"/>
      <c r="FMK9" s="239"/>
      <c r="FML9" s="239"/>
      <c r="FMM9" s="239"/>
      <c r="FMN9" s="239"/>
      <c r="FMO9" s="239"/>
      <c r="FMP9" s="239"/>
      <c r="FMQ9" s="239"/>
      <c r="FMR9" s="239"/>
      <c r="FMS9" s="239"/>
      <c r="FMT9" s="239"/>
      <c r="FMU9" s="239"/>
      <c r="FMV9" s="239"/>
      <c r="FMW9" s="239"/>
      <c r="FMX9" s="239"/>
      <c r="FMY9" s="239"/>
      <c r="FMZ9" s="239"/>
      <c r="FNA9" s="239"/>
      <c r="FNB9" s="239"/>
      <c r="FNC9" s="239"/>
      <c r="FND9" s="239"/>
      <c r="FNE9" s="239"/>
      <c r="FNF9" s="239"/>
      <c r="FNG9" s="239"/>
      <c r="FNH9" s="239"/>
      <c r="FNI9" s="239"/>
      <c r="FNJ9" s="239"/>
      <c r="FNK9" s="239"/>
      <c r="FNL9" s="239"/>
      <c r="FNM9" s="239"/>
      <c r="FNN9" s="239"/>
      <c r="FNO9" s="239"/>
      <c r="FNP9" s="239"/>
      <c r="FNQ9" s="239"/>
      <c r="FNR9" s="239"/>
      <c r="FNS9" s="239"/>
      <c r="FNT9" s="239"/>
      <c r="FNU9" s="239"/>
      <c r="FNV9" s="239"/>
      <c r="FNW9" s="239"/>
      <c r="FNX9" s="239"/>
      <c r="FNY9" s="239"/>
      <c r="FNZ9" s="239"/>
      <c r="FOA9" s="239"/>
      <c r="FOB9" s="239"/>
      <c r="FOC9" s="239"/>
      <c r="FOD9" s="239"/>
      <c r="FOE9" s="239"/>
      <c r="FOF9" s="239"/>
      <c r="FOG9" s="239"/>
      <c r="FOH9" s="239"/>
      <c r="FOI9" s="239"/>
      <c r="FOJ9" s="239"/>
      <c r="FOK9" s="239"/>
      <c r="FOL9" s="239"/>
      <c r="FOM9" s="239"/>
      <c r="FON9" s="239"/>
      <c r="FOO9" s="239"/>
      <c r="FOP9" s="239"/>
      <c r="FOQ9" s="239"/>
      <c r="FOR9" s="239"/>
      <c r="FOS9" s="239"/>
      <c r="FOT9" s="239"/>
      <c r="FOU9" s="239"/>
      <c r="FOV9" s="239"/>
      <c r="FOW9" s="239"/>
      <c r="FOX9" s="239"/>
      <c r="FOY9" s="239"/>
      <c r="FOZ9" s="239"/>
      <c r="FPA9" s="239"/>
      <c r="FPB9" s="239"/>
      <c r="FPC9" s="239"/>
      <c r="FPD9" s="239"/>
      <c r="FPE9" s="239"/>
      <c r="FPF9" s="239"/>
      <c r="FPG9" s="239"/>
      <c r="FPH9" s="239"/>
      <c r="FPI9" s="239"/>
      <c r="FPJ9" s="239"/>
      <c r="FPK9" s="239"/>
      <c r="FPL9" s="239"/>
      <c r="FPM9" s="239"/>
      <c r="FPN9" s="239"/>
      <c r="FPO9" s="239"/>
      <c r="FPP9" s="239"/>
      <c r="FPQ9" s="239"/>
      <c r="FPR9" s="239"/>
      <c r="FPS9" s="239"/>
      <c r="FPT9" s="239"/>
      <c r="FPU9" s="239"/>
      <c r="FPV9" s="239"/>
      <c r="FPW9" s="239"/>
      <c r="FPX9" s="239"/>
      <c r="FPY9" s="239"/>
      <c r="FPZ9" s="239"/>
      <c r="FQA9" s="239"/>
      <c r="FQB9" s="239"/>
      <c r="FQC9" s="239"/>
      <c r="FQD9" s="239"/>
      <c r="FQE9" s="239"/>
      <c r="FQF9" s="239"/>
      <c r="FQG9" s="239"/>
      <c r="FQH9" s="239"/>
      <c r="FQI9" s="239"/>
      <c r="FQJ9" s="239"/>
      <c r="FQK9" s="239"/>
      <c r="FQL9" s="239"/>
      <c r="FQM9" s="239"/>
      <c r="FQN9" s="239"/>
      <c r="FQO9" s="239"/>
      <c r="FQP9" s="239"/>
      <c r="FQQ9" s="239"/>
      <c r="FQR9" s="239"/>
      <c r="FQS9" s="239"/>
      <c r="FQT9" s="239"/>
      <c r="FQU9" s="239"/>
      <c r="FQV9" s="239"/>
      <c r="FQW9" s="239"/>
      <c r="FQX9" s="239"/>
      <c r="FQY9" s="239"/>
      <c r="FQZ9" s="239"/>
      <c r="FRA9" s="239"/>
      <c r="FRB9" s="239"/>
      <c r="FRC9" s="239"/>
      <c r="FRD9" s="239"/>
      <c r="FRE9" s="239"/>
      <c r="FRF9" s="239"/>
      <c r="FRG9" s="239"/>
      <c r="FRH9" s="239"/>
      <c r="FRI9" s="239"/>
      <c r="FRJ9" s="239"/>
      <c r="FRK9" s="239"/>
      <c r="FRL9" s="239"/>
      <c r="FRM9" s="239"/>
      <c r="FRN9" s="239"/>
      <c r="FRO9" s="239"/>
      <c r="FRP9" s="239"/>
      <c r="FRQ9" s="239"/>
      <c r="FRR9" s="239"/>
      <c r="FRS9" s="239"/>
      <c r="FRT9" s="239"/>
      <c r="FRU9" s="239"/>
      <c r="FRV9" s="239"/>
      <c r="FRW9" s="239"/>
      <c r="FRX9" s="239"/>
      <c r="FRY9" s="239"/>
      <c r="FRZ9" s="239"/>
      <c r="FSA9" s="239"/>
      <c r="FSB9" s="239"/>
      <c r="FSC9" s="239"/>
      <c r="FSD9" s="239"/>
      <c r="FSE9" s="239"/>
      <c r="FSF9" s="239"/>
      <c r="FSG9" s="239"/>
      <c r="FSH9" s="239"/>
      <c r="FSI9" s="239"/>
      <c r="FSJ9" s="239"/>
      <c r="FSK9" s="239"/>
      <c r="FSL9" s="239"/>
      <c r="FSM9" s="239"/>
      <c r="FSN9" s="239"/>
      <c r="FSO9" s="239"/>
      <c r="FSP9" s="239"/>
      <c r="FSQ9" s="239"/>
      <c r="FSR9" s="239"/>
      <c r="FSS9" s="239"/>
      <c r="FST9" s="239"/>
      <c r="FSU9" s="239"/>
      <c r="FSV9" s="239"/>
      <c r="FSW9" s="239"/>
      <c r="FSX9" s="239"/>
      <c r="FSY9" s="239"/>
      <c r="FSZ9" s="239"/>
      <c r="FTA9" s="239"/>
      <c r="FTB9" s="239"/>
      <c r="FTC9" s="239"/>
      <c r="FTD9" s="239"/>
      <c r="FTE9" s="239"/>
      <c r="FTF9" s="239"/>
      <c r="FTG9" s="239"/>
      <c r="FTH9" s="239"/>
      <c r="FTI9" s="239"/>
      <c r="FTJ9" s="239"/>
      <c r="FTK9" s="239"/>
      <c r="FTL9" s="239"/>
      <c r="FTM9" s="239"/>
      <c r="FTN9" s="239"/>
      <c r="FTO9" s="239"/>
      <c r="FTP9" s="239"/>
      <c r="FTQ9" s="239"/>
      <c r="FTR9" s="239"/>
      <c r="FTS9" s="239"/>
      <c r="FTT9" s="239"/>
      <c r="FTU9" s="239"/>
      <c r="FTV9" s="239"/>
      <c r="FTW9" s="239"/>
      <c r="FTX9" s="239"/>
      <c r="FTY9" s="239"/>
      <c r="FTZ9" s="239"/>
      <c r="FUA9" s="239"/>
      <c r="FUB9" s="239"/>
      <c r="FUC9" s="239"/>
      <c r="FUD9" s="239"/>
      <c r="FUE9" s="239"/>
      <c r="FUF9" s="239"/>
      <c r="FUG9" s="239"/>
      <c r="FUH9" s="239"/>
      <c r="FUI9" s="239"/>
      <c r="FUJ9" s="239"/>
      <c r="FUK9" s="239"/>
      <c r="FUL9" s="239"/>
      <c r="FUM9" s="239"/>
      <c r="FUN9" s="239"/>
      <c r="FUO9" s="239"/>
      <c r="FUP9" s="239"/>
      <c r="FUQ9" s="239"/>
      <c r="FUR9" s="239"/>
      <c r="FUS9" s="239"/>
      <c r="FUT9" s="239"/>
      <c r="FUU9" s="239"/>
      <c r="FUV9" s="239"/>
      <c r="FUW9" s="239"/>
      <c r="FUX9" s="239"/>
      <c r="FUY9" s="239"/>
      <c r="FUZ9" s="239"/>
      <c r="FVA9" s="239"/>
      <c r="FVB9" s="239"/>
      <c r="FVC9" s="239"/>
      <c r="FVD9" s="239"/>
      <c r="FVE9" s="239"/>
      <c r="FVF9" s="239"/>
      <c r="FVG9" s="239"/>
      <c r="FVH9" s="239"/>
      <c r="FVI9" s="239"/>
      <c r="FVJ9" s="239"/>
      <c r="FVK9" s="239"/>
      <c r="FVL9" s="239"/>
      <c r="FVM9" s="239"/>
      <c r="FVN9" s="239"/>
      <c r="FVO9" s="239"/>
      <c r="FVP9" s="239"/>
      <c r="FVQ9" s="239"/>
      <c r="FVR9" s="239"/>
      <c r="FVS9" s="239"/>
      <c r="FVT9" s="239"/>
      <c r="FVU9" s="239"/>
      <c r="FVV9" s="239"/>
      <c r="FVW9" s="239"/>
      <c r="FVX9" s="239"/>
      <c r="FVY9" s="239"/>
      <c r="FVZ9" s="239"/>
      <c r="FWA9" s="239"/>
      <c r="FWB9" s="239"/>
      <c r="FWC9" s="239"/>
      <c r="FWD9" s="239"/>
      <c r="FWE9" s="239"/>
      <c r="FWF9" s="239"/>
      <c r="FWG9" s="239"/>
      <c r="FWH9" s="239"/>
      <c r="FWI9" s="239"/>
      <c r="FWJ9" s="239"/>
      <c r="FWK9" s="239"/>
      <c r="FWL9" s="239"/>
      <c r="FWM9" s="239"/>
      <c r="FWN9" s="239"/>
      <c r="FWO9" s="239"/>
      <c r="FWP9" s="239"/>
      <c r="FWQ9" s="239"/>
      <c r="FWR9" s="239"/>
      <c r="FWS9" s="239"/>
      <c r="FWT9" s="239"/>
      <c r="FWU9" s="239"/>
      <c r="FWV9" s="239"/>
      <c r="FWW9" s="239"/>
      <c r="FWX9" s="239"/>
      <c r="FWY9" s="239"/>
      <c r="FWZ9" s="239"/>
      <c r="FXA9" s="239"/>
      <c r="FXB9" s="239"/>
      <c r="FXC9" s="239"/>
      <c r="FXD9" s="239"/>
      <c r="FXE9" s="239"/>
      <c r="FXF9" s="239"/>
      <c r="FXG9" s="239"/>
      <c r="FXH9" s="239"/>
      <c r="FXI9" s="239"/>
      <c r="FXJ9" s="239"/>
      <c r="FXK9" s="239"/>
      <c r="FXL9" s="239"/>
      <c r="FXM9" s="239"/>
      <c r="FXN9" s="239"/>
      <c r="FXO9" s="239"/>
      <c r="FXP9" s="239"/>
      <c r="FXQ9" s="239"/>
      <c r="FXR9" s="239"/>
      <c r="FXS9" s="239"/>
      <c r="FXT9" s="239"/>
      <c r="FXU9" s="239"/>
      <c r="FXV9" s="239"/>
      <c r="FXW9" s="239"/>
      <c r="FXX9" s="239"/>
      <c r="FXY9" s="239"/>
      <c r="FXZ9" s="239"/>
      <c r="FYA9" s="239"/>
      <c r="FYB9" s="239"/>
      <c r="FYC9" s="239"/>
      <c r="FYD9" s="239"/>
      <c r="FYE9" s="239"/>
      <c r="FYF9" s="239"/>
      <c r="FYG9" s="239"/>
      <c r="FYH9" s="239"/>
      <c r="FYI9" s="239"/>
      <c r="FYJ9" s="239"/>
      <c r="FYK9" s="239"/>
      <c r="FYL9" s="239"/>
      <c r="FYM9" s="239"/>
      <c r="FYN9" s="239"/>
      <c r="FYO9" s="239"/>
      <c r="FYP9" s="239"/>
      <c r="FYQ9" s="239"/>
      <c r="FYR9" s="239"/>
      <c r="FYS9" s="239"/>
      <c r="FYT9" s="239"/>
      <c r="FYU9" s="239"/>
      <c r="FYV9" s="239"/>
      <c r="FYW9" s="239"/>
      <c r="FYX9" s="239"/>
      <c r="FYY9" s="239"/>
      <c r="FYZ9" s="239"/>
      <c r="FZA9" s="239"/>
      <c r="FZB9" s="239"/>
      <c r="FZC9" s="239"/>
      <c r="FZD9" s="239"/>
      <c r="FZE9" s="239"/>
      <c r="FZF9" s="239"/>
      <c r="FZG9" s="239"/>
      <c r="FZH9" s="239"/>
      <c r="FZI9" s="239"/>
      <c r="FZJ9" s="239"/>
      <c r="FZK9" s="239"/>
      <c r="FZL9" s="239"/>
      <c r="FZM9" s="239"/>
      <c r="FZN9" s="239"/>
      <c r="FZO9" s="239"/>
      <c r="FZP9" s="239"/>
      <c r="FZQ9" s="239"/>
      <c r="FZR9" s="239"/>
      <c r="FZS9" s="239"/>
      <c r="FZT9" s="239"/>
      <c r="FZU9" s="239"/>
      <c r="FZV9" s="239"/>
      <c r="FZW9" s="239"/>
      <c r="FZX9" s="239"/>
      <c r="FZY9" s="239"/>
      <c r="FZZ9" s="239"/>
      <c r="GAA9" s="239"/>
      <c r="GAB9" s="239"/>
      <c r="GAC9" s="239"/>
      <c r="GAD9" s="239"/>
      <c r="GAE9" s="239"/>
      <c r="GAF9" s="239"/>
      <c r="GAG9" s="239"/>
      <c r="GAH9" s="239"/>
      <c r="GAI9" s="239"/>
      <c r="GAJ9" s="239"/>
      <c r="GAK9" s="239"/>
      <c r="GAL9" s="239"/>
      <c r="GAM9" s="239"/>
      <c r="GAN9" s="239"/>
      <c r="GAO9" s="239"/>
      <c r="GAP9" s="239"/>
      <c r="GAQ9" s="239"/>
      <c r="GAR9" s="239"/>
      <c r="GAS9" s="239"/>
      <c r="GAT9" s="239"/>
      <c r="GAU9" s="239"/>
      <c r="GAV9" s="239"/>
      <c r="GAW9" s="239"/>
      <c r="GAX9" s="239"/>
      <c r="GAY9" s="239"/>
      <c r="GAZ9" s="239"/>
      <c r="GBA9" s="239"/>
      <c r="GBB9" s="239"/>
      <c r="GBC9" s="239"/>
      <c r="GBD9" s="239"/>
      <c r="GBE9" s="239"/>
      <c r="GBF9" s="239"/>
      <c r="GBG9" s="239"/>
      <c r="GBH9" s="239"/>
      <c r="GBI9" s="239"/>
      <c r="GBJ9" s="239"/>
      <c r="GBK9" s="239"/>
      <c r="GBL9" s="239"/>
      <c r="GBM9" s="239"/>
      <c r="GBN9" s="239"/>
      <c r="GBO9" s="239"/>
      <c r="GBP9" s="239"/>
      <c r="GBQ9" s="239"/>
      <c r="GBR9" s="239"/>
      <c r="GBS9" s="239"/>
      <c r="GBT9" s="239"/>
      <c r="GBU9" s="239"/>
      <c r="GBV9" s="239"/>
      <c r="GBW9" s="239"/>
      <c r="GBX9" s="239"/>
      <c r="GBY9" s="239"/>
      <c r="GBZ9" s="239"/>
      <c r="GCA9" s="239"/>
      <c r="GCB9" s="239"/>
      <c r="GCC9" s="239"/>
      <c r="GCD9" s="239"/>
      <c r="GCE9" s="239"/>
      <c r="GCF9" s="239"/>
      <c r="GCG9" s="239"/>
      <c r="GCH9" s="239"/>
      <c r="GCI9" s="239"/>
      <c r="GCJ9" s="239"/>
      <c r="GCK9" s="239"/>
      <c r="GCL9" s="239"/>
      <c r="GCM9" s="239"/>
      <c r="GCN9" s="239"/>
      <c r="GCO9" s="239"/>
      <c r="GCP9" s="239"/>
      <c r="GCQ9" s="239"/>
      <c r="GCR9" s="239"/>
      <c r="GCS9" s="239"/>
      <c r="GCT9" s="239"/>
      <c r="GCU9" s="239"/>
      <c r="GCV9" s="239"/>
      <c r="GCW9" s="239"/>
      <c r="GCX9" s="239"/>
      <c r="GCY9" s="239"/>
      <c r="GCZ9" s="239"/>
      <c r="GDA9" s="239"/>
      <c r="GDB9" s="239"/>
      <c r="GDC9" s="239"/>
      <c r="GDD9" s="239"/>
      <c r="GDE9" s="239"/>
      <c r="GDF9" s="239"/>
      <c r="GDG9" s="239"/>
      <c r="GDH9" s="239"/>
      <c r="GDI9" s="239"/>
      <c r="GDJ9" s="239"/>
      <c r="GDK9" s="239"/>
      <c r="GDL9" s="239"/>
      <c r="GDM9" s="239"/>
      <c r="GDN9" s="239"/>
      <c r="GDO9" s="239"/>
      <c r="GDP9" s="239"/>
      <c r="GDQ9" s="239"/>
      <c r="GDR9" s="239"/>
      <c r="GDS9" s="239"/>
      <c r="GDT9" s="239"/>
      <c r="GDU9" s="239"/>
      <c r="GDV9" s="239"/>
      <c r="GDW9" s="239"/>
      <c r="GDX9" s="239"/>
      <c r="GDY9" s="239"/>
      <c r="GDZ9" s="239"/>
      <c r="GEA9" s="239"/>
      <c r="GEB9" s="239"/>
      <c r="GEC9" s="239"/>
      <c r="GED9" s="239"/>
      <c r="GEE9" s="239"/>
      <c r="GEF9" s="239"/>
      <c r="GEG9" s="239"/>
      <c r="GEH9" s="239"/>
      <c r="GEI9" s="239"/>
      <c r="GEJ9" s="239"/>
      <c r="GEK9" s="239"/>
      <c r="GEL9" s="239"/>
      <c r="GEM9" s="239"/>
      <c r="GEN9" s="239"/>
      <c r="GEO9" s="239"/>
      <c r="GEP9" s="239"/>
      <c r="GEQ9" s="239"/>
      <c r="GER9" s="239"/>
      <c r="GES9" s="239"/>
      <c r="GET9" s="239"/>
      <c r="GEU9" s="239"/>
      <c r="GEV9" s="239"/>
      <c r="GEW9" s="239"/>
      <c r="GEX9" s="239"/>
      <c r="GEY9" s="239"/>
      <c r="GEZ9" s="239"/>
      <c r="GFA9" s="239"/>
      <c r="GFB9" s="239"/>
      <c r="GFC9" s="239"/>
      <c r="GFD9" s="239"/>
      <c r="GFE9" s="239"/>
      <c r="GFF9" s="239"/>
      <c r="GFG9" s="239"/>
      <c r="GFH9" s="239"/>
      <c r="GFI9" s="239"/>
      <c r="GFJ9" s="239"/>
      <c r="GFK9" s="239"/>
      <c r="GFL9" s="239"/>
      <c r="GFM9" s="239"/>
      <c r="GFN9" s="239"/>
      <c r="GFO9" s="239"/>
      <c r="GFP9" s="239"/>
      <c r="GFQ9" s="239"/>
      <c r="GFR9" s="239"/>
      <c r="GFS9" s="239"/>
      <c r="GFT9" s="239"/>
      <c r="GFU9" s="239"/>
      <c r="GFV9" s="239"/>
      <c r="GFW9" s="239"/>
      <c r="GFX9" s="239"/>
      <c r="GFY9" s="239"/>
      <c r="GFZ9" s="239"/>
      <c r="GGA9" s="239"/>
      <c r="GGB9" s="239"/>
      <c r="GGC9" s="239"/>
      <c r="GGD9" s="239"/>
      <c r="GGE9" s="239"/>
      <c r="GGF9" s="239"/>
      <c r="GGG9" s="239"/>
      <c r="GGH9" s="239"/>
      <c r="GGI9" s="239"/>
      <c r="GGJ9" s="239"/>
      <c r="GGK9" s="239"/>
      <c r="GGL9" s="239"/>
      <c r="GGM9" s="239"/>
      <c r="GGN9" s="239"/>
      <c r="GGO9" s="239"/>
      <c r="GGP9" s="239"/>
      <c r="GGQ9" s="239"/>
      <c r="GGR9" s="239"/>
      <c r="GGS9" s="239"/>
      <c r="GGT9" s="239"/>
      <c r="GGU9" s="239"/>
      <c r="GGV9" s="239"/>
      <c r="GGW9" s="239"/>
      <c r="GGX9" s="239"/>
      <c r="GGY9" s="239"/>
      <c r="GGZ9" s="239"/>
      <c r="GHA9" s="239"/>
      <c r="GHB9" s="239"/>
      <c r="GHC9" s="239"/>
      <c r="GHD9" s="239"/>
      <c r="GHE9" s="239"/>
      <c r="GHF9" s="239"/>
      <c r="GHG9" s="239"/>
      <c r="GHH9" s="239"/>
      <c r="GHI9" s="239"/>
      <c r="GHJ9" s="239"/>
      <c r="GHK9" s="239"/>
      <c r="GHL9" s="239"/>
      <c r="GHM9" s="239"/>
      <c r="GHN9" s="239"/>
      <c r="GHO9" s="239"/>
      <c r="GHP9" s="239"/>
      <c r="GHQ9" s="239"/>
      <c r="GHR9" s="239"/>
      <c r="GHS9" s="239"/>
      <c r="GHT9" s="239"/>
      <c r="GHU9" s="239"/>
      <c r="GHV9" s="239"/>
      <c r="GHW9" s="239"/>
      <c r="GHX9" s="239"/>
      <c r="GHY9" s="239"/>
      <c r="GHZ9" s="239"/>
      <c r="GIA9" s="239"/>
      <c r="GIB9" s="239"/>
      <c r="GIC9" s="239"/>
      <c r="GID9" s="239"/>
      <c r="GIE9" s="239"/>
      <c r="GIF9" s="239"/>
      <c r="GIG9" s="239"/>
      <c r="GIH9" s="239"/>
      <c r="GII9" s="239"/>
      <c r="GIJ9" s="239"/>
      <c r="GIK9" s="239"/>
      <c r="GIL9" s="239"/>
      <c r="GIM9" s="239"/>
      <c r="GIN9" s="239"/>
      <c r="GIO9" s="239"/>
      <c r="GIP9" s="239"/>
      <c r="GIQ9" s="239"/>
      <c r="GIR9" s="239"/>
      <c r="GIS9" s="239"/>
      <c r="GIT9" s="239"/>
      <c r="GIU9" s="239"/>
      <c r="GIV9" s="239"/>
      <c r="GIW9" s="239"/>
      <c r="GIX9" s="239"/>
      <c r="GIY9" s="239"/>
      <c r="GIZ9" s="239"/>
      <c r="GJA9" s="239"/>
      <c r="GJB9" s="239"/>
      <c r="GJC9" s="239"/>
      <c r="GJD9" s="239"/>
      <c r="GJE9" s="239"/>
      <c r="GJF9" s="239"/>
      <c r="GJG9" s="239"/>
      <c r="GJH9" s="239"/>
      <c r="GJI9" s="239"/>
      <c r="GJJ9" s="239"/>
      <c r="GJK9" s="239"/>
      <c r="GJL9" s="239"/>
      <c r="GJM9" s="239"/>
      <c r="GJN9" s="239"/>
      <c r="GJO9" s="239"/>
      <c r="GJP9" s="239"/>
      <c r="GJQ9" s="239"/>
      <c r="GJR9" s="239"/>
      <c r="GJS9" s="239"/>
      <c r="GJT9" s="239"/>
      <c r="GJU9" s="239"/>
      <c r="GJV9" s="239"/>
      <c r="GJW9" s="239"/>
      <c r="GJX9" s="239"/>
      <c r="GJY9" s="239"/>
      <c r="GJZ9" s="239"/>
      <c r="GKA9" s="239"/>
      <c r="GKB9" s="239"/>
      <c r="GKC9" s="239"/>
      <c r="GKD9" s="239"/>
      <c r="GKE9" s="239"/>
      <c r="GKF9" s="239"/>
      <c r="GKG9" s="239"/>
      <c r="GKH9" s="239"/>
      <c r="GKI9" s="239"/>
      <c r="GKJ9" s="239"/>
      <c r="GKK9" s="239"/>
      <c r="GKL9" s="239"/>
      <c r="GKM9" s="239"/>
      <c r="GKN9" s="239"/>
      <c r="GKO9" s="239"/>
      <c r="GKP9" s="239"/>
      <c r="GKQ9" s="239"/>
      <c r="GKR9" s="239"/>
      <c r="GKS9" s="239"/>
      <c r="GKT9" s="239"/>
      <c r="GKU9" s="239"/>
      <c r="GKV9" s="239"/>
      <c r="GKW9" s="239"/>
      <c r="GKX9" s="239"/>
      <c r="GKY9" s="239"/>
      <c r="GKZ9" s="239"/>
      <c r="GLA9" s="239"/>
      <c r="GLB9" s="239"/>
      <c r="GLC9" s="239"/>
      <c r="GLD9" s="239"/>
      <c r="GLE9" s="239"/>
      <c r="GLF9" s="239"/>
      <c r="GLG9" s="239"/>
      <c r="GLH9" s="239"/>
      <c r="GLI9" s="239"/>
      <c r="GLJ9" s="239"/>
      <c r="GLK9" s="239"/>
      <c r="GLL9" s="239"/>
      <c r="GLM9" s="239"/>
      <c r="GLN9" s="239"/>
      <c r="GLO9" s="239"/>
      <c r="GLP9" s="239"/>
      <c r="GLQ9" s="239"/>
      <c r="GLR9" s="239"/>
      <c r="GLS9" s="239"/>
      <c r="GLT9" s="239"/>
      <c r="GLU9" s="239"/>
      <c r="GLV9" s="239"/>
      <c r="GLW9" s="239"/>
      <c r="GLX9" s="239"/>
      <c r="GLY9" s="239"/>
      <c r="GLZ9" s="239"/>
      <c r="GMA9" s="239"/>
      <c r="GMB9" s="239"/>
      <c r="GMC9" s="239"/>
      <c r="GMD9" s="239"/>
      <c r="GME9" s="239"/>
      <c r="GMF9" s="239"/>
      <c r="GMG9" s="239"/>
      <c r="GMH9" s="239"/>
      <c r="GMI9" s="239"/>
      <c r="GMJ9" s="239"/>
      <c r="GMK9" s="239"/>
      <c r="GML9" s="239"/>
      <c r="GMM9" s="239"/>
      <c r="GMN9" s="239"/>
      <c r="GMO9" s="239"/>
      <c r="GMP9" s="239"/>
      <c r="GMQ9" s="239"/>
      <c r="GMR9" s="239"/>
      <c r="GMS9" s="239"/>
      <c r="GMT9" s="239"/>
      <c r="GMU9" s="239"/>
      <c r="GMV9" s="239"/>
      <c r="GMW9" s="239"/>
      <c r="GMX9" s="239"/>
      <c r="GMY9" s="239"/>
      <c r="GMZ9" s="239"/>
      <c r="GNA9" s="239"/>
      <c r="GNB9" s="239"/>
      <c r="GNC9" s="239"/>
      <c r="GND9" s="239"/>
      <c r="GNE9" s="239"/>
      <c r="GNF9" s="239"/>
      <c r="GNG9" s="239"/>
      <c r="GNH9" s="239"/>
      <c r="GNI9" s="239"/>
      <c r="GNJ9" s="239"/>
      <c r="GNK9" s="239"/>
      <c r="GNL9" s="239"/>
      <c r="GNM9" s="239"/>
      <c r="GNN9" s="239"/>
      <c r="GNO9" s="239"/>
      <c r="GNP9" s="239"/>
      <c r="GNQ9" s="239"/>
      <c r="GNR9" s="239"/>
      <c r="GNS9" s="239"/>
      <c r="GNT9" s="239"/>
      <c r="GNU9" s="239"/>
      <c r="GNV9" s="239"/>
      <c r="GNW9" s="239"/>
      <c r="GNX9" s="239"/>
      <c r="GNY9" s="239"/>
      <c r="GNZ9" s="239"/>
      <c r="GOA9" s="239"/>
      <c r="GOB9" s="239"/>
      <c r="GOC9" s="239"/>
      <c r="GOD9" s="239"/>
      <c r="GOE9" s="239"/>
      <c r="GOF9" s="239"/>
      <c r="GOG9" s="239"/>
      <c r="GOH9" s="239"/>
      <c r="GOI9" s="239"/>
      <c r="GOJ9" s="239"/>
      <c r="GOK9" s="239"/>
      <c r="GOL9" s="239"/>
      <c r="GOM9" s="239"/>
      <c r="GON9" s="239"/>
      <c r="GOO9" s="239"/>
      <c r="GOP9" s="239"/>
      <c r="GOQ9" s="239"/>
      <c r="GOR9" s="239"/>
      <c r="GOS9" s="239"/>
      <c r="GOT9" s="239"/>
      <c r="GOU9" s="239"/>
      <c r="GOV9" s="239"/>
      <c r="GOW9" s="239"/>
      <c r="GOX9" s="239"/>
      <c r="GOY9" s="239"/>
      <c r="GOZ9" s="239"/>
      <c r="GPA9" s="239"/>
      <c r="GPB9" s="239"/>
      <c r="GPC9" s="239"/>
      <c r="GPD9" s="239"/>
      <c r="GPE9" s="239"/>
      <c r="GPF9" s="239"/>
      <c r="GPG9" s="239"/>
      <c r="GPH9" s="239"/>
      <c r="GPI9" s="239"/>
      <c r="GPJ9" s="239"/>
      <c r="GPK9" s="239"/>
      <c r="GPL9" s="239"/>
      <c r="GPM9" s="239"/>
      <c r="GPN9" s="239"/>
      <c r="GPO9" s="239"/>
      <c r="GPP9" s="239"/>
      <c r="GPQ9" s="239"/>
      <c r="GPR9" s="239"/>
      <c r="GPS9" s="239"/>
      <c r="GPT9" s="239"/>
      <c r="GPU9" s="239"/>
      <c r="GPV9" s="239"/>
      <c r="GPW9" s="239"/>
      <c r="GPX9" s="239"/>
      <c r="GPY9" s="239"/>
      <c r="GPZ9" s="239"/>
      <c r="GQA9" s="239"/>
      <c r="GQB9" s="239"/>
      <c r="GQC9" s="239"/>
      <c r="GQD9" s="239"/>
      <c r="GQE9" s="239"/>
      <c r="GQF9" s="239"/>
      <c r="GQG9" s="239"/>
      <c r="GQH9" s="239"/>
      <c r="GQI9" s="239"/>
      <c r="GQJ9" s="239"/>
      <c r="GQK9" s="239"/>
      <c r="GQL9" s="239"/>
      <c r="GQM9" s="239"/>
      <c r="GQN9" s="239"/>
      <c r="GQO9" s="239"/>
      <c r="GQP9" s="239"/>
      <c r="GQQ9" s="239"/>
      <c r="GQR9" s="239"/>
      <c r="GQS9" s="239"/>
      <c r="GQT9" s="239"/>
      <c r="GQU9" s="239"/>
      <c r="GQV9" s="239"/>
      <c r="GQW9" s="239"/>
      <c r="GQX9" s="239"/>
      <c r="GQY9" s="239"/>
      <c r="GQZ9" s="239"/>
      <c r="GRA9" s="239"/>
      <c r="GRB9" s="239"/>
      <c r="GRC9" s="239"/>
      <c r="GRD9" s="239"/>
      <c r="GRE9" s="239"/>
      <c r="GRF9" s="239"/>
      <c r="GRG9" s="239"/>
      <c r="GRH9" s="239"/>
      <c r="GRI9" s="239"/>
      <c r="GRJ9" s="239"/>
      <c r="GRK9" s="239"/>
      <c r="GRL9" s="239"/>
      <c r="GRM9" s="239"/>
      <c r="GRN9" s="239"/>
      <c r="GRO9" s="239"/>
      <c r="GRP9" s="239"/>
      <c r="GRQ9" s="239"/>
      <c r="GRR9" s="239"/>
      <c r="GRS9" s="239"/>
      <c r="GRT9" s="239"/>
      <c r="GRU9" s="239"/>
      <c r="GRV9" s="239"/>
      <c r="GRW9" s="239"/>
      <c r="GRX9" s="239"/>
      <c r="GRY9" s="239"/>
      <c r="GRZ9" s="239"/>
      <c r="GSA9" s="239"/>
      <c r="GSB9" s="239"/>
      <c r="GSC9" s="239"/>
      <c r="GSD9" s="239"/>
      <c r="GSE9" s="239"/>
      <c r="GSF9" s="239"/>
      <c r="GSG9" s="239"/>
      <c r="GSH9" s="239"/>
      <c r="GSI9" s="239"/>
      <c r="GSJ9" s="239"/>
      <c r="GSK9" s="239"/>
      <c r="GSL9" s="239"/>
      <c r="GSM9" s="239"/>
      <c r="GSN9" s="239"/>
      <c r="GSO9" s="239"/>
      <c r="GSP9" s="239"/>
      <c r="GSQ9" s="239"/>
      <c r="GSR9" s="239"/>
      <c r="GSS9" s="239"/>
      <c r="GST9" s="239"/>
      <c r="GSU9" s="239"/>
      <c r="GSV9" s="239"/>
      <c r="GSW9" s="239"/>
      <c r="GSX9" s="239"/>
      <c r="GSY9" s="239"/>
      <c r="GSZ9" s="239"/>
      <c r="GTA9" s="239"/>
      <c r="GTB9" s="239"/>
      <c r="GTC9" s="239"/>
      <c r="GTD9" s="239"/>
      <c r="GTE9" s="239"/>
      <c r="GTF9" s="239"/>
      <c r="GTG9" s="239"/>
      <c r="GTH9" s="239"/>
      <c r="GTI9" s="239"/>
      <c r="GTJ9" s="239"/>
      <c r="GTK9" s="239"/>
      <c r="GTL9" s="239"/>
      <c r="GTM9" s="239"/>
      <c r="GTN9" s="239"/>
      <c r="GTO9" s="239"/>
      <c r="GTP9" s="239"/>
      <c r="GTQ9" s="239"/>
      <c r="GTR9" s="239"/>
      <c r="GTS9" s="239"/>
      <c r="GTT9" s="239"/>
      <c r="GTU9" s="239"/>
      <c r="GTV9" s="239"/>
      <c r="GTW9" s="239"/>
      <c r="GTX9" s="239"/>
      <c r="GTY9" s="239"/>
      <c r="GTZ9" s="239"/>
      <c r="GUA9" s="239"/>
      <c r="GUB9" s="239"/>
      <c r="GUC9" s="239"/>
      <c r="GUD9" s="239"/>
      <c r="GUE9" s="239"/>
      <c r="GUF9" s="239"/>
      <c r="GUG9" s="239"/>
      <c r="GUH9" s="239"/>
      <c r="GUI9" s="239"/>
      <c r="GUJ9" s="239"/>
      <c r="GUK9" s="239"/>
      <c r="GUL9" s="239"/>
      <c r="GUM9" s="239"/>
      <c r="GUN9" s="239"/>
      <c r="GUO9" s="239"/>
      <c r="GUP9" s="239"/>
      <c r="GUQ9" s="239"/>
      <c r="GUR9" s="239"/>
      <c r="GUS9" s="239"/>
      <c r="GUT9" s="239"/>
      <c r="GUU9" s="239"/>
      <c r="GUV9" s="239"/>
      <c r="GUW9" s="239"/>
      <c r="GUX9" s="239"/>
      <c r="GUY9" s="239"/>
      <c r="GUZ9" s="239"/>
      <c r="GVA9" s="239"/>
      <c r="GVB9" s="239"/>
      <c r="GVC9" s="239"/>
      <c r="GVD9" s="239"/>
      <c r="GVE9" s="239"/>
      <c r="GVF9" s="239"/>
      <c r="GVG9" s="239"/>
      <c r="GVH9" s="239"/>
      <c r="GVI9" s="239"/>
      <c r="GVJ9" s="239"/>
      <c r="GVK9" s="239"/>
      <c r="GVL9" s="239"/>
      <c r="GVM9" s="239"/>
      <c r="GVN9" s="239"/>
      <c r="GVO9" s="239"/>
      <c r="GVP9" s="239"/>
      <c r="GVQ9" s="239"/>
      <c r="GVR9" s="239"/>
      <c r="GVS9" s="239"/>
      <c r="GVT9" s="239"/>
      <c r="GVU9" s="239"/>
      <c r="GVV9" s="239"/>
      <c r="GVW9" s="239"/>
      <c r="GVX9" s="239"/>
      <c r="GVY9" s="239"/>
      <c r="GVZ9" s="239"/>
      <c r="GWA9" s="239"/>
      <c r="GWB9" s="239"/>
      <c r="GWC9" s="239"/>
      <c r="GWD9" s="239"/>
      <c r="GWE9" s="239"/>
      <c r="GWF9" s="239"/>
      <c r="GWG9" s="239"/>
      <c r="GWH9" s="239"/>
      <c r="GWI9" s="239"/>
      <c r="GWJ9" s="239"/>
      <c r="GWK9" s="239"/>
      <c r="GWL9" s="239"/>
      <c r="GWM9" s="239"/>
      <c r="GWN9" s="239"/>
      <c r="GWO9" s="239"/>
      <c r="GWP9" s="239"/>
      <c r="GWQ9" s="239"/>
      <c r="GWR9" s="239"/>
      <c r="GWS9" s="239"/>
      <c r="GWT9" s="239"/>
      <c r="GWU9" s="239"/>
      <c r="GWV9" s="239"/>
      <c r="GWW9" s="239"/>
      <c r="GWX9" s="239"/>
      <c r="GWY9" s="239"/>
      <c r="GWZ9" s="239"/>
      <c r="GXA9" s="239"/>
      <c r="GXB9" s="239"/>
      <c r="GXC9" s="239"/>
      <c r="GXD9" s="239"/>
      <c r="GXE9" s="239"/>
      <c r="GXF9" s="239"/>
      <c r="GXG9" s="239"/>
      <c r="GXH9" s="239"/>
      <c r="GXI9" s="239"/>
      <c r="GXJ9" s="239"/>
      <c r="GXK9" s="239"/>
      <c r="GXL9" s="239"/>
      <c r="GXM9" s="239"/>
      <c r="GXN9" s="239"/>
      <c r="GXO9" s="239"/>
      <c r="GXP9" s="239"/>
      <c r="GXQ9" s="239"/>
      <c r="GXR9" s="239"/>
      <c r="GXS9" s="239"/>
      <c r="GXT9" s="239"/>
      <c r="GXU9" s="239"/>
      <c r="GXV9" s="239"/>
      <c r="GXW9" s="239"/>
      <c r="GXX9" s="239"/>
      <c r="GXY9" s="239"/>
      <c r="GXZ9" s="239"/>
      <c r="GYA9" s="239"/>
      <c r="GYB9" s="239"/>
      <c r="GYC9" s="239"/>
      <c r="GYD9" s="239"/>
      <c r="GYE9" s="239"/>
      <c r="GYF9" s="239"/>
      <c r="GYG9" s="239"/>
      <c r="GYH9" s="239"/>
      <c r="GYI9" s="239"/>
      <c r="GYJ9" s="239"/>
      <c r="GYK9" s="239"/>
      <c r="GYL9" s="239"/>
      <c r="GYM9" s="239"/>
      <c r="GYN9" s="239"/>
      <c r="GYO9" s="239"/>
      <c r="GYP9" s="239"/>
      <c r="GYQ9" s="239"/>
      <c r="GYR9" s="239"/>
      <c r="GYS9" s="239"/>
      <c r="GYT9" s="239"/>
      <c r="GYU9" s="239"/>
      <c r="GYV9" s="239"/>
      <c r="GYW9" s="239"/>
      <c r="GYX9" s="239"/>
      <c r="GYY9" s="239"/>
      <c r="GYZ9" s="239"/>
      <c r="GZA9" s="239"/>
      <c r="GZB9" s="239"/>
      <c r="GZC9" s="239"/>
      <c r="GZD9" s="239"/>
      <c r="GZE9" s="239"/>
      <c r="GZF9" s="239"/>
      <c r="GZG9" s="239"/>
      <c r="GZH9" s="239"/>
      <c r="GZI9" s="239"/>
      <c r="GZJ9" s="239"/>
      <c r="GZK9" s="239"/>
      <c r="GZL9" s="239"/>
      <c r="GZM9" s="239"/>
      <c r="GZN9" s="239"/>
      <c r="GZO9" s="239"/>
      <c r="GZP9" s="239"/>
      <c r="GZQ9" s="239"/>
      <c r="GZR9" s="239"/>
      <c r="GZS9" s="239"/>
      <c r="GZT9" s="239"/>
      <c r="GZU9" s="239"/>
      <c r="GZV9" s="239"/>
      <c r="GZW9" s="239"/>
      <c r="GZX9" s="239"/>
      <c r="GZY9" s="239"/>
      <c r="GZZ9" s="239"/>
      <c r="HAA9" s="239"/>
      <c r="HAB9" s="239"/>
      <c r="HAC9" s="239"/>
      <c r="HAD9" s="239"/>
      <c r="HAE9" s="239"/>
      <c r="HAF9" s="239"/>
      <c r="HAG9" s="239"/>
      <c r="HAH9" s="239"/>
      <c r="HAI9" s="239"/>
      <c r="HAJ9" s="239"/>
      <c r="HAK9" s="239"/>
      <c r="HAL9" s="239"/>
      <c r="HAM9" s="239"/>
      <c r="HAN9" s="239"/>
      <c r="HAO9" s="239"/>
      <c r="HAP9" s="239"/>
      <c r="HAQ9" s="239"/>
      <c r="HAR9" s="239"/>
      <c r="HAS9" s="239"/>
      <c r="HAT9" s="239"/>
      <c r="HAU9" s="239"/>
      <c r="HAV9" s="239"/>
      <c r="HAW9" s="239"/>
      <c r="HAX9" s="239"/>
      <c r="HAY9" s="239"/>
      <c r="HAZ9" s="239"/>
      <c r="HBA9" s="239"/>
      <c r="HBB9" s="239"/>
      <c r="HBC9" s="239"/>
      <c r="HBD9" s="239"/>
      <c r="HBE9" s="239"/>
      <c r="HBF9" s="239"/>
      <c r="HBG9" s="239"/>
      <c r="HBH9" s="239"/>
      <c r="HBI9" s="239"/>
      <c r="HBJ9" s="239"/>
      <c r="HBK9" s="239"/>
      <c r="HBL9" s="239"/>
      <c r="HBM9" s="239"/>
      <c r="HBN9" s="239"/>
      <c r="HBO9" s="239"/>
      <c r="HBP9" s="239"/>
      <c r="HBQ9" s="239"/>
      <c r="HBR9" s="239"/>
      <c r="HBS9" s="239"/>
      <c r="HBT9" s="239"/>
      <c r="HBU9" s="239"/>
      <c r="HBV9" s="239"/>
      <c r="HBW9" s="239"/>
      <c r="HBX9" s="239"/>
      <c r="HBY9" s="239"/>
      <c r="HBZ9" s="239"/>
      <c r="HCA9" s="239"/>
      <c r="HCB9" s="239"/>
      <c r="HCC9" s="239"/>
      <c r="HCD9" s="239"/>
      <c r="HCE9" s="239"/>
      <c r="HCF9" s="239"/>
      <c r="HCG9" s="239"/>
      <c r="HCH9" s="239"/>
      <c r="HCI9" s="239"/>
      <c r="HCJ9" s="239"/>
      <c r="HCK9" s="239"/>
      <c r="HCL9" s="239"/>
      <c r="HCM9" s="239"/>
      <c r="HCN9" s="239"/>
      <c r="HCO9" s="239"/>
      <c r="HCP9" s="239"/>
      <c r="HCQ9" s="239"/>
      <c r="HCR9" s="239"/>
      <c r="HCS9" s="239"/>
      <c r="HCT9" s="239"/>
      <c r="HCU9" s="239"/>
      <c r="HCV9" s="239"/>
      <c r="HCW9" s="239"/>
      <c r="HCX9" s="239"/>
      <c r="HCY9" s="239"/>
      <c r="HCZ9" s="239"/>
      <c r="HDA9" s="239"/>
      <c r="HDB9" s="239"/>
      <c r="HDC9" s="239"/>
      <c r="HDD9" s="239"/>
      <c r="HDE9" s="239"/>
      <c r="HDF9" s="239"/>
      <c r="HDG9" s="239"/>
      <c r="HDH9" s="239"/>
      <c r="HDI9" s="239"/>
      <c r="HDJ9" s="239"/>
      <c r="HDK9" s="239"/>
      <c r="HDL9" s="239"/>
      <c r="HDM9" s="239"/>
      <c r="HDN9" s="239"/>
      <c r="HDO9" s="239"/>
      <c r="HDP9" s="239"/>
      <c r="HDQ9" s="239"/>
      <c r="HDR9" s="239"/>
      <c r="HDS9" s="239"/>
      <c r="HDT9" s="239"/>
      <c r="HDU9" s="239"/>
      <c r="HDV9" s="239"/>
      <c r="HDW9" s="239"/>
      <c r="HDX9" s="239"/>
      <c r="HDY9" s="239"/>
      <c r="HDZ9" s="239"/>
      <c r="HEA9" s="239"/>
      <c r="HEB9" s="239"/>
      <c r="HEC9" s="239"/>
      <c r="HED9" s="239"/>
      <c r="HEE9" s="239"/>
      <c r="HEF9" s="239"/>
      <c r="HEG9" s="239"/>
      <c r="HEH9" s="239"/>
      <c r="HEI9" s="239"/>
      <c r="HEJ9" s="239"/>
      <c r="HEK9" s="239"/>
      <c r="HEL9" s="239"/>
      <c r="HEM9" s="239"/>
      <c r="HEN9" s="239"/>
      <c r="HEO9" s="239"/>
      <c r="HEP9" s="239"/>
      <c r="HEQ9" s="239"/>
      <c r="HER9" s="239"/>
      <c r="HES9" s="239"/>
      <c r="HET9" s="239"/>
      <c r="HEU9" s="239"/>
      <c r="HEV9" s="239"/>
      <c r="HEW9" s="239"/>
      <c r="HEX9" s="239"/>
      <c r="HEY9" s="239"/>
      <c r="HEZ9" s="239"/>
      <c r="HFA9" s="239"/>
      <c r="HFB9" s="239"/>
      <c r="HFC9" s="239"/>
      <c r="HFD9" s="239"/>
      <c r="HFE9" s="239"/>
      <c r="HFF9" s="239"/>
      <c r="HFG9" s="239"/>
      <c r="HFH9" s="239"/>
      <c r="HFI9" s="239"/>
      <c r="HFJ9" s="239"/>
      <c r="HFK9" s="239"/>
      <c r="HFL9" s="239"/>
      <c r="HFM9" s="239"/>
      <c r="HFN9" s="239"/>
      <c r="HFO9" s="239"/>
      <c r="HFP9" s="239"/>
      <c r="HFQ9" s="239"/>
      <c r="HFR9" s="239"/>
      <c r="HFS9" s="239"/>
      <c r="HFT9" s="239"/>
      <c r="HFU9" s="239"/>
      <c r="HFV9" s="239"/>
      <c r="HFW9" s="239"/>
      <c r="HFX9" s="239"/>
      <c r="HFY9" s="239"/>
      <c r="HFZ9" s="239"/>
      <c r="HGA9" s="239"/>
      <c r="HGB9" s="239"/>
      <c r="HGC9" s="239"/>
      <c r="HGD9" s="239"/>
      <c r="HGE9" s="239"/>
      <c r="HGF9" s="239"/>
      <c r="HGG9" s="239"/>
      <c r="HGH9" s="239"/>
      <c r="HGI9" s="239"/>
      <c r="HGJ9" s="239"/>
      <c r="HGK9" s="239"/>
      <c r="HGL9" s="239"/>
      <c r="HGM9" s="239"/>
      <c r="HGN9" s="239"/>
      <c r="HGO9" s="239"/>
      <c r="HGP9" s="239"/>
      <c r="HGQ9" s="239"/>
      <c r="HGR9" s="239"/>
      <c r="HGS9" s="239"/>
      <c r="HGT9" s="239"/>
      <c r="HGU9" s="239"/>
      <c r="HGV9" s="239"/>
      <c r="HGW9" s="239"/>
      <c r="HGX9" s="239"/>
      <c r="HGY9" s="239"/>
      <c r="HGZ9" s="239"/>
      <c r="HHA9" s="239"/>
      <c r="HHB9" s="239"/>
      <c r="HHC9" s="239"/>
      <c r="HHD9" s="239"/>
      <c r="HHE9" s="239"/>
      <c r="HHF9" s="239"/>
      <c r="HHG9" s="239"/>
      <c r="HHH9" s="239"/>
      <c r="HHI9" s="239"/>
      <c r="HHJ9" s="239"/>
      <c r="HHK9" s="239"/>
      <c r="HHL9" s="239"/>
      <c r="HHM9" s="239"/>
      <c r="HHN9" s="239"/>
      <c r="HHO9" s="239"/>
      <c r="HHP9" s="239"/>
      <c r="HHQ9" s="239"/>
      <c r="HHR9" s="239"/>
      <c r="HHS9" s="239"/>
      <c r="HHT9" s="239"/>
      <c r="HHU9" s="239"/>
      <c r="HHV9" s="239"/>
      <c r="HHW9" s="239"/>
      <c r="HHX9" s="239"/>
      <c r="HHY9" s="239"/>
      <c r="HHZ9" s="239"/>
      <c r="HIA9" s="239"/>
      <c r="HIB9" s="239"/>
      <c r="HIC9" s="239"/>
      <c r="HID9" s="239"/>
      <c r="HIE9" s="239"/>
      <c r="HIF9" s="239"/>
      <c r="HIG9" s="239"/>
      <c r="HIH9" s="239"/>
      <c r="HII9" s="239"/>
      <c r="HIJ9" s="239"/>
      <c r="HIK9" s="239"/>
      <c r="HIL9" s="239"/>
      <c r="HIM9" s="239"/>
      <c r="HIN9" s="239"/>
      <c r="HIO9" s="239"/>
      <c r="HIP9" s="239"/>
      <c r="HIQ9" s="239"/>
      <c r="HIR9" s="239"/>
      <c r="HIS9" s="239"/>
      <c r="HIT9" s="239"/>
      <c r="HIU9" s="239"/>
      <c r="HIV9" s="239"/>
      <c r="HIW9" s="239"/>
      <c r="HIX9" s="239"/>
      <c r="HIY9" s="239"/>
      <c r="HIZ9" s="239"/>
      <c r="HJA9" s="239"/>
      <c r="HJB9" s="239"/>
      <c r="HJC9" s="239"/>
      <c r="HJD9" s="239"/>
      <c r="HJE9" s="239"/>
      <c r="HJF9" s="239"/>
      <c r="HJG9" s="239"/>
      <c r="HJH9" s="239"/>
      <c r="HJI9" s="239"/>
      <c r="HJJ9" s="239"/>
      <c r="HJK9" s="239"/>
      <c r="HJL9" s="239"/>
      <c r="HJM9" s="239"/>
      <c r="HJN9" s="239"/>
      <c r="HJO9" s="239"/>
      <c r="HJP9" s="239"/>
      <c r="HJQ9" s="239"/>
      <c r="HJR9" s="239"/>
      <c r="HJS9" s="239"/>
      <c r="HJT9" s="239"/>
      <c r="HJU9" s="239"/>
      <c r="HJV9" s="239"/>
      <c r="HJW9" s="239"/>
      <c r="HJX9" s="239"/>
      <c r="HJY9" s="239"/>
      <c r="HJZ9" s="239"/>
      <c r="HKA9" s="239"/>
      <c r="HKB9" s="239"/>
      <c r="HKC9" s="239"/>
      <c r="HKD9" s="239"/>
      <c r="HKE9" s="239"/>
      <c r="HKF9" s="239"/>
      <c r="HKG9" s="239"/>
      <c r="HKH9" s="239"/>
      <c r="HKI9" s="239"/>
      <c r="HKJ9" s="239"/>
      <c r="HKK9" s="239"/>
      <c r="HKL9" s="239"/>
      <c r="HKM9" s="239"/>
      <c r="HKN9" s="239"/>
      <c r="HKO9" s="239"/>
      <c r="HKP9" s="239"/>
      <c r="HKQ9" s="239"/>
      <c r="HKR9" s="239"/>
      <c r="HKS9" s="239"/>
      <c r="HKT9" s="239"/>
      <c r="HKU9" s="239"/>
      <c r="HKV9" s="239"/>
      <c r="HKW9" s="239"/>
      <c r="HKX9" s="239"/>
      <c r="HKY9" s="239"/>
      <c r="HKZ9" s="239"/>
      <c r="HLA9" s="239"/>
      <c r="HLB9" s="239"/>
      <c r="HLC9" s="239"/>
      <c r="HLD9" s="239"/>
      <c r="HLE9" s="239"/>
      <c r="HLF9" s="239"/>
      <c r="HLG9" s="239"/>
      <c r="HLH9" s="239"/>
      <c r="HLI9" s="239"/>
      <c r="HLJ9" s="239"/>
      <c r="HLK9" s="239"/>
      <c r="HLL9" s="239"/>
      <c r="HLM9" s="239"/>
      <c r="HLN9" s="239"/>
      <c r="HLO9" s="239"/>
      <c r="HLP9" s="239"/>
      <c r="HLQ9" s="239"/>
      <c r="HLR9" s="239"/>
      <c r="HLS9" s="239"/>
      <c r="HLT9" s="239"/>
      <c r="HLU9" s="239"/>
      <c r="HLV9" s="239"/>
      <c r="HLW9" s="239"/>
      <c r="HLX9" s="239"/>
      <c r="HLY9" s="239"/>
      <c r="HLZ9" s="239"/>
      <c r="HMA9" s="239"/>
      <c r="HMB9" s="239"/>
      <c r="HMC9" s="239"/>
      <c r="HMD9" s="239"/>
      <c r="HME9" s="239"/>
      <c r="HMF9" s="239"/>
      <c r="HMG9" s="239"/>
      <c r="HMH9" s="239"/>
      <c r="HMI9" s="239"/>
      <c r="HMJ9" s="239"/>
      <c r="HMK9" s="239"/>
      <c r="HML9" s="239"/>
      <c r="HMM9" s="239"/>
      <c r="HMN9" s="239"/>
      <c r="HMO9" s="239"/>
      <c r="HMP9" s="239"/>
      <c r="HMQ9" s="239"/>
      <c r="HMR9" s="239"/>
      <c r="HMS9" s="239"/>
      <c r="HMT9" s="239"/>
      <c r="HMU9" s="239"/>
      <c r="HMV9" s="239"/>
      <c r="HMW9" s="239"/>
      <c r="HMX9" s="239"/>
      <c r="HMY9" s="239"/>
      <c r="HMZ9" s="239"/>
      <c r="HNA9" s="239"/>
      <c r="HNB9" s="239"/>
      <c r="HNC9" s="239"/>
      <c r="HND9" s="239"/>
      <c r="HNE9" s="239"/>
      <c r="HNF9" s="239"/>
      <c r="HNG9" s="239"/>
      <c r="HNH9" s="239"/>
      <c r="HNI9" s="239"/>
      <c r="HNJ9" s="239"/>
      <c r="HNK9" s="239"/>
      <c r="HNL9" s="239"/>
      <c r="HNM9" s="239"/>
      <c r="HNN9" s="239"/>
      <c r="HNO9" s="239"/>
      <c r="HNP9" s="239"/>
      <c r="HNQ9" s="239"/>
      <c r="HNR9" s="239"/>
      <c r="HNS9" s="239"/>
      <c r="HNT9" s="239"/>
      <c r="HNU9" s="239"/>
      <c r="HNV9" s="239"/>
      <c r="HNW9" s="239"/>
      <c r="HNX9" s="239"/>
      <c r="HNY9" s="239"/>
      <c r="HNZ9" s="239"/>
      <c r="HOA9" s="239"/>
      <c r="HOB9" s="239"/>
      <c r="HOC9" s="239"/>
      <c r="HOD9" s="239"/>
      <c r="HOE9" s="239"/>
      <c r="HOF9" s="239"/>
      <c r="HOG9" s="239"/>
      <c r="HOH9" s="239"/>
      <c r="HOI9" s="239"/>
      <c r="HOJ9" s="239"/>
      <c r="HOK9" s="239"/>
      <c r="HOL9" s="239"/>
      <c r="HOM9" s="239"/>
      <c r="HON9" s="239"/>
      <c r="HOO9" s="239"/>
      <c r="HOP9" s="239"/>
      <c r="HOQ9" s="239"/>
      <c r="HOR9" s="239"/>
      <c r="HOS9" s="239"/>
      <c r="HOT9" s="239"/>
      <c r="HOU9" s="239"/>
      <c r="HOV9" s="239"/>
      <c r="HOW9" s="239"/>
      <c r="HOX9" s="239"/>
      <c r="HOY9" s="239"/>
      <c r="HOZ9" s="239"/>
      <c r="HPA9" s="239"/>
      <c r="HPB9" s="239"/>
      <c r="HPC9" s="239"/>
      <c r="HPD9" s="239"/>
      <c r="HPE9" s="239"/>
      <c r="HPF9" s="239"/>
      <c r="HPG9" s="239"/>
      <c r="HPH9" s="239"/>
      <c r="HPI9" s="239"/>
      <c r="HPJ9" s="239"/>
      <c r="HPK9" s="239"/>
      <c r="HPL9" s="239"/>
      <c r="HPM9" s="239"/>
      <c r="HPN9" s="239"/>
      <c r="HPO9" s="239"/>
      <c r="HPP9" s="239"/>
      <c r="HPQ9" s="239"/>
      <c r="HPR9" s="239"/>
      <c r="HPS9" s="239"/>
      <c r="HPT9" s="239"/>
      <c r="HPU9" s="239"/>
      <c r="HPV9" s="239"/>
      <c r="HPW9" s="239"/>
      <c r="HPX9" s="239"/>
      <c r="HPY9" s="239"/>
      <c r="HPZ9" s="239"/>
      <c r="HQA9" s="239"/>
      <c r="HQB9" s="239"/>
      <c r="HQC9" s="239"/>
      <c r="HQD9" s="239"/>
      <c r="HQE9" s="239"/>
      <c r="HQF9" s="239"/>
      <c r="HQG9" s="239"/>
      <c r="HQH9" s="239"/>
      <c r="HQI9" s="239"/>
      <c r="HQJ9" s="239"/>
      <c r="HQK9" s="239"/>
      <c r="HQL9" s="239"/>
      <c r="HQM9" s="239"/>
      <c r="HQN9" s="239"/>
      <c r="HQO9" s="239"/>
      <c r="HQP9" s="239"/>
      <c r="HQQ9" s="239"/>
      <c r="HQR9" s="239"/>
      <c r="HQS9" s="239"/>
      <c r="HQT9" s="239"/>
      <c r="HQU9" s="239"/>
      <c r="HQV9" s="239"/>
      <c r="HQW9" s="239"/>
      <c r="HQX9" s="239"/>
      <c r="HQY9" s="239"/>
      <c r="HQZ9" s="239"/>
      <c r="HRA9" s="239"/>
      <c r="HRB9" s="239"/>
      <c r="HRC9" s="239"/>
      <c r="HRD9" s="239"/>
      <c r="HRE9" s="239"/>
      <c r="HRF9" s="239"/>
      <c r="HRG9" s="239"/>
      <c r="HRH9" s="239"/>
      <c r="HRI9" s="239"/>
      <c r="HRJ9" s="239"/>
      <c r="HRK9" s="239"/>
      <c r="HRL9" s="239"/>
      <c r="HRM9" s="239"/>
      <c r="HRN9" s="239"/>
      <c r="HRO9" s="239"/>
      <c r="HRP9" s="239"/>
      <c r="HRQ9" s="239"/>
      <c r="HRR9" s="239"/>
      <c r="HRS9" s="239"/>
      <c r="HRT9" s="239"/>
      <c r="HRU9" s="239"/>
      <c r="HRV9" s="239"/>
      <c r="HRW9" s="239"/>
      <c r="HRX9" s="239"/>
      <c r="HRY9" s="239"/>
      <c r="HRZ9" s="239"/>
      <c r="HSA9" s="239"/>
      <c r="HSB9" s="239"/>
      <c r="HSC9" s="239"/>
      <c r="HSD9" s="239"/>
      <c r="HSE9" s="239"/>
      <c r="HSF9" s="239"/>
      <c r="HSG9" s="239"/>
      <c r="HSH9" s="239"/>
      <c r="HSI9" s="239"/>
      <c r="HSJ9" s="239"/>
      <c r="HSK9" s="239"/>
      <c r="HSL9" s="239"/>
      <c r="HSM9" s="239"/>
      <c r="HSN9" s="239"/>
      <c r="HSO9" s="239"/>
      <c r="HSP9" s="239"/>
      <c r="HSQ9" s="239"/>
      <c r="HSR9" s="239"/>
      <c r="HSS9" s="239"/>
      <c r="HST9" s="239"/>
      <c r="HSU9" s="239"/>
      <c r="HSV9" s="239"/>
      <c r="HSW9" s="239"/>
      <c r="HSX9" s="239"/>
      <c r="HSY9" s="239"/>
      <c r="HSZ9" s="239"/>
      <c r="HTA9" s="239"/>
      <c r="HTB9" s="239"/>
      <c r="HTC9" s="239"/>
      <c r="HTD9" s="239"/>
      <c r="HTE9" s="239"/>
      <c r="HTF9" s="239"/>
      <c r="HTG9" s="239"/>
      <c r="HTH9" s="239"/>
      <c r="HTI9" s="239"/>
      <c r="HTJ9" s="239"/>
      <c r="HTK9" s="239"/>
      <c r="HTL9" s="239"/>
      <c r="HTM9" s="239"/>
      <c r="HTN9" s="239"/>
      <c r="HTO9" s="239"/>
      <c r="HTP9" s="239"/>
      <c r="HTQ9" s="239"/>
      <c r="HTR9" s="239"/>
      <c r="HTS9" s="239"/>
      <c r="HTT9" s="239"/>
      <c r="HTU9" s="239"/>
      <c r="HTV9" s="239"/>
      <c r="HTW9" s="239"/>
      <c r="HTX9" s="239"/>
      <c r="HTY9" s="239"/>
      <c r="HTZ9" s="239"/>
      <c r="HUA9" s="239"/>
      <c r="HUB9" s="239"/>
      <c r="HUC9" s="239"/>
      <c r="HUD9" s="239"/>
      <c r="HUE9" s="239"/>
      <c r="HUF9" s="239"/>
      <c r="HUG9" s="239"/>
      <c r="HUH9" s="239"/>
      <c r="HUI9" s="239"/>
      <c r="HUJ9" s="239"/>
      <c r="HUK9" s="239"/>
      <c r="HUL9" s="239"/>
      <c r="HUM9" s="239"/>
      <c r="HUN9" s="239"/>
      <c r="HUO9" s="239"/>
      <c r="HUP9" s="239"/>
      <c r="HUQ9" s="239"/>
      <c r="HUR9" s="239"/>
      <c r="HUS9" s="239"/>
      <c r="HUT9" s="239"/>
      <c r="HUU9" s="239"/>
      <c r="HUV9" s="239"/>
      <c r="HUW9" s="239"/>
      <c r="HUX9" s="239"/>
      <c r="HUY9" s="239"/>
      <c r="HUZ9" s="239"/>
      <c r="HVA9" s="239"/>
      <c r="HVB9" s="239"/>
      <c r="HVC9" s="239"/>
      <c r="HVD9" s="239"/>
      <c r="HVE9" s="239"/>
      <c r="HVF9" s="239"/>
      <c r="HVG9" s="239"/>
      <c r="HVH9" s="239"/>
      <c r="HVI9" s="239"/>
      <c r="HVJ9" s="239"/>
      <c r="HVK9" s="239"/>
      <c r="HVL9" s="239"/>
      <c r="HVM9" s="239"/>
      <c r="HVN9" s="239"/>
      <c r="HVO9" s="239"/>
      <c r="HVP9" s="239"/>
      <c r="HVQ9" s="239"/>
      <c r="HVR9" s="239"/>
      <c r="HVS9" s="239"/>
      <c r="HVT9" s="239"/>
      <c r="HVU9" s="239"/>
      <c r="HVV9" s="239"/>
      <c r="HVW9" s="239"/>
      <c r="HVX9" s="239"/>
      <c r="HVY9" s="239"/>
      <c r="HVZ9" s="239"/>
      <c r="HWA9" s="239"/>
      <c r="HWB9" s="239"/>
      <c r="HWC9" s="239"/>
      <c r="HWD9" s="239"/>
      <c r="HWE9" s="239"/>
      <c r="HWF9" s="239"/>
      <c r="HWG9" s="239"/>
      <c r="HWH9" s="239"/>
      <c r="HWI9" s="239"/>
      <c r="HWJ9" s="239"/>
      <c r="HWK9" s="239"/>
      <c r="HWL9" s="239"/>
      <c r="HWM9" s="239"/>
      <c r="HWN9" s="239"/>
      <c r="HWO9" s="239"/>
      <c r="HWP9" s="239"/>
      <c r="HWQ9" s="239"/>
      <c r="HWR9" s="239"/>
      <c r="HWS9" s="239"/>
      <c r="HWT9" s="239"/>
      <c r="HWU9" s="239"/>
      <c r="HWV9" s="239"/>
      <c r="HWW9" s="239"/>
      <c r="HWX9" s="239"/>
      <c r="HWY9" s="239"/>
      <c r="HWZ9" s="239"/>
      <c r="HXA9" s="239"/>
      <c r="HXB9" s="239"/>
      <c r="HXC9" s="239"/>
      <c r="HXD9" s="239"/>
      <c r="HXE9" s="239"/>
      <c r="HXF9" s="239"/>
      <c r="HXG9" s="239"/>
      <c r="HXH9" s="239"/>
      <c r="HXI9" s="239"/>
      <c r="HXJ9" s="239"/>
      <c r="HXK9" s="239"/>
      <c r="HXL9" s="239"/>
      <c r="HXM9" s="239"/>
      <c r="HXN9" s="239"/>
      <c r="HXO9" s="239"/>
      <c r="HXP9" s="239"/>
      <c r="HXQ9" s="239"/>
      <c r="HXR9" s="239"/>
      <c r="HXS9" s="239"/>
      <c r="HXT9" s="239"/>
      <c r="HXU9" s="239"/>
      <c r="HXV9" s="239"/>
      <c r="HXW9" s="239"/>
      <c r="HXX9" s="239"/>
      <c r="HXY9" s="239"/>
      <c r="HXZ9" s="239"/>
      <c r="HYA9" s="239"/>
      <c r="HYB9" s="239"/>
      <c r="HYC9" s="239"/>
      <c r="HYD9" s="239"/>
      <c r="HYE9" s="239"/>
      <c r="HYF9" s="239"/>
      <c r="HYG9" s="239"/>
      <c r="HYH9" s="239"/>
      <c r="HYI9" s="239"/>
      <c r="HYJ9" s="239"/>
      <c r="HYK9" s="239"/>
      <c r="HYL9" s="239"/>
      <c r="HYM9" s="239"/>
      <c r="HYN9" s="239"/>
      <c r="HYO9" s="239"/>
      <c r="HYP9" s="239"/>
      <c r="HYQ9" s="239"/>
      <c r="HYR9" s="239"/>
      <c r="HYS9" s="239"/>
      <c r="HYT9" s="239"/>
      <c r="HYU9" s="239"/>
      <c r="HYV9" s="239"/>
      <c r="HYW9" s="239"/>
      <c r="HYX9" s="239"/>
      <c r="HYY9" s="239"/>
      <c r="HYZ9" s="239"/>
      <c r="HZA9" s="239"/>
      <c r="HZB9" s="239"/>
      <c r="HZC9" s="239"/>
      <c r="HZD9" s="239"/>
      <c r="HZE9" s="239"/>
      <c r="HZF9" s="239"/>
      <c r="HZG9" s="239"/>
      <c r="HZH9" s="239"/>
      <c r="HZI9" s="239"/>
      <c r="HZJ9" s="239"/>
      <c r="HZK9" s="239"/>
      <c r="HZL9" s="239"/>
      <c r="HZM9" s="239"/>
      <c r="HZN9" s="239"/>
      <c r="HZO9" s="239"/>
      <c r="HZP9" s="239"/>
      <c r="HZQ9" s="239"/>
      <c r="HZR9" s="239"/>
      <c r="HZS9" s="239"/>
      <c r="HZT9" s="239"/>
      <c r="HZU9" s="239"/>
      <c r="HZV9" s="239"/>
      <c r="HZW9" s="239"/>
      <c r="HZX9" s="239"/>
      <c r="HZY9" s="239"/>
      <c r="HZZ9" s="239"/>
      <c r="IAA9" s="239"/>
      <c r="IAB9" s="239"/>
      <c r="IAC9" s="239"/>
      <c r="IAD9" s="239"/>
      <c r="IAE9" s="239"/>
      <c r="IAF9" s="239"/>
      <c r="IAG9" s="239"/>
      <c r="IAH9" s="239"/>
      <c r="IAI9" s="239"/>
      <c r="IAJ9" s="239"/>
      <c r="IAK9" s="239"/>
      <c r="IAL9" s="239"/>
      <c r="IAM9" s="239"/>
      <c r="IAN9" s="239"/>
      <c r="IAO9" s="239"/>
      <c r="IAP9" s="239"/>
      <c r="IAQ9" s="239"/>
      <c r="IAR9" s="239"/>
      <c r="IAS9" s="239"/>
      <c r="IAT9" s="239"/>
      <c r="IAU9" s="239"/>
      <c r="IAV9" s="239"/>
      <c r="IAW9" s="239"/>
      <c r="IAX9" s="239"/>
      <c r="IAY9" s="239"/>
      <c r="IAZ9" s="239"/>
      <c r="IBA9" s="239"/>
      <c r="IBB9" s="239"/>
      <c r="IBC9" s="239"/>
      <c r="IBD9" s="239"/>
      <c r="IBE9" s="239"/>
      <c r="IBF9" s="239"/>
      <c r="IBG9" s="239"/>
      <c r="IBH9" s="239"/>
      <c r="IBI9" s="239"/>
      <c r="IBJ9" s="239"/>
      <c r="IBK9" s="239"/>
      <c r="IBL9" s="239"/>
      <c r="IBM9" s="239"/>
      <c r="IBN9" s="239"/>
      <c r="IBO9" s="239"/>
      <c r="IBP9" s="239"/>
      <c r="IBQ9" s="239"/>
      <c r="IBR9" s="239"/>
      <c r="IBS9" s="239"/>
      <c r="IBT9" s="239"/>
      <c r="IBU9" s="239"/>
      <c r="IBV9" s="239"/>
      <c r="IBW9" s="239"/>
      <c r="IBX9" s="239"/>
      <c r="IBY9" s="239"/>
      <c r="IBZ9" s="239"/>
      <c r="ICA9" s="239"/>
      <c r="ICB9" s="239"/>
      <c r="ICC9" s="239"/>
      <c r="ICD9" s="239"/>
      <c r="ICE9" s="239"/>
      <c r="ICF9" s="239"/>
      <c r="ICG9" s="239"/>
      <c r="ICH9" s="239"/>
      <c r="ICI9" s="239"/>
      <c r="ICJ9" s="239"/>
      <c r="ICK9" s="239"/>
      <c r="ICL9" s="239"/>
      <c r="ICM9" s="239"/>
      <c r="ICN9" s="239"/>
      <c r="ICO9" s="239"/>
      <c r="ICP9" s="239"/>
      <c r="ICQ9" s="239"/>
      <c r="ICR9" s="239"/>
      <c r="ICS9" s="239"/>
      <c r="ICT9" s="239"/>
      <c r="ICU9" s="239"/>
      <c r="ICV9" s="239"/>
      <c r="ICW9" s="239"/>
      <c r="ICX9" s="239"/>
      <c r="ICY9" s="239"/>
      <c r="ICZ9" s="239"/>
      <c r="IDA9" s="239"/>
      <c r="IDB9" s="239"/>
      <c r="IDC9" s="239"/>
      <c r="IDD9" s="239"/>
      <c r="IDE9" s="239"/>
      <c r="IDF9" s="239"/>
      <c r="IDG9" s="239"/>
      <c r="IDH9" s="239"/>
      <c r="IDI9" s="239"/>
      <c r="IDJ9" s="239"/>
      <c r="IDK9" s="239"/>
      <c r="IDL9" s="239"/>
      <c r="IDM9" s="239"/>
      <c r="IDN9" s="239"/>
      <c r="IDO9" s="239"/>
      <c r="IDP9" s="239"/>
      <c r="IDQ9" s="239"/>
      <c r="IDR9" s="239"/>
      <c r="IDS9" s="239"/>
      <c r="IDT9" s="239"/>
      <c r="IDU9" s="239"/>
      <c r="IDV9" s="239"/>
      <c r="IDW9" s="239"/>
      <c r="IDX9" s="239"/>
      <c r="IDY9" s="239"/>
      <c r="IDZ9" s="239"/>
      <c r="IEA9" s="239"/>
      <c r="IEB9" s="239"/>
      <c r="IEC9" s="239"/>
      <c r="IED9" s="239"/>
      <c r="IEE9" s="239"/>
      <c r="IEF9" s="239"/>
      <c r="IEG9" s="239"/>
      <c r="IEH9" s="239"/>
      <c r="IEI9" s="239"/>
      <c r="IEJ9" s="239"/>
      <c r="IEK9" s="239"/>
      <c r="IEL9" s="239"/>
      <c r="IEM9" s="239"/>
      <c r="IEN9" s="239"/>
      <c r="IEO9" s="239"/>
      <c r="IEP9" s="239"/>
      <c r="IEQ9" s="239"/>
      <c r="IER9" s="239"/>
      <c r="IES9" s="239"/>
      <c r="IET9" s="239"/>
      <c r="IEU9" s="239"/>
      <c r="IEV9" s="239"/>
      <c r="IEW9" s="239"/>
      <c r="IEX9" s="239"/>
      <c r="IEY9" s="239"/>
      <c r="IEZ9" s="239"/>
      <c r="IFA9" s="239"/>
      <c r="IFB9" s="239"/>
      <c r="IFC9" s="239"/>
      <c r="IFD9" s="239"/>
      <c r="IFE9" s="239"/>
      <c r="IFF9" s="239"/>
      <c r="IFG9" s="239"/>
      <c r="IFH9" s="239"/>
      <c r="IFI9" s="239"/>
      <c r="IFJ9" s="239"/>
      <c r="IFK9" s="239"/>
      <c r="IFL9" s="239"/>
      <c r="IFM9" s="239"/>
      <c r="IFN9" s="239"/>
      <c r="IFO9" s="239"/>
      <c r="IFP9" s="239"/>
      <c r="IFQ9" s="239"/>
      <c r="IFR9" s="239"/>
      <c r="IFS9" s="239"/>
      <c r="IFT9" s="239"/>
      <c r="IFU9" s="239"/>
      <c r="IFV9" s="239"/>
      <c r="IFW9" s="239"/>
      <c r="IFX9" s="239"/>
      <c r="IFY9" s="239"/>
      <c r="IFZ9" s="239"/>
      <c r="IGA9" s="239"/>
      <c r="IGB9" s="239"/>
      <c r="IGC9" s="239"/>
      <c r="IGD9" s="239"/>
      <c r="IGE9" s="239"/>
      <c r="IGF9" s="239"/>
      <c r="IGG9" s="239"/>
      <c r="IGH9" s="239"/>
      <c r="IGI9" s="239"/>
      <c r="IGJ9" s="239"/>
      <c r="IGK9" s="239"/>
      <c r="IGL9" s="239"/>
      <c r="IGM9" s="239"/>
      <c r="IGN9" s="239"/>
      <c r="IGO9" s="239"/>
      <c r="IGP9" s="239"/>
      <c r="IGQ9" s="239"/>
      <c r="IGR9" s="239"/>
      <c r="IGS9" s="239"/>
      <c r="IGT9" s="239"/>
      <c r="IGU9" s="239"/>
      <c r="IGV9" s="239"/>
      <c r="IGW9" s="239"/>
      <c r="IGX9" s="239"/>
      <c r="IGY9" s="239"/>
      <c r="IGZ9" s="239"/>
      <c r="IHA9" s="239"/>
      <c r="IHB9" s="239"/>
      <c r="IHC9" s="239"/>
      <c r="IHD9" s="239"/>
      <c r="IHE9" s="239"/>
      <c r="IHF9" s="239"/>
      <c r="IHG9" s="239"/>
      <c r="IHH9" s="239"/>
      <c r="IHI9" s="239"/>
      <c r="IHJ9" s="239"/>
      <c r="IHK9" s="239"/>
      <c r="IHL9" s="239"/>
      <c r="IHM9" s="239"/>
      <c r="IHN9" s="239"/>
      <c r="IHO9" s="239"/>
      <c r="IHP9" s="239"/>
      <c r="IHQ9" s="239"/>
      <c r="IHR9" s="239"/>
      <c r="IHS9" s="239"/>
      <c r="IHT9" s="239"/>
      <c r="IHU9" s="239"/>
      <c r="IHV9" s="239"/>
      <c r="IHW9" s="239"/>
      <c r="IHX9" s="239"/>
      <c r="IHY9" s="239"/>
      <c r="IHZ9" s="239"/>
      <c r="IIA9" s="239"/>
      <c r="IIB9" s="239"/>
      <c r="IIC9" s="239"/>
      <c r="IID9" s="239"/>
      <c r="IIE9" s="239"/>
      <c r="IIF9" s="239"/>
      <c r="IIG9" s="239"/>
      <c r="IIH9" s="239"/>
      <c r="III9" s="239"/>
      <c r="IIJ9" s="239"/>
      <c r="IIK9" s="239"/>
      <c r="IIL9" s="239"/>
      <c r="IIM9" s="239"/>
      <c r="IIN9" s="239"/>
      <c r="IIO9" s="239"/>
      <c r="IIP9" s="239"/>
      <c r="IIQ9" s="239"/>
      <c r="IIR9" s="239"/>
      <c r="IIS9" s="239"/>
      <c r="IIT9" s="239"/>
      <c r="IIU9" s="239"/>
      <c r="IIV9" s="239"/>
      <c r="IIW9" s="239"/>
      <c r="IIX9" s="239"/>
      <c r="IIY9" s="239"/>
      <c r="IIZ9" s="239"/>
      <c r="IJA9" s="239"/>
      <c r="IJB9" s="239"/>
      <c r="IJC9" s="239"/>
      <c r="IJD9" s="239"/>
      <c r="IJE9" s="239"/>
      <c r="IJF9" s="239"/>
      <c r="IJG9" s="239"/>
      <c r="IJH9" s="239"/>
      <c r="IJI9" s="239"/>
      <c r="IJJ9" s="239"/>
      <c r="IJK9" s="239"/>
      <c r="IJL9" s="239"/>
      <c r="IJM9" s="239"/>
      <c r="IJN9" s="239"/>
      <c r="IJO9" s="239"/>
      <c r="IJP9" s="239"/>
      <c r="IJQ9" s="239"/>
      <c r="IJR9" s="239"/>
      <c r="IJS9" s="239"/>
      <c r="IJT9" s="239"/>
      <c r="IJU9" s="239"/>
      <c r="IJV9" s="239"/>
      <c r="IJW9" s="239"/>
      <c r="IJX9" s="239"/>
      <c r="IJY9" s="239"/>
      <c r="IJZ9" s="239"/>
      <c r="IKA9" s="239"/>
      <c r="IKB9" s="239"/>
      <c r="IKC9" s="239"/>
      <c r="IKD9" s="239"/>
      <c r="IKE9" s="239"/>
      <c r="IKF9" s="239"/>
      <c r="IKG9" s="239"/>
      <c r="IKH9" s="239"/>
      <c r="IKI9" s="239"/>
      <c r="IKJ9" s="239"/>
      <c r="IKK9" s="239"/>
      <c r="IKL9" s="239"/>
      <c r="IKM9" s="239"/>
      <c r="IKN9" s="239"/>
      <c r="IKO9" s="239"/>
      <c r="IKP9" s="239"/>
      <c r="IKQ9" s="239"/>
      <c r="IKR9" s="239"/>
      <c r="IKS9" s="239"/>
      <c r="IKT9" s="239"/>
      <c r="IKU9" s="239"/>
      <c r="IKV9" s="239"/>
      <c r="IKW9" s="239"/>
      <c r="IKX9" s="239"/>
      <c r="IKY9" s="239"/>
      <c r="IKZ9" s="239"/>
      <c r="ILA9" s="239"/>
      <c r="ILB9" s="239"/>
      <c r="ILC9" s="239"/>
      <c r="ILD9" s="239"/>
      <c r="ILE9" s="239"/>
      <c r="ILF9" s="239"/>
      <c r="ILG9" s="239"/>
      <c r="ILH9" s="239"/>
      <c r="ILI9" s="239"/>
      <c r="ILJ9" s="239"/>
      <c r="ILK9" s="239"/>
      <c r="ILL9" s="239"/>
      <c r="ILM9" s="239"/>
      <c r="ILN9" s="239"/>
      <c r="ILO9" s="239"/>
      <c r="ILP9" s="239"/>
      <c r="ILQ9" s="239"/>
      <c r="ILR9" s="239"/>
      <c r="ILS9" s="239"/>
      <c r="ILT9" s="239"/>
      <c r="ILU9" s="239"/>
      <c r="ILV9" s="239"/>
      <c r="ILW9" s="239"/>
      <c r="ILX9" s="239"/>
      <c r="ILY9" s="239"/>
      <c r="ILZ9" s="239"/>
      <c r="IMA9" s="239"/>
      <c r="IMB9" s="239"/>
      <c r="IMC9" s="239"/>
      <c r="IMD9" s="239"/>
      <c r="IME9" s="239"/>
      <c r="IMF9" s="239"/>
      <c r="IMG9" s="239"/>
      <c r="IMH9" s="239"/>
      <c r="IMI9" s="239"/>
      <c r="IMJ9" s="239"/>
      <c r="IMK9" s="239"/>
      <c r="IML9" s="239"/>
      <c r="IMM9" s="239"/>
      <c r="IMN9" s="239"/>
      <c r="IMO9" s="239"/>
      <c r="IMP9" s="239"/>
      <c r="IMQ9" s="239"/>
      <c r="IMR9" s="239"/>
      <c r="IMS9" s="239"/>
      <c r="IMT9" s="239"/>
      <c r="IMU9" s="239"/>
      <c r="IMV9" s="239"/>
      <c r="IMW9" s="239"/>
      <c r="IMX9" s="239"/>
      <c r="IMY9" s="239"/>
      <c r="IMZ9" s="239"/>
      <c r="INA9" s="239"/>
      <c r="INB9" s="239"/>
      <c r="INC9" s="239"/>
      <c r="IND9" s="239"/>
      <c r="INE9" s="239"/>
      <c r="INF9" s="239"/>
      <c r="ING9" s="239"/>
      <c r="INH9" s="239"/>
      <c r="INI9" s="239"/>
      <c r="INJ9" s="239"/>
      <c r="INK9" s="239"/>
      <c r="INL9" s="239"/>
      <c r="INM9" s="239"/>
      <c r="INN9" s="239"/>
      <c r="INO9" s="239"/>
      <c r="INP9" s="239"/>
      <c r="INQ9" s="239"/>
      <c r="INR9" s="239"/>
      <c r="INS9" s="239"/>
      <c r="INT9" s="239"/>
      <c r="INU9" s="239"/>
      <c r="INV9" s="239"/>
      <c r="INW9" s="239"/>
      <c r="INX9" s="239"/>
      <c r="INY9" s="239"/>
      <c r="INZ9" s="239"/>
      <c r="IOA9" s="239"/>
      <c r="IOB9" s="239"/>
      <c r="IOC9" s="239"/>
      <c r="IOD9" s="239"/>
      <c r="IOE9" s="239"/>
      <c r="IOF9" s="239"/>
      <c r="IOG9" s="239"/>
      <c r="IOH9" s="239"/>
      <c r="IOI9" s="239"/>
      <c r="IOJ9" s="239"/>
      <c r="IOK9" s="239"/>
      <c r="IOL9" s="239"/>
      <c r="IOM9" s="239"/>
      <c r="ION9" s="239"/>
      <c r="IOO9" s="239"/>
      <c r="IOP9" s="239"/>
      <c r="IOQ9" s="239"/>
      <c r="IOR9" s="239"/>
      <c r="IOS9" s="239"/>
      <c r="IOT9" s="239"/>
      <c r="IOU9" s="239"/>
      <c r="IOV9" s="239"/>
      <c r="IOW9" s="239"/>
      <c r="IOX9" s="239"/>
      <c r="IOY9" s="239"/>
      <c r="IOZ9" s="239"/>
      <c r="IPA9" s="239"/>
      <c r="IPB9" s="239"/>
      <c r="IPC9" s="239"/>
      <c r="IPD9" s="239"/>
      <c r="IPE9" s="239"/>
      <c r="IPF9" s="239"/>
      <c r="IPG9" s="239"/>
      <c r="IPH9" s="239"/>
      <c r="IPI9" s="239"/>
      <c r="IPJ9" s="239"/>
      <c r="IPK9" s="239"/>
      <c r="IPL9" s="239"/>
      <c r="IPM9" s="239"/>
      <c r="IPN9" s="239"/>
      <c r="IPO9" s="239"/>
      <c r="IPP9" s="239"/>
      <c r="IPQ9" s="239"/>
      <c r="IPR9" s="239"/>
      <c r="IPS9" s="239"/>
      <c r="IPT9" s="239"/>
      <c r="IPU9" s="239"/>
      <c r="IPV9" s="239"/>
      <c r="IPW9" s="239"/>
      <c r="IPX9" s="239"/>
      <c r="IPY9" s="239"/>
      <c r="IPZ9" s="239"/>
      <c r="IQA9" s="239"/>
      <c r="IQB9" s="239"/>
      <c r="IQC9" s="239"/>
      <c r="IQD9" s="239"/>
      <c r="IQE9" s="239"/>
      <c r="IQF9" s="239"/>
      <c r="IQG9" s="239"/>
      <c r="IQH9" s="239"/>
      <c r="IQI9" s="239"/>
      <c r="IQJ9" s="239"/>
      <c r="IQK9" s="239"/>
      <c r="IQL9" s="239"/>
      <c r="IQM9" s="239"/>
      <c r="IQN9" s="239"/>
      <c r="IQO9" s="239"/>
      <c r="IQP9" s="239"/>
      <c r="IQQ9" s="239"/>
      <c r="IQR9" s="239"/>
      <c r="IQS9" s="239"/>
      <c r="IQT9" s="239"/>
      <c r="IQU9" s="239"/>
      <c r="IQV9" s="239"/>
      <c r="IQW9" s="239"/>
      <c r="IQX9" s="239"/>
      <c r="IQY9" s="239"/>
      <c r="IQZ9" s="239"/>
      <c r="IRA9" s="239"/>
      <c r="IRB9" s="239"/>
      <c r="IRC9" s="239"/>
      <c r="IRD9" s="239"/>
      <c r="IRE9" s="239"/>
      <c r="IRF9" s="239"/>
      <c r="IRG9" s="239"/>
      <c r="IRH9" s="239"/>
      <c r="IRI9" s="239"/>
      <c r="IRJ9" s="239"/>
      <c r="IRK9" s="239"/>
      <c r="IRL9" s="239"/>
      <c r="IRM9" s="239"/>
      <c r="IRN9" s="239"/>
      <c r="IRO9" s="239"/>
      <c r="IRP9" s="239"/>
      <c r="IRQ9" s="239"/>
      <c r="IRR9" s="239"/>
      <c r="IRS9" s="239"/>
      <c r="IRT9" s="239"/>
      <c r="IRU9" s="239"/>
      <c r="IRV9" s="239"/>
      <c r="IRW9" s="239"/>
      <c r="IRX9" s="239"/>
      <c r="IRY9" s="239"/>
      <c r="IRZ9" s="239"/>
      <c r="ISA9" s="239"/>
      <c r="ISB9" s="239"/>
      <c r="ISC9" s="239"/>
      <c r="ISD9" s="239"/>
      <c r="ISE9" s="239"/>
      <c r="ISF9" s="239"/>
      <c r="ISG9" s="239"/>
      <c r="ISH9" s="239"/>
      <c r="ISI9" s="239"/>
      <c r="ISJ9" s="239"/>
      <c r="ISK9" s="239"/>
      <c r="ISL9" s="239"/>
      <c r="ISM9" s="239"/>
      <c r="ISN9" s="239"/>
      <c r="ISO9" s="239"/>
      <c r="ISP9" s="239"/>
      <c r="ISQ9" s="239"/>
      <c r="ISR9" s="239"/>
      <c r="ISS9" s="239"/>
      <c r="IST9" s="239"/>
      <c r="ISU9" s="239"/>
      <c r="ISV9" s="239"/>
      <c r="ISW9" s="239"/>
      <c r="ISX9" s="239"/>
      <c r="ISY9" s="239"/>
      <c r="ISZ9" s="239"/>
      <c r="ITA9" s="239"/>
      <c r="ITB9" s="239"/>
      <c r="ITC9" s="239"/>
      <c r="ITD9" s="239"/>
      <c r="ITE9" s="239"/>
      <c r="ITF9" s="239"/>
      <c r="ITG9" s="239"/>
      <c r="ITH9" s="239"/>
      <c r="ITI9" s="239"/>
      <c r="ITJ9" s="239"/>
      <c r="ITK9" s="239"/>
      <c r="ITL9" s="239"/>
      <c r="ITM9" s="239"/>
      <c r="ITN9" s="239"/>
      <c r="ITO9" s="239"/>
      <c r="ITP9" s="239"/>
      <c r="ITQ9" s="239"/>
      <c r="ITR9" s="239"/>
      <c r="ITS9" s="239"/>
      <c r="ITT9" s="239"/>
      <c r="ITU9" s="239"/>
      <c r="ITV9" s="239"/>
      <c r="ITW9" s="239"/>
      <c r="ITX9" s="239"/>
      <c r="ITY9" s="239"/>
      <c r="ITZ9" s="239"/>
      <c r="IUA9" s="239"/>
      <c r="IUB9" s="239"/>
      <c r="IUC9" s="239"/>
      <c r="IUD9" s="239"/>
      <c r="IUE9" s="239"/>
      <c r="IUF9" s="239"/>
      <c r="IUG9" s="239"/>
      <c r="IUH9" s="239"/>
      <c r="IUI9" s="239"/>
      <c r="IUJ9" s="239"/>
      <c r="IUK9" s="239"/>
      <c r="IUL9" s="239"/>
      <c r="IUM9" s="239"/>
      <c r="IUN9" s="239"/>
      <c r="IUO9" s="239"/>
      <c r="IUP9" s="239"/>
      <c r="IUQ9" s="239"/>
      <c r="IUR9" s="239"/>
      <c r="IUS9" s="239"/>
      <c r="IUT9" s="239"/>
      <c r="IUU9" s="239"/>
      <c r="IUV9" s="239"/>
      <c r="IUW9" s="239"/>
      <c r="IUX9" s="239"/>
      <c r="IUY9" s="239"/>
      <c r="IUZ9" s="239"/>
      <c r="IVA9" s="239"/>
      <c r="IVB9" s="239"/>
      <c r="IVC9" s="239"/>
      <c r="IVD9" s="239"/>
      <c r="IVE9" s="239"/>
      <c r="IVF9" s="239"/>
      <c r="IVG9" s="239"/>
      <c r="IVH9" s="239"/>
      <c r="IVI9" s="239"/>
      <c r="IVJ9" s="239"/>
      <c r="IVK9" s="239"/>
      <c r="IVL9" s="239"/>
      <c r="IVM9" s="239"/>
      <c r="IVN9" s="239"/>
      <c r="IVO9" s="239"/>
      <c r="IVP9" s="239"/>
      <c r="IVQ9" s="239"/>
      <c r="IVR9" s="239"/>
      <c r="IVS9" s="239"/>
      <c r="IVT9" s="239"/>
      <c r="IVU9" s="239"/>
      <c r="IVV9" s="239"/>
      <c r="IVW9" s="239"/>
      <c r="IVX9" s="239"/>
      <c r="IVY9" s="239"/>
      <c r="IVZ9" s="239"/>
      <c r="IWA9" s="239"/>
      <c r="IWB9" s="239"/>
      <c r="IWC9" s="239"/>
      <c r="IWD9" s="239"/>
      <c r="IWE9" s="239"/>
      <c r="IWF9" s="239"/>
      <c r="IWG9" s="239"/>
      <c r="IWH9" s="239"/>
      <c r="IWI9" s="239"/>
      <c r="IWJ9" s="239"/>
      <c r="IWK9" s="239"/>
      <c r="IWL9" s="239"/>
      <c r="IWM9" s="239"/>
      <c r="IWN9" s="239"/>
      <c r="IWO9" s="239"/>
      <c r="IWP9" s="239"/>
      <c r="IWQ9" s="239"/>
      <c r="IWR9" s="239"/>
      <c r="IWS9" s="239"/>
      <c r="IWT9" s="239"/>
      <c r="IWU9" s="239"/>
      <c r="IWV9" s="239"/>
      <c r="IWW9" s="239"/>
      <c r="IWX9" s="239"/>
      <c r="IWY9" s="239"/>
      <c r="IWZ9" s="239"/>
      <c r="IXA9" s="239"/>
      <c r="IXB9" s="239"/>
      <c r="IXC9" s="239"/>
      <c r="IXD9" s="239"/>
      <c r="IXE9" s="239"/>
      <c r="IXF9" s="239"/>
      <c r="IXG9" s="239"/>
      <c r="IXH9" s="239"/>
      <c r="IXI9" s="239"/>
      <c r="IXJ9" s="239"/>
      <c r="IXK9" s="239"/>
      <c r="IXL9" s="239"/>
      <c r="IXM9" s="239"/>
      <c r="IXN9" s="239"/>
      <c r="IXO9" s="239"/>
      <c r="IXP9" s="239"/>
      <c r="IXQ9" s="239"/>
      <c r="IXR9" s="239"/>
      <c r="IXS9" s="239"/>
      <c r="IXT9" s="239"/>
      <c r="IXU9" s="239"/>
      <c r="IXV9" s="239"/>
      <c r="IXW9" s="239"/>
      <c r="IXX9" s="239"/>
      <c r="IXY9" s="239"/>
      <c r="IXZ9" s="239"/>
      <c r="IYA9" s="239"/>
      <c r="IYB9" s="239"/>
      <c r="IYC9" s="239"/>
      <c r="IYD9" s="239"/>
      <c r="IYE9" s="239"/>
      <c r="IYF9" s="239"/>
      <c r="IYG9" s="239"/>
      <c r="IYH9" s="239"/>
      <c r="IYI9" s="239"/>
      <c r="IYJ9" s="239"/>
      <c r="IYK9" s="239"/>
      <c r="IYL9" s="239"/>
      <c r="IYM9" s="239"/>
      <c r="IYN9" s="239"/>
      <c r="IYO9" s="239"/>
      <c r="IYP9" s="239"/>
      <c r="IYQ9" s="239"/>
      <c r="IYR9" s="239"/>
      <c r="IYS9" s="239"/>
      <c r="IYT9" s="239"/>
      <c r="IYU9" s="239"/>
      <c r="IYV9" s="239"/>
      <c r="IYW9" s="239"/>
      <c r="IYX9" s="239"/>
      <c r="IYY9" s="239"/>
      <c r="IYZ9" s="239"/>
      <c r="IZA9" s="239"/>
      <c r="IZB9" s="239"/>
      <c r="IZC9" s="239"/>
      <c r="IZD9" s="239"/>
      <c r="IZE9" s="239"/>
      <c r="IZF9" s="239"/>
      <c r="IZG9" s="239"/>
      <c r="IZH9" s="239"/>
      <c r="IZI9" s="239"/>
      <c r="IZJ9" s="239"/>
      <c r="IZK9" s="239"/>
      <c r="IZL9" s="239"/>
      <c r="IZM9" s="239"/>
      <c r="IZN9" s="239"/>
      <c r="IZO9" s="239"/>
      <c r="IZP9" s="239"/>
      <c r="IZQ9" s="239"/>
      <c r="IZR9" s="239"/>
      <c r="IZS9" s="239"/>
      <c r="IZT9" s="239"/>
      <c r="IZU9" s="239"/>
      <c r="IZV9" s="239"/>
      <c r="IZW9" s="239"/>
      <c r="IZX9" s="239"/>
      <c r="IZY9" s="239"/>
      <c r="IZZ9" s="239"/>
      <c r="JAA9" s="239"/>
      <c r="JAB9" s="239"/>
      <c r="JAC9" s="239"/>
      <c r="JAD9" s="239"/>
      <c r="JAE9" s="239"/>
      <c r="JAF9" s="239"/>
      <c r="JAG9" s="239"/>
      <c r="JAH9" s="239"/>
      <c r="JAI9" s="239"/>
      <c r="JAJ9" s="239"/>
      <c r="JAK9" s="239"/>
      <c r="JAL9" s="239"/>
      <c r="JAM9" s="239"/>
      <c r="JAN9" s="239"/>
      <c r="JAO9" s="239"/>
      <c r="JAP9" s="239"/>
      <c r="JAQ9" s="239"/>
      <c r="JAR9" s="239"/>
      <c r="JAS9" s="239"/>
      <c r="JAT9" s="239"/>
      <c r="JAU9" s="239"/>
      <c r="JAV9" s="239"/>
      <c r="JAW9" s="239"/>
      <c r="JAX9" s="239"/>
      <c r="JAY9" s="239"/>
      <c r="JAZ9" s="239"/>
      <c r="JBA9" s="239"/>
      <c r="JBB9" s="239"/>
      <c r="JBC9" s="239"/>
      <c r="JBD9" s="239"/>
      <c r="JBE9" s="239"/>
      <c r="JBF9" s="239"/>
      <c r="JBG9" s="239"/>
      <c r="JBH9" s="239"/>
      <c r="JBI9" s="239"/>
      <c r="JBJ9" s="239"/>
      <c r="JBK9" s="239"/>
      <c r="JBL9" s="239"/>
      <c r="JBM9" s="239"/>
      <c r="JBN9" s="239"/>
      <c r="JBO9" s="239"/>
      <c r="JBP9" s="239"/>
      <c r="JBQ9" s="239"/>
      <c r="JBR9" s="239"/>
      <c r="JBS9" s="239"/>
      <c r="JBT9" s="239"/>
      <c r="JBU9" s="239"/>
      <c r="JBV9" s="239"/>
      <c r="JBW9" s="239"/>
      <c r="JBX9" s="239"/>
      <c r="JBY9" s="239"/>
      <c r="JBZ9" s="239"/>
      <c r="JCA9" s="239"/>
      <c r="JCB9" s="239"/>
      <c r="JCC9" s="239"/>
      <c r="JCD9" s="239"/>
      <c r="JCE9" s="239"/>
      <c r="JCF9" s="239"/>
      <c r="JCG9" s="239"/>
      <c r="JCH9" s="239"/>
      <c r="JCI9" s="239"/>
      <c r="JCJ9" s="239"/>
      <c r="JCK9" s="239"/>
      <c r="JCL9" s="239"/>
      <c r="JCM9" s="239"/>
      <c r="JCN9" s="239"/>
      <c r="JCO9" s="239"/>
      <c r="JCP9" s="239"/>
      <c r="JCQ9" s="239"/>
      <c r="JCR9" s="239"/>
      <c r="JCS9" s="239"/>
      <c r="JCT9" s="239"/>
      <c r="JCU9" s="239"/>
      <c r="JCV9" s="239"/>
      <c r="JCW9" s="239"/>
      <c r="JCX9" s="239"/>
      <c r="JCY9" s="239"/>
      <c r="JCZ9" s="239"/>
      <c r="JDA9" s="239"/>
      <c r="JDB9" s="239"/>
      <c r="JDC9" s="239"/>
      <c r="JDD9" s="239"/>
      <c r="JDE9" s="239"/>
      <c r="JDF9" s="239"/>
      <c r="JDG9" s="239"/>
      <c r="JDH9" s="239"/>
      <c r="JDI9" s="239"/>
      <c r="JDJ9" s="239"/>
      <c r="JDK9" s="239"/>
      <c r="JDL9" s="239"/>
      <c r="JDM9" s="239"/>
      <c r="JDN9" s="239"/>
      <c r="JDO9" s="239"/>
      <c r="JDP9" s="239"/>
      <c r="JDQ9" s="239"/>
      <c r="JDR9" s="239"/>
      <c r="JDS9" s="239"/>
      <c r="JDT9" s="239"/>
      <c r="JDU9" s="239"/>
      <c r="JDV9" s="239"/>
      <c r="JDW9" s="239"/>
      <c r="JDX9" s="239"/>
      <c r="JDY9" s="239"/>
      <c r="JDZ9" s="239"/>
      <c r="JEA9" s="239"/>
      <c r="JEB9" s="239"/>
      <c r="JEC9" s="239"/>
      <c r="JED9" s="239"/>
      <c r="JEE9" s="239"/>
      <c r="JEF9" s="239"/>
      <c r="JEG9" s="239"/>
      <c r="JEH9" s="239"/>
      <c r="JEI9" s="239"/>
      <c r="JEJ9" s="239"/>
      <c r="JEK9" s="239"/>
      <c r="JEL9" s="239"/>
      <c r="JEM9" s="239"/>
      <c r="JEN9" s="239"/>
      <c r="JEO9" s="239"/>
      <c r="JEP9" s="239"/>
      <c r="JEQ9" s="239"/>
      <c r="JER9" s="239"/>
      <c r="JES9" s="239"/>
      <c r="JET9" s="239"/>
      <c r="JEU9" s="239"/>
      <c r="JEV9" s="239"/>
      <c r="JEW9" s="239"/>
      <c r="JEX9" s="239"/>
      <c r="JEY9" s="239"/>
      <c r="JEZ9" s="239"/>
      <c r="JFA9" s="239"/>
      <c r="JFB9" s="239"/>
      <c r="JFC9" s="239"/>
      <c r="JFD9" s="239"/>
      <c r="JFE9" s="239"/>
      <c r="JFF9" s="239"/>
      <c r="JFG9" s="239"/>
      <c r="JFH9" s="239"/>
      <c r="JFI9" s="239"/>
      <c r="JFJ9" s="239"/>
      <c r="JFK9" s="239"/>
      <c r="JFL9" s="239"/>
      <c r="JFM9" s="239"/>
      <c r="JFN9" s="239"/>
      <c r="JFO9" s="239"/>
      <c r="JFP9" s="239"/>
      <c r="JFQ9" s="239"/>
      <c r="JFR9" s="239"/>
      <c r="JFS9" s="239"/>
      <c r="JFT9" s="239"/>
      <c r="JFU9" s="239"/>
      <c r="JFV9" s="239"/>
      <c r="JFW9" s="239"/>
      <c r="JFX9" s="239"/>
      <c r="JFY9" s="239"/>
      <c r="JFZ9" s="239"/>
      <c r="JGA9" s="239"/>
      <c r="JGB9" s="239"/>
      <c r="JGC9" s="239"/>
      <c r="JGD9" s="239"/>
      <c r="JGE9" s="239"/>
      <c r="JGF9" s="239"/>
      <c r="JGG9" s="239"/>
      <c r="JGH9" s="239"/>
      <c r="JGI9" s="239"/>
      <c r="JGJ9" s="239"/>
      <c r="JGK9" s="239"/>
      <c r="JGL9" s="239"/>
      <c r="JGM9" s="239"/>
      <c r="JGN9" s="239"/>
      <c r="JGO9" s="239"/>
      <c r="JGP9" s="239"/>
      <c r="JGQ9" s="239"/>
      <c r="JGR9" s="239"/>
      <c r="JGS9" s="239"/>
      <c r="JGT9" s="239"/>
      <c r="JGU9" s="239"/>
      <c r="JGV9" s="239"/>
      <c r="JGW9" s="239"/>
      <c r="JGX9" s="239"/>
      <c r="JGY9" s="239"/>
      <c r="JGZ9" s="239"/>
      <c r="JHA9" s="239"/>
      <c r="JHB9" s="239"/>
      <c r="JHC9" s="239"/>
      <c r="JHD9" s="239"/>
      <c r="JHE9" s="239"/>
      <c r="JHF9" s="239"/>
      <c r="JHG9" s="239"/>
      <c r="JHH9" s="239"/>
      <c r="JHI9" s="239"/>
      <c r="JHJ9" s="239"/>
      <c r="JHK9" s="239"/>
      <c r="JHL9" s="239"/>
      <c r="JHM9" s="239"/>
      <c r="JHN9" s="239"/>
      <c r="JHO9" s="239"/>
      <c r="JHP9" s="239"/>
      <c r="JHQ9" s="239"/>
      <c r="JHR9" s="239"/>
      <c r="JHS9" s="239"/>
      <c r="JHT9" s="239"/>
      <c r="JHU9" s="239"/>
      <c r="JHV9" s="239"/>
      <c r="JHW9" s="239"/>
      <c r="JHX9" s="239"/>
      <c r="JHY9" s="239"/>
      <c r="JHZ9" s="239"/>
      <c r="JIA9" s="239"/>
      <c r="JIB9" s="239"/>
      <c r="JIC9" s="239"/>
      <c r="JID9" s="239"/>
      <c r="JIE9" s="239"/>
      <c r="JIF9" s="239"/>
      <c r="JIG9" s="239"/>
      <c r="JIH9" s="239"/>
      <c r="JII9" s="239"/>
      <c r="JIJ9" s="239"/>
      <c r="JIK9" s="239"/>
      <c r="JIL9" s="239"/>
      <c r="JIM9" s="239"/>
      <c r="JIN9" s="239"/>
      <c r="JIO9" s="239"/>
      <c r="JIP9" s="239"/>
      <c r="JIQ9" s="239"/>
      <c r="JIR9" s="239"/>
      <c r="JIS9" s="239"/>
      <c r="JIT9" s="239"/>
      <c r="JIU9" s="239"/>
      <c r="JIV9" s="239"/>
      <c r="JIW9" s="239"/>
      <c r="JIX9" s="239"/>
      <c r="JIY9" s="239"/>
      <c r="JIZ9" s="239"/>
      <c r="JJA9" s="239"/>
      <c r="JJB9" s="239"/>
      <c r="JJC9" s="239"/>
      <c r="JJD9" s="239"/>
      <c r="JJE9" s="239"/>
      <c r="JJF9" s="239"/>
      <c r="JJG9" s="239"/>
      <c r="JJH9" s="239"/>
      <c r="JJI9" s="239"/>
      <c r="JJJ9" s="239"/>
      <c r="JJK9" s="239"/>
      <c r="JJL9" s="239"/>
      <c r="JJM9" s="239"/>
      <c r="JJN9" s="239"/>
      <c r="JJO9" s="239"/>
      <c r="JJP9" s="239"/>
      <c r="JJQ9" s="239"/>
      <c r="JJR9" s="239"/>
      <c r="JJS9" s="239"/>
      <c r="JJT9" s="239"/>
      <c r="JJU9" s="239"/>
      <c r="JJV9" s="239"/>
      <c r="JJW9" s="239"/>
      <c r="JJX9" s="239"/>
      <c r="JJY9" s="239"/>
      <c r="JJZ9" s="239"/>
      <c r="JKA9" s="239"/>
      <c r="JKB9" s="239"/>
      <c r="JKC9" s="239"/>
      <c r="JKD9" s="239"/>
      <c r="JKE9" s="239"/>
      <c r="JKF9" s="239"/>
      <c r="JKG9" s="239"/>
      <c r="JKH9" s="239"/>
      <c r="JKI9" s="239"/>
      <c r="JKJ9" s="239"/>
      <c r="JKK9" s="239"/>
      <c r="JKL9" s="239"/>
      <c r="JKM9" s="239"/>
      <c r="JKN9" s="239"/>
      <c r="JKO9" s="239"/>
      <c r="JKP9" s="239"/>
      <c r="JKQ9" s="239"/>
      <c r="JKR9" s="239"/>
      <c r="JKS9" s="239"/>
      <c r="JKT9" s="239"/>
      <c r="JKU9" s="239"/>
      <c r="JKV9" s="239"/>
      <c r="JKW9" s="239"/>
      <c r="JKX9" s="239"/>
      <c r="JKY9" s="239"/>
      <c r="JKZ9" s="239"/>
      <c r="JLA9" s="239"/>
      <c r="JLB9" s="239"/>
      <c r="JLC9" s="239"/>
      <c r="JLD9" s="239"/>
      <c r="JLE9" s="239"/>
      <c r="JLF9" s="239"/>
      <c r="JLG9" s="239"/>
      <c r="JLH9" s="239"/>
      <c r="JLI9" s="239"/>
      <c r="JLJ9" s="239"/>
      <c r="JLK9" s="239"/>
      <c r="JLL9" s="239"/>
      <c r="JLM9" s="239"/>
      <c r="JLN9" s="239"/>
      <c r="JLO9" s="239"/>
      <c r="JLP9" s="239"/>
      <c r="JLQ9" s="239"/>
      <c r="JLR9" s="239"/>
      <c r="JLS9" s="239"/>
      <c r="JLT9" s="239"/>
      <c r="JLU9" s="239"/>
      <c r="JLV9" s="239"/>
      <c r="JLW9" s="239"/>
      <c r="JLX9" s="239"/>
      <c r="JLY9" s="239"/>
      <c r="JLZ9" s="239"/>
      <c r="JMA9" s="239"/>
      <c r="JMB9" s="239"/>
      <c r="JMC9" s="239"/>
      <c r="JMD9" s="239"/>
      <c r="JME9" s="239"/>
      <c r="JMF9" s="239"/>
      <c r="JMG9" s="239"/>
      <c r="JMH9" s="239"/>
      <c r="JMI9" s="239"/>
      <c r="JMJ9" s="239"/>
      <c r="JMK9" s="239"/>
      <c r="JML9" s="239"/>
      <c r="JMM9" s="239"/>
      <c r="JMN9" s="239"/>
      <c r="JMO9" s="239"/>
      <c r="JMP9" s="239"/>
      <c r="JMQ9" s="239"/>
      <c r="JMR9" s="239"/>
      <c r="JMS9" s="239"/>
      <c r="JMT9" s="239"/>
      <c r="JMU9" s="239"/>
      <c r="JMV9" s="239"/>
      <c r="JMW9" s="239"/>
      <c r="JMX9" s="239"/>
      <c r="JMY9" s="239"/>
      <c r="JMZ9" s="239"/>
      <c r="JNA9" s="239"/>
      <c r="JNB9" s="239"/>
      <c r="JNC9" s="239"/>
      <c r="JND9" s="239"/>
      <c r="JNE9" s="239"/>
      <c r="JNF9" s="239"/>
      <c r="JNG9" s="239"/>
      <c r="JNH9" s="239"/>
      <c r="JNI9" s="239"/>
      <c r="JNJ9" s="239"/>
      <c r="JNK9" s="239"/>
      <c r="JNL9" s="239"/>
      <c r="JNM9" s="239"/>
      <c r="JNN9" s="239"/>
      <c r="JNO9" s="239"/>
      <c r="JNP9" s="239"/>
      <c r="JNQ9" s="239"/>
      <c r="JNR9" s="239"/>
      <c r="JNS9" s="239"/>
      <c r="JNT9" s="239"/>
      <c r="JNU9" s="239"/>
      <c r="JNV9" s="239"/>
      <c r="JNW9" s="239"/>
      <c r="JNX9" s="239"/>
      <c r="JNY9" s="239"/>
      <c r="JNZ9" s="239"/>
      <c r="JOA9" s="239"/>
      <c r="JOB9" s="239"/>
      <c r="JOC9" s="239"/>
      <c r="JOD9" s="239"/>
      <c r="JOE9" s="239"/>
      <c r="JOF9" s="239"/>
      <c r="JOG9" s="239"/>
      <c r="JOH9" s="239"/>
      <c r="JOI9" s="239"/>
      <c r="JOJ9" s="239"/>
      <c r="JOK9" s="239"/>
      <c r="JOL9" s="239"/>
      <c r="JOM9" s="239"/>
      <c r="JON9" s="239"/>
      <c r="JOO9" s="239"/>
      <c r="JOP9" s="239"/>
      <c r="JOQ9" s="239"/>
      <c r="JOR9" s="239"/>
      <c r="JOS9" s="239"/>
      <c r="JOT9" s="239"/>
      <c r="JOU9" s="239"/>
      <c r="JOV9" s="239"/>
      <c r="JOW9" s="239"/>
      <c r="JOX9" s="239"/>
      <c r="JOY9" s="239"/>
      <c r="JOZ9" s="239"/>
      <c r="JPA9" s="239"/>
      <c r="JPB9" s="239"/>
      <c r="JPC9" s="239"/>
      <c r="JPD9" s="239"/>
      <c r="JPE9" s="239"/>
      <c r="JPF9" s="239"/>
      <c r="JPG9" s="239"/>
      <c r="JPH9" s="239"/>
      <c r="JPI9" s="239"/>
      <c r="JPJ9" s="239"/>
      <c r="JPK9" s="239"/>
      <c r="JPL9" s="239"/>
      <c r="JPM9" s="239"/>
      <c r="JPN9" s="239"/>
      <c r="JPO9" s="239"/>
      <c r="JPP9" s="239"/>
      <c r="JPQ9" s="239"/>
      <c r="JPR9" s="239"/>
      <c r="JPS9" s="239"/>
      <c r="JPT9" s="239"/>
      <c r="JPU9" s="239"/>
      <c r="JPV9" s="239"/>
      <c r="JPW9" s="239"/>
      <c r="JPX9" s="239"/>
      <c r="JPY9" s="239"/>
      <c r="JPZ9" s="239"/>
      <c r="JQA9" s="239"/>
      <c r="JQB9" s="239"/>
      <c r="JQC9" s="239"/>
      <c r="JQD9" s="239"/>
      <c r="JQE9" s="239"/>
      <c r="JQF9" s="239"/>
      <c r="JQG9" s="239"/>
      <c r="JQH9" s="239"/>
      <c r="JQI9" s="239"/>
      <c r="JQJ9" s="239"/>
      <c r="JQK9" s="239"/>
      <c r="JQL9" s="239"/>
      <c r="JQM9" s="239"/>
      <c r="JQN9" s="239"/>
      <c r="JQO9" s="239"/>
      <c r="JQP9" s="239"/>
      <c r="JQQ9" s="239"/>
      <c r="JQR9" s="239"/>
      <c r="JQS9" s="239"/>
      <c r="JQT9" s="239"/>
      <c r="JQU9" s="239"/>
      <c r="JQV9" s="239"/>
      <c r="JQW9" s="239"/>
      <c r="JQX9" s="239"/>
      <c r="JQY9" s="239"/>
      <c r="JQZ9" s="239"/>
      <c r="JRA9" s="239"/>
      <c r="JRB9" s="239"/>
      <c r="JRC9" s="239"/>
      <c r="JRD9" s="239"/>
      <c r="JRE9" s="239"/>
      <c r="JRF9" s="239"/>
      <c r="JRG9" s="239"/>
      <c r="JRH9" s="239"/>
      <c r="JRI9" s="239"/>
      <c r="JRJ9" s="239"/>
      <c r="JRK9" s="239"/>
      <c r="JRL9" s="239"/>
      <c r="JRM9" s="239"/>
      <c r="JRN9" s="239"/>
      <c r="JRO9" s="239"/>
      <c r="JRP9" s="239"/>
      <c r="JRQ9" s="239"/>
      <c r="JRR9" s="239"/>
      <c r="JRS9" s="239"/>
      <c r="JRT9" s="239"/>
      <c r="JRU9" s="239"/>
      <c r="JRV9" s="239"/>
      <c r="JRW9" s="239"/>
      <c r="JRX9" s="239"/>
      <c r="JRY9" s="239"/>
      <c r="JRZ9" s="239"/>
      <c r="JSA9" s="239"/>
      <c r="JSB9" s="239"/>
      <c r="JSC9" s="239"/>
      <c r="JSD9" s="239"/>
      <c r="JSE9" s="239"/>
      <c r="JSF9" s="239"/>
      <c r="JSG9" s="239"/>
      <c r="JSH9" s="239"/>
      <c r="JSI9" s="239"/>
      <c r="JSJ9" s="239"/>
      <c r="JSK9" s="239"/>
      <c r="JSL9" s="239"/>
      <c r="JSM9" s="239"/>
      <c r="JSN9" s="239"/>
      <c r="JSO9" s="239"/>
      <c r="JSP9" s="239"/>
      <c r="JSQ9" s="239"/>
      <c r="JSR9" s="239"/>
      <c r="JSS9" s="239"/>
      <c r="JST9" s="239"/>
      <c r="JSU9" s="239"/>
      <c r="JSV9" s="239"/>
      <c r="JSW9" s="239"/>
      <c r="JSX9" s="239"/>
      <c r="JSY9" s="239"/>
      <c r="JSZ9" s="239"/>
      <c r="JTA9" s="239"/>
      <c r="JTB9" s="239"/>
      <c r="JTC9" s="239"/>
      <c r="JTD9" s="239"/>
      <c r="JTE9" s="239"/>
      <c r="JTF9" s="239"/>
      <c r="JTG9" s="239"/>
      <c r="JTH9" s="239"/>
      <c r="JTI9" s="239"/>
      <c r="JTJ9" s="239"/>
      <c r="JTK9" s="239"/>
      <c r="JTL9" s="239"/>
      <c r="JTM9" s="239"/>
      <c r="JTN9" s="239"/>
      <c r="JTO9" s="239"/>
      <c r="JTP9" s="239"/>
      <c r="JTQ9" s="239"/>
      <c r="JTR9" s="239"/>
      <c r="JTS9" s="239"/>
      <c r="JTT9" s="239"/>
      <c r="JTU9" s="239"/>
      <c r="JTV9" s="239"/>
      <c r="JTW9" s="239"/>
      <c r="JTX9" s="239"/>
      <c r="JTY9" s="239"/>
      <c r="JTZ9" s="239"/>
      <c r="JUA9" s="239"/>
      <c r="JUB9" s="239"/>
      <c r="JUC9" s="239"/>
      <c r="JUD9" s="239"/>
      <c r="JUE9" s="239"/>
      <c r="JUF9" s="239"/>
      <c r="JUG9" s="239"/>
      <c r="JUH9" s="239"/>
      <c r="JUI9" s="239"/>
      <c r="JUJ9" s="239"/>
      <c r="JUK9" s="239"/>
      <c r="JUL9" s="239"/>
      <c r="JUM9" s="239"/>
      <c r="JUN9" s="239"/>
      <c r="JUO9" s="239"/>
      <c r="JUP9" s="239"/>
      <c r="JUQ9" s="239"/>
      <c r="JUR9" s="239"/>
      <c r="JUS9" s="239"/>
      <c r="JUT9" s="239"/>
      <c r="JUU9" s="239"/>
      <c r="JUV9" s="239"/>
      <c r="JUW9" s="239"/>
      <c r="JUX9" s="239"/>
      <c r="JUY9" s="239"/>
      <c r="JUZ9" s="239"/>
      <c r="JVA9" s="239"/>
      <c r="JVB9" s="239"/>
      <c r="JVC9" s="239"/>
      <c r="JVD9" s="239"/>
      <c r="JVE9" s="239"/>
      <c r="JVF9" s="239"/>
      <c r="JVG9" s="239"/>
      <c r="JVH9" s="239"/>
      <c r="JVI9" s="239"/>
      <c r="JVJ9" s="239"/>
      <c r="JVK9" s="239"/>
      <c r="JVL9" s="239"/>
      <c r="JVM9" s="239"/>
      <c r="JVN9" s="239"/>
      <c r="JVO9" s="239"/>
      <c r="JVP9" s="239"/>
      <c r="JVQ9" s="239"/>
      <c r="JVR9" s="239"/>
      <c r="JVS9" s="239"/>
      <c r="JVT9" s="239"/>
      <c r="JVU9" s="239"/>
      <c r="JVV9" s="239"/>
      <c r="JVW9" s="239"/>
      <c r="JVX9" s="239"/>
      <c r="JVY9" s="239"/>
      <c r="JVZ9" s="239"/>
      <c r="JWA9" s="239"/>
      <c r="JWB9" s="239"/>
      <c r="JWC9" s="239"/>
      <c r="JWD9" s="239"/>
      <c r="JWE9" s="239"/>
      <c r="JWF9" s="239"/>
      <c r="JWG9" s="239"/>
      <c r="JWH9" s="239"/>
      <c r="JWI9" s="239"/>
      <c r="JWJ9" s="239"/>
      <c r="JWK9" s="239"/>
      <c r="JWL9" s="239"/>
      <c r="JWM9" s="239"/>
      <c r="JWN9" s="239"/>
      <c r="JWO9" s="239"/>
      <c r="JWP9" s="239"/>
      <c r="JWQ9" s="239"/>
      <c r="JWR9" s="239"/>
      <c r="JWS9" s="239"/>
      <c r="JWT9" s="239"/>
      <c r="JWU9" s="239"/>
      <c r="JWV9" s="239"/>
      <c r="JWW9" s="239"/>
      <c r="JWX9" s="239"/>
      <c r="JWY9" s="239"/>
      <c r="JWZ9" s="239"/>
      <c r="JXA9" s="239"/>
      <c r="JXB9" s="239"/>
      <c r="JXC9" s="239"/>
      <c r="JXD9" s="239"/>
      <c r="JXE9" s="239"/>
      <c r="JXF9" s="239"/>
      <c r="JXG9" s="239"/>
      <c r="JXH9" s="239"/>
      <c r="JXI9" s="239"/>
      <c r="JXJ9" s="239"/>
      <c r="JXK9" s="239"/>
      <c r="JXL9" s="239"/>
      <c r="JXM9" s="239"/>
      <c r="JXN9" s="239"/>
      <c r="JXO9" s="239"/>
      <c r="JXP9" s="239"/>
      <c r="JXQ9" s="239"/>
      <c r="JXR9" s="239"/>
      <c r="JXS9" s="239"/>
      <c r="JXT9" s="239"/>
      <c r="JXU9" s="239"/>
      <c r="JXV9" s="239"/>
      <c r="JXW9" s="239"/>
      <c r="JXX9" s="239"/>
      <c r="JXY9" s="239"/>
      <c r="JXZ9" s="239"/>
      <c r="JYA9" s="239"/>
      <c r="JYB9" s="239"/>
      <c r="JYC9" s="239"/>
      <c r="JYD9" s="239"/>
      <c r="JYE9" s="239"/>
      <c r="JYF9" s="239"/>
      <c r="JYG9" s="239"/>
      <c r="JYH9" s="239"/>
      <c r="JYI9" s="239"/>
      <c r="JYJ9" s="239"/>
      <c r="JYK9" s="239"/>
      <c r="JYL9" s="239"/>
      <c r="JYM9" s="239"/>
      <c r="JYN9" s="239"/>
      <c r="JYO9" s="239"/>
      <c r="JYP9" s="239"/>
      <c r="JYQ9" s="239"/>
      <c r="JYR9" s="239"/>
      <c r="JYS9" s="239"/>
      <c r="JYT9" s="239"/>
      <c r="JYU9" s="239"/>
      <c r="JYV9" s="239"/>
      <c r="JYW9" s="239"/>
      <c r="JYX9" s="239"/>
      <c r="JYY9" s="239"/>
      <c r="JYZ9" s="239"/>
      <c r="JZA9" s="239"/>
      <c r="JZB9" s="239"/>
      <c r="JZC9" s="239"/>
      <c r="JZD9" s="239"/>
      <c r="JZE9" s="239"/>
      <c r="JZF9" s="239"/>
      <c r="JZG9" s="239"/>
      <c r="JZH9" s="239"/>
      <c r="JZI9" s="239"/>
      <c r="JZJ9" s="239"/>
      <c r="JZK9" s="239"/>
      <c r="JZL9" s="239"/>
      <c r="JZM9" s="239"/>
      <c r="JZN9" s="239"/>
      <c r="JZO9" s="239"/>
      <c r="JZP9" s="239"/>
      <c r="JZQ9" s="239"/>
      <c r="JZR9" s="239"/>
      <c r="JZS9" s="239"/>
      <c r="JZT9" s="239"/>
      <c r="JZU9" s="239"/>
      <c r="JZV9" s="239"/>
      <c r="JZW9" s="239"/>
      <c r="JZX9" s="239"/>
      <c r="JZY9" s="239"/>
      <c r="JZZ9" s="239"/>
      <c r="KAA9" s="239"/>
      <c r="KAB9" s="239"/>
      <c r="KAC9" s="239"/>
      <c r="KAD9" s="239"/>
      <c r="KAE9" s="239"/>
      <c r="KAF9" s="239"/>
      <c r="KAG9" s="239"/>
      <c r="KAH9" s="239"/>
      <c r="KAI9" s="239"/>
      <c r="KAJ9" s="239"/>
      <c r="KAK9" s="239"/>
      <c r="KAL9" s="239"/>
      <c r="KAM9" s="239"/>
      <c r="KAN9" s="239"/>
      <c r="KAO9" s="239"/>
      <c r="KAP9" s="239"/>
      <c r="KAQ9" s="239"/>
      <c r="KAR9" s="239"/>
      <c r="KAS9" s="239"/>
      <c r="KAT9" s="239"/>
      <c r="KAU9" s="239"/>
      <c r="KAV9" s="239"/>
      <c r="KAW9" s="239"/>
      <c r="KAX9" s="239"/>
      <c r="KAY9" s="239"/>
      <c r="KAZ9" s="239"/>
      <c r="KBA9" s="239"/>
      <c r="KBB9" s="239"/>
      <c r="KBC9" s="239"/>
      <c r="KBD9" s="239"/>
      <c r="KBE9" s="239"/>
      <c r="KBF9" s="239"/>
      <c r="KBG9" s="239"/>
      <c r="KBH9" s="239"/>
      <c r="KBI9" s="239"/>
      <c r="KBJ9" s="239"/>
      <c r="KBK9" s="239"/>
      <c r="KBL9" s="239"/>
      <c r="KBM9" s="239"/>
      <c r="KBN9" s="239"/>
      <c r="KBO9" s="239"/>
      <c r="KBP9" s="239"/>
      <c r="KBQ9" s="239"/>
      <c r="KBR9" s="239"/>
      <c r="KBS9" s="239"/>
      <c r="KBT9" s="239"/>
      <c r="KBU9" s="239"/>
      <c r="KBV9" s="239"/>
      <c r="KBW9" s="239"/>
      <c r="KBX9" s="239"/>
      <c r="KBY9" s="239"/>
      <c r="KBZ9" s="239"/>
      <c r="KCA9" s="239"/>
      <c r="KCB9" s="239"/>
      <c r="KCC9" s="239"/>
      <c r="KCD9" s="239"/>
      <c r="KCE9" s="239"/>
      <c r="KCF9" s="239"/>
      <c r="KCG9" s="239"/>
      <c r="KCH9" s="239"/>
      <c r="KCI9" s="239"/>
      <c r="KCJ9" s="239"/>
      <c r="KCK9" s="239"/>
      <c r="KCL9" s="239"/>
      <c r="KCM9" s="239"/>
      <c r="KCN9" s="239"/>
      <c r="KCO9" s="239"/>
      <c r="KCP9" s="239"/>
      <c r="KCQ9" s="239"/>
      <c r="KCR9" s="239"/>
      <c r="KCS9" s="239"/>
      <c r="KCT9" s="239"/>
      <c r="KCU9" s="239"/>
      <c r="KCV9" s="239"/>
      <c r="KCW9" s="239"/>
      <c r="KCX9" s="239"/>
      <c r="KCY9" s="239"/>
      <c r="KCZ9" s="239"/>
      <c r="KDA9" s="239"/>
      <c r="KDB9" s="239"/>
      <c r="KDC9" s="239"/>
      <c r="KDD9" s="239"/>
      <c r="KDE9" s="239"/>
      <c r="KDF9" s="239"/>
      <c r="KDG9" s="239"/>
      <c r="KDH9" s="239"/>
      <c r="KDI9" s="239"/>
      <c r="KDJ9" s="239"/>
      <c r="KDK9" s="239"/>
      <c r="KDL9" s="239"/>
      <c r="KDM9" s="239"/>
      <c r="KDN9" s="239"/>
      <c r="KDO9" s="239"/>
      <c r="KDP9" s="239"/>
      <c r="KDQ9" s="239"/>
      <c r="KDR9" s="239"/>
      <c r="KDS9" s="239"/>
      <c r="KDT9" s="239"/>
      <c r="KDU9" s="239"/>
      <c r="KDV9" s="239"/>
      <c r="KDW9" s="239"/>
      <c r="KDX9" s="239"/>
      <c r="KDY9" s="239"/>
      <c r="KDZ9" s="239"/>
      <c r="KEA9" s="239"/>
      <c r="KEB9" s="239"/>
      <c r="KEC9" s="239"/>
      <c r="KED9" s="239"/>
      <c r="KEE9" s="239"/>
      <c r="KEF9" s="239"/>
      <c r="KEG9" s="239"/>
      <c r="KEH9" s="239"/>
      <c r="KEI9" s="239"/>
      <c r="KEJ9" s="239"/>
      <c r="KEK9" s="239"/>
      <c r="KEL9" s="239"/>
      <c r="KEM9" s="239"/>
      <c r="KEN9" s="239"/>
      <c r="KEO9" s="239"/>
      <c r="KEP9" s="239"/>
      <c r="KEQ9" s="239"/>
      <c r="KER9" s="239"/>
      <c r="KES9" s="239"/>
      <c r="KET9" s="239"/>
      <c r="KEU9" s="239"/>
      <c r="KEV9" s="239"/>
      <c r="KEW9" s="239"/>
      <c r="KEX9" s="239"/>
      <c r="KEY9" s="239"/>
      <c r="KEZ9" s="239"/>
      <c r="KFA9" s="239"/>
      <c r="KFB9" s="239"/>
      <c r="KFC9" s="239"/>
      <c r="KFD9" s="239"/>
      <c r="KFE9" s="239"/>
      <c r="KFF9" s="239"/>
      <c r="KFG9" s="239"/>
      <c r="KFH9" s="239"/>
      <c r="KFI9" s="239"/>
      <c r="KFJ9" s="239"/>
      <c r="KFK9" s="239"/>
      <c r="KFL9" s="239"/>
      <c r="KFM9" s="239"/>
      <c r="KFN9" s="239"/>
      <c r="KFO9" s="239"/>
      <c r="KFP9" s="239"/>
      <c r="KFQ9" s="239"/>
      <c r="KFR9" s="239"/>
      <c r="KFS9" s="239"/>
      <c r="KFT9" s="239"/>
      <c r="KFU9" s="239"/>
      <c r="KFV9" s="239"/>
      <c r="KFW9" s="239"/>
      <c r="KFX9" s="239"/>
      <c r="KFY9" s="239"/>
      <c r="KFZ9" s="239"/>
      <c r="KGA9" s="239"/>
      <c r="KGB9" s="239"/>
      <c r="KGC9" s="239"/>
      <c r="KGD9" s="239"/>
      <c r="KGE9" s="239"/>
      <c r="KGF9" s="239"/>
      <c r="KGG9" s="239"/>
      <c r="KGH9" s="239"/>
      <c r="KGI9" s="239"/>
      <c r="KGJ9" s="239"/>
      <c r="KGK9" s="239"/>
      <c r="KGL9" s="239"/>
      <c r="KGM9" s="239"/>
      <c r="KGN9" s="239"/>
      <c r="KGO9" s="239"/>
      <c r="KGP9" s="239"/>
      <c r="KGQ9" s="239"/>
      <c r="KGR9" s="239"/>
      <c r="KGS9" s="239"/>
      <c r="KGT9" s="239"/>
      <c r="KGU9" s="239"/>
      <c r="KGV9" s="239"/>
      <c r="KGW9" s="239"/>
      <c r="KGX9" s="239"/>
      <c r="KGY9" s="239"/>
      <c r="KGZ9" s="239"/>
      <c r="KHA9" s="239"/>
      <c r="KHB9" s="239"/>
      <c r="KHC9" s="239"/>
      <c r="KHD9" s="239"/>
      <c r="KHE9" s="239"/>
      <c r="KHF9" s="239"/>
      <c r="KHG9" s="239"/>
      <c r="KHH9" s="239"/>
      <c r="KHI9" s="239"/>
      <c r="KHJ9" s="239"/>
      <c r="KHK9" s="239"/>
      <c r="KHL9" s="239"/>
      <c r="KHM9" s="239"/>
      <c r="KHN9" s="239"/>
      <c r="KHO9" s="239"/>
      <c r="KHP9" s="239"/>
      <c r="KHQ9" s="239"/>
      <c r="KHR9" s="239"/>
      <c r="KHS9" s="239"/>
      <c r="KHT9" s="239"/>
      <c r="KHU9" s="239"/>
      <c r="KHV9" s="239"/>
      <c r="KHW9" s="239"/>
      <c r="KHX9" s="239"/>
      <c r="KHY9" s="239"/>
      <c r="KHZ9" s="239"/>
      <c r="KIA9" s="239"/>
      <c r="KIB9" s="239"/>
      <c r="KIC9" s="239"/>
      <c r="KID9" s="239"/>
      <c r="KIE9" s="239"/>
      <c r="KIF9" s="239"/>
      <c r="KIG9" s="239"/>
      <c r="KIH9" s="239"/>
      <c r="KII9" s="239"/>
      <c r="KIJ9" s="239"/>
      <c r="KIK9" s="239"/>
      <c r="KIL9" s="239"/>
      <c r="KIM9" s="239"/>
      <c r="KIN9" s="239"/>
      <c r="KIO9" s="239"/>
      <c r="KIP9" s="239"/>
      <c r="KIQ9" s="239"/>
      <c r="KIR9" s="239"/>
      <c r="KIS9" s="239"/>
      <c r="KIT9" s="239"/>
      <c r="KIU9" s="239"/>
      <c r="KIV9" s="239"/>
      <c r="KIW9" s="239"/>
      <c r="KIX9" s="239"/>
      <c r="KIY9" s="239"/>
      <c r="KIZ9" s="239"/>
      <c r="KJA9" s="239"/>
      <c r="KJB9" s="239"/>
      <c r="KJC9" s="239"/>
      <c r="KJD9" s="239"/>
      <c r="KJE9" s="239"/>
      <c r="KJF9" s="239"/>
      <c r="KJG9" s="239"/>
      <c r="KJH9" s="239"/>
      <c r="KJI9" s="239"/>
      <c r="KJJ9" s="239"/>
      <c r="KJK9" s="239"/>
      <c r="KJL9" s="239"/>
      <c r="KJM9" s="239"/>
      <c r="KJN9" s="239"/>
      <c r="KJO9" s="239"/>
      <c r="KJP9" s="239"/>
      <c r="KJQ9" s="239"/>
      <c r="KJR9" s="239"/>
      <c r="KJS9" s="239"/>
      <c r="KJT9" s="239"/>
      <c r="KJU9" s="239"/>
      <c r="KJV9" s="239"/>
      <c r="KJW9" s="239"/>
      <c r="KJX9" s="239"/>
      <c r="KJY9" s="239"/>
      <c r="KJZ9" s="239"/>
      <c r="KKA9" s="239"/>
      <c r="KKB9" s="239"/>
      <c r="KKC9" s="239"/>
      <c r="KKD9" s="239"/>
      <c r="KKE9" s="239"/>
      <c r="KKF9" s="239"/>
      <c r="KKG9" s="239"/>
      <c r="KKH9" s="239"/>
      <c r="KKI9" s="239"/>
      <c r="KKJ9" s="239"/>
      <c r="KKK9" s="239"/>
      <c r="KKL9" s="239"/>
      <c r="KKM9" s="239"/>
      <c r="KKN9" s="239"/>
      <c r="KKO9" s="239"/>
      <c r="KKP9" s="239"/>
      <c r="KKQ9" s="239"/>
      <c r="KKR9" s="239"/>
      <c r="KKS9" s="239"/>
      <c r="KKT9" s="239"/>
      <c r="KKU9" s="239"/>
      <c r="KKV9" s="239"/>
      <c r="KKW9" s="239"/>
      <c r="KKX9" s="239"/>
      <c r="KKY9" s="239"/>
      <c r="KKZ9" s="239"/>
      <c r="KLA9" s="239"/>
      <c r="KLB9" s="239"/>
      <c r="KLC9" s="239"/>
      <c r="KLD9" s="239"/>
      <c r="KLE9" s="239"/>
      <c r="KLF9" s="239"/>
      <c r="KLG9" s="239"/>
      <c r="KLH9" s="239"/>
      <c r="KLI9" s="239"/>
      <c r="KLJ9" s="239"/>
      <c r="KLK9" s="239"/>
      <c r="KLL9" s="239"/>
      <c r="KLM9" s="239"/>
      <c r="KLN9" s="239"/>
      <c r="KLO9" s="239"/>
      <c r="KLP9" s="239"/>
      <c r="KLQ9" s="239"/>
      <c r="KLR9" s="239"/>
      <c r="KLS9" s="239"/>
      <c r="KLT9" s="239"/>
      <c r="KLU9" s="239"/>
      <c r="KLV9" s="239"/>
      <c r="KLW9" s="239"/>
      <c r="KLX9" s="239"/>
      <c r="KLY9" s="239"/>
      <c r="KLZ9" s="239"/>
      <c r="KMA9" s="239"/>
      <c r="KMB9" s="239"/>
      <c r="KMC9" s="239"/>
      <c r="KMD9" s="239"/>
      <c r="KME9" s="239"/>
      <c r="KMF9" s="239"/>
      <c r="KMG9" s="239"/>
      <c r="KMH9" s="239"/>
      <c r="KMI9" s="239"/>
      <c r="KMJ9" s="239"/>
      <c r="KMK9" s="239"/>
      <c r="KML9" s="239"/>
      <c r="KMM9" s="239"/>
      <c r="KMN9" s="239"/>
      <c r="KMO9" s="239"/>
      <c r="KMP9" s="239"/>
      <c r="KMQ9" s="239"/>
      <c r="KMR9" s="239"/>
      <c r="KMS9" s="239"/>
      <c r="KMT9" s="239"/>
      <c r="KMU9" s="239"/>
      <c r="KMV9" s="239"/>
      <c r="KMW9" s="239"/>
      <c r="KMX9" s="239"/>
      <c r="KMY9" s="239"/>
      <c r="KMZ9" s="239"/>
      <c r="KNA9" s="239"/>
      <c r="KNB9" s="239"/>
      <c r="KNC9" s="239"/>
      <c r="KND9" s="239"/>
      <c r="KNE9" s="239"/>
      <c r="KNF9" s="239"/>
      <c r="KNG9" s="239"/>
      <c r="KNH9" s="239"/>
      <c r="KNI9" s="239"/>
      <c r="KNJ9" s="239"/>
      <c r="KNK9" s="239"/>
      <c r="KNL9" s="239"/>
      <c r="KNM9" s="239"/>
      <c r="KNN9" s="239"/>
      <c r="KNO9" s="239"/>
      <c r="KNP9" s="239"/>
      <c r="KNQ9" s="239"/>
      <c r="KNR9" s="239"/>
      <c r="KNS9" s="239"/>
      <c r="KNT9" s="239"/>
      <c r="KNU9" s="239"/>
      <c r="KNV9" s="239"/>
      <c r="KNW9" s="239"/>
      <c r="KNX9" s="239"/>
      <c r="KNY9" s="239"/>
      <c r="KNZ9" s="239"/>
      <c r="KOA9" s="239"/>
      <c r="KOB9" s="239"/>
      <c r="KOC9" s="239"/>
      <c r="KOD9" s="239"/>
      <c r="KOE9" s="239"/>
      <c r="KOF9" s="239"/>
      <c r="KOG9" s="239"/>
      <c r="KOH9" s="239"/>
      <c r="KOI9" s="239"/>
      <c r="KOJ9" s="239"/>
      <c r="KOK9" s="239"/>
      <c r="KOL9" s="239"/>
      <c r="KOM9" s="239"/>
      <c r="KON9" s="239"/>
      <c r="KOO9" s="239"/>
      <c r="KOP9" s="239"/>
      <c r="KOQ9" s="239"/>
      <c r="KOR9" s="239"/>
      <c r="KOS9" s="239"/>
      <c r="KOT9" s="239"/>
      <c r="KOU9" s="239"/>
      <c r="KOV9" s="239"/>
      <c r="KOW9" s="239"/>
      <c r="KOX9" s="239"/>
      <c r="KOY9" s="239"/>
      <c r="KOZ9" s="239"/>
      <c r="KPA9" s="239"/>
      <c r="KPB9" s="239"/>
      <c r="KPC9" s="239"/>
      <c r="KPD9" s="239"/>
      <c r="KPE9" s="239"/>
      <c r="KPF9" s="239"/>
      <c r="KPG9" s="239"/>
      <c r="KPH9" s="239"/>
      <c r="KPI9" s="239"/>
      <c r="KPJ9" s="239"/>
      <c r="KPK9" s="239"/>
      <c r="KPL9" s="239"/>
      <c r="KPM9" s="239"/>
      <c r="KPN9" s="239"/>
      <c r="KPO9" s="239"/>
      <c r="KPP9" s="239"/>
      <c r="KPQ9" s="239"/>
      <c r="KPR9" s="239"/>
      <c r="KPS9" s="239"/>
      <c r="KPT9" s="239"/>
      <c r="KPU9" s="239"/>
      <c r="KPV9" s="239"/>
      <c r="KPW9" s="239"/>
      <c r="KPX9" s="239"/>
      <c r="KPY9" s="239"/>
      <c r="KPZ9" s="239"/>
      <c r="KQA9" s="239"/>
      <c r="KQB9" s="239"/>
      <c r="KQC9" s="239"/>
      <c r="KQD9" s="239"/>
      <c r="KQE9" s="239"/>
      <c r="KQF9" s="239"/>
      <c r="KQG9" s="239"/>
      <c r="KQH9" s="239"/>
      <c r="KQI9" s="239"/>
      <c r="KQJ9" s="239"/>
      <c r="KQK9" s="239"/>
      <c r="KQL9" s="239"/>
      <c r="KQM9" s="239"/>
      <c r="KQN9" s="239"/>
      <c r="KQO9" s="239"/>
      <c r="KQP9" s="239"/>
      <c r="KQQ9" s="239"/>
      <c r="KQR9" s="239"/>
      <c r="KQS9" s="239"/>
      <c r="KQT9" s="239"/>
      <c r="KQU9" s="239"/>
      <c r="KQV9" s="239"/>
      <c r="KQW9" s="239"/>
      <c r="KQX9" s="239"/>
      <c r="KQY9" s="239"/>
      <c r="KQZ9" s="239"/>
      <c r="KRA9" s="239"/>
      <c r="KRB9" s="239"/>
      <c r="KRC9" s="239"/>
      <c r="KRD9" s="239"/>
      <c r="KRE9" s="239"/>
      <c r="KRF9" s="239"/>
      <c r="KRG9" s="239"/>
      <c r="KRH9" s="239"/>
      <c r="KRI9" s="239"/>
      <c r="KRJ9" s="239"/>
      <c r="KRK9" s="239"/>
      <c r="KRL9" s="239"/>
      <c r="KRM9" s="239"/>
      <c r="KRN9" s="239"/>
      <c r="KRO9" s="239"/>
      <c r="KRP9" s="239"/>
      <c r="KRQ9" s="239"/>
      <c r="KRR9" s="239"/>
      <c r="KRS9" s="239"/>
      <c r="KRT9" s="239"/>
      <c r="KRU9" s="239"/>
      <c r="KRV9" s="239"/>
      <c r="KRW9" s="239"/>
      <c r="KRX9" s="239"/>
      <c r="KRY9" s="239"/>
      <c r="KRZ9" s="239"/>
      <c r="KSA9" s="239"/>
      <c r="KSB9" s="239"/>
      <c r="KSC9" s="239"/>
      <c r="KSD9" s="239"/>
      <c r="KSE9" s="239"/>
      <c r="KSF9" s="239"/>
      <c r="KSG9" s="239"/>
      <c r="KSH9" s="239"/>
      <c r="KSI9" s="239"/>
      <c r="KSJ9" s="239"/>
      <c r="KSK9" s="239"/>
      <c r="KSL9" s="239"/>
      <c r="KSM9" s="239"/>
      <c r="KSN9" s="239"/>
      <c r="KSO9" s="239"/>
      <c r="KSP9" s="239"/>
      <c r="KSQ9" s="239"/>
      <c r="KSR9" s="239"/>
      <c r="KSS9" s="239"/>
      <c r="KST9" s="239"/>
      <c r="KSU9" s="239"/>
      <c r="KSV9" s="239"/>
      <c r="KSW9" s="239"/>
      <c r="KSX9" s="239"/>
      <c r="KSY9" s="239"/>
      <c r="KSZ9" s="239"/>
      <c r="KTA9" s="239"/>
      <c r="KTB9" s="239"/>
      <c r="KTC9" s="239"/>
      <c r="KTD9" s="239"/>
      <c r="KTE9" s="239"/>
      <c r="KTF9" s="239"/>
      <c r="KTG9" s="239"/>
      <c r="KTH9" s="239"/>
      <c r="KTI9" s="239"/>
      <c r="KTJ9" s="239"/>
      <c r="KTK9" s="239"/>
      <c r="KTL9" s="239"/>
      <c r="KTM9" s="239"/>
      <c r="KTN9" s="239"/>
      <c r="KTO9" s="239"/>
      <c r="KTP9" s="239"/>
      <c r="KTQ9" s="239"/>
      <c r="KTR9" s="239"/>
      <c r="KTS9" s="239"/>
      <c r="KTT9" s="239"/>
      <c r="KTU9" s="239"/>
      <c r="KTV9" s="239"/>
      <c r="KTW9" s="239"/>
      <c r="KTX9" s="239"/>
      <c r="KTY9" s="239"/>
      <c r="KTZ9" s="239"/>
      <c r="KUA9" s="239"/>
      <c r="KUB9" s="239"/>
      <c r="KUC9" s="239"/>
      <c r="KUD9" s="239"/>
      <c r="KUE9" s="239"/>
      <c r="KUF9" s="239"/>
      <c r="KUG9" s="239"/>
      <c r="KUH9" s="239"/>
      <c r="KUI9" s="239"/>
      <c r="KUJ9" s="239"/>
      <c r="KUK9" s="239"/>
      <c r="KUL9" s="239"/>
      <c r="KUM9" s="239"/>
      <c r="KUN9" s="239"/>
      <c r="KUO9" s="239"/>
      <c r="KUP9" s="239"/>
      <c r="KUQ9" s="239"/>
      <c r="KUR9" s="239"/>
      <c r="KUS9" s="239"/>
      <c r="KUT9" s="239"/>
      <c r="KUU9" s="239"/>
      <c r="KUV9" s="239"/>
      <c r="KUW9" s="239"/>
      <c r="KUX9" s="239"/>
      <c r="KUY9" s="239"/>
      <c r="KUZ9" s="239"/>
      <c r="KVA9" s="239"/>
      <c r="KVB9" s="239"/>
      <c r="KVC9" s="239"/>
      <c r="KVD9" s="239"/>
      <c r="KVE9" s="239"/>
      <c r="KVF9" s="239"/>
      <c r="KVG9" s="239"/>
      <c r="KVH9" s="239"/>
      <c r="KVI9" s="239"/>
      <c r="KVJ9" s="239"/>
      <c r="KVK9" s="239"/>
      <c r="KVL9" s="239"/>
      <c r="KVM9" s="239"/>
      <c r="KVN9" s="239"/>
      <c r="KVO9" s="239"/>
      <c r="KVP9" s="239"/>
      <c r="KVQ9" s="239"/>
      <c r="KVR9" s="239"/>
      <c r="KVS9" s="239"/>
      <c r="KVT9" s="239"/>
      <c r="KVU9" s="239"/>
      <c r="KVV9" s="239"/>
      <c r="KVW9" s="239"/>
      <c r="KVX9" s="239"/>
      <c r="KVY9" s="239"/>
      <c r="KVZ9" s="239"/>
      <c r="KWA9" s="239"/>
      <c r="KWB9" s="239"/>
      <c r="KWC9" s="239"/>
      <c r="KWD9" s="239"/>
      <c r="KWE9" s="239"/>
      <c r="KWF9" s="239"/>
      <c r="KWG9" s="239"/>
      <c r="KWH9" s="239"/>
      <c r="KWI9" s="239"/>
      <c r="KWJ9" s="239"/>
      <c r="KWK9" s="239"/>
      <c r="KWL9" s="239"/>
      <c r="KWM9" s="239"/>
      <c r="KWN9" s="239"/>
      <c r="KWO9" s="239"/>
      <c r="KWP9" s="239"/>
      <c r="KWQ9" s="239"/>
      <c r="KWR9" s="239"/>
      <c r="KWS9" s="239"/>
      <c r="KWT9" s="239"/>
      <c r="KWU9" s="239"/>
      <c r="KWV9" s="239"/>
      <c r="KWW9" s="239"/>
      <c r="KWX9" s="239"/>
      <c r="KWY9" s="239"/>
      <c r="KWZ9" s="239"/>
      <c r="KXA9" s="239"/>
      <c r="KXB9" s="239"/>
      <c r="KXC9" s="239"/>
      <c r="KXD9" s="239"/>
      <c r="KXE9" s="239"/>
      <c r="KXF9" s="239"/>
      <c r="KXG9" s="239"/>
      <c r="KXH9" s="239"/>
      <c r="KXI9" s="239"/>
      <c r="KXJ9" s="239"/>
      <c r="KXK9" s="239"/>
      <c r="KXL9" s="239"/>
      <c r="KXM9" s="239"/>
      <c r="KXN9" s="239"/>
      <c r="KXO9" s="239"/>
      <c r="KXP9" s="239"/>
      <c r="KXQ9" s="239"/>
      <c r="KXR9" s="239"/>
      <c r="KXS9" s="239"/>
      <c r="KXT9" s="239"/>
      <c r="KXU9" s="239"/>
      <c r="KXV9" s="239"/>
      <c r="KXW9" s="239"/>
      <c r="KXX9" s="239"/>
      <c r="KXY9" s="239"/>
      <c r="KXZ9" s="239"/>
      <c r="KYA9" s="239"/>
      <c r="KYB9" s="239"/>
      <c r="KYC9" s="239"/>
      <c r="KYD9" s="239"/>
      <c r="KYE9" s="239"/>
      <c r="KYF9" s="239"/>
      <c r="KYG9" s="239"/>
      <c r="KYH9" s="239"/>
      <c r="KYI9" s="239"/>
      <c r="KYJ9" s="239"/>
      <c r="KYK9" s="239"/>
      <c r="KYL9" s="239"/>
      <c r="KYM9" s="239"/>
      <c r="KYN9" s="239"/>
      <c r="KYO9" s="239"/>
      <c r="KYP9" s="239"/>
      <c r="KYQ9" s="239"/>
      <c r="KYR9" s="239"/>
      <c r="KYS9" s="239"/>
      <c r="KYT9" s="239"/>
      <c r="KYU9" s="239"/>
      <c r="KYV9" s="239"/>
      <c r="KYW9" s="239"/>
      <c r="KYX9" s="239"/>
      <c r="KYY9" s="239"/>
      <c r="KYZ9" s="239"/>
      <c r="KZA9" s="239"/>
      <c r="KZB9" s="239"/>
      <c r="KZC9" s="239"/>
      <c r="KZD9" s="239"/>
      <c r="KZE9" s="239"/>
      <c r="KZF9" s="239"/>
      <c r="KZG9" s="239"/>
      <c r="KZH9" s="239"/>
      <c r="KZI9" s="239"/>
      <c r="KZJ9" s="239"/>
      <c r="KZK9" s="239"/>
      <c r="KZL9" s="239"/>
      <c r="KZM9" s="239"/>
      <c r="KZN9" s="239"/>
      <c r="KZO9" s="239"/>
      <c r="KZP9" s="239"/>
      <c r="KZQ9" s="239"/>
      <c r="KZR9" s="239"/>
      <c r="KZS9" s="239"/>
      <c r="KZT9" s="239"/>
      <c r="KZU9" s="239"/>
      <c r="KZV9" s="239"/>
      <c r="KZW9" s="239"/>
      <c r="KZX9" s="239"/>
      <c r="KZY9" s="239"/>
      <c r="KZZ9" s="239"/>
      <c r="LAA9" s="239"/>
      <c r="LAB9" s="239"/>
      <c r="LAC9" s="239"/>
      <c r="LAD9" s="239"/>
      <c r="LAE9" s="239"/>
      <c r="LAF9" s="239"/>
      <c r="LAG9" s="239"/>
      <c r="LAH9" s="239"/>
      <c r="LAI9" s="239"/>
      <c r="LAJ9" s="239"/>
      <c r="LAK9" s="239"/>
      <c r="LAL9" s="239"/>
      <c r="LAM9" s="239"/>
      <c r="LAN9" s="239"/>
      <c r="LAO9" s="239"/>
      <c r="LAP9" s="239"/>
      <c r="LAQ9" s="239"/>
      <c r="LAR9" s="239"/>
      <c r="LAS9" s="239"/>
      <c r="LAT9" s="239"/>
      <c r="LAU9" s="239"/>
      <c r="LAV9" s="239"/>
      <c r="LAW9" s="239"/>
      <c r="LAX9" s="239"/>
      <c r="LAY9" s="239"/>
      <c r="LAZ9" s="239"/>
      <c r="LBA9" s="239"/>
      <c r="LBB9" s="239"/>
      <c r="LBC9" s="239"/>
      <c r="LBD9" s="239"/>
      <c r="LBE9" s="239"/>
      <c r="LBF9" s="239"/>
      <c r="LBG9" s="239"/>
      <c r="LBH9" s="239"/>
      <c r="LBI9" s="239"/>
      <c r="LBJ9" s="239"/>
      <c r="LBK9" s="239"/>
      <c r="LBL9" s="239"/>
      <c r="LBM9" s="239"/>
      <c r="LBN9" s="239"/>
      <c r="LBO9" s="239"/>
      <c r="LBP9" s="239"/>
      <c r="LBQ9" s="239"/>
      <c r="LBR9" s="239"/>
      <c r="LBS9" s="239"/>
      <c r="LBT9" s="239"/>
      <c r="LBU9" s="239"/>
      <c r="LBV9" s="239"/>
      <c r="LBW9" s="239"/>
      <c r="LBX9" s="239"/>
      <c r="LBY9" s="239"/>
      <c r="LBZ9" s="239"/>
      <c r="LCA9" s="239"/>
      <c r="LCB9" s="239"/>
      <c r="LCC9" s="239"/>
      <c r="LCD9" s="239"/>
      <c r="LCE9" s="239"/>
      <c r="LCF9" s="239"/>
      <c r="LCG9" s="239"/>
      <c r="LCH9" s="239"/>
      <c r="LCI9" s="239"/>
      <c r="LCJ9" s="239"/>
      <c r="LCK9" s="239"/>
      <c r="LCL9" s="239"/>
      <c r="LCM9" s="239"/>
      <c r="LCN9" s="239"/>
      <c r="LCO9" s="239"/>
      <c r="LCP9" s="239"/>
      <c r="LCQ9" s="239"/>
      <c r="LCR9" s="239"/>
      <c r="LCS9" s="239"/>
      <c r="LCT9" s="239"/>
      <c r="LCU9" s="239"/>
      <c r="LCV9" s="239"/>
      <c r="LCW9" s="239"/>
      <c r="LCX9" s="239"/>
      <c r="LCY9" s="239"/>
      <c r="LCZ9" s="239"/>
      <c r="LDA9" s="239"/>
      <c r="LDB9" s="239"/>
      <c r="LDC9" s="239"/>
      <c r="LDD9" s="239"/>
      <c r="LDE9" s="239"/>
      <c r="LDF9" s="239"/>
      <c r="LDG9" s="239"/>
      <c r="LDH9" s="239"/>
      <c r="LDI9" s="239"/>
      <c r="LDJ9" s="239"/>
      <c r="LDK9" s="239"/>
      <c r="LDL9" s="239"/>
      <c r="LDM9" s="239"/>
      <c r="LDN9" s="239"/>
      <c r="LDO9" s="239"/>
      <c r="LDP9" s="239"/>
      <c r="LDQ9" s="239"/>
      <c r="LDR9" s="239"/>
      <c r="LDS9" s="239"/>
      <c r="LDT9" s="239"/>
      <c r="LDU9" s="239"/>
      <c r="LDV9" s="239"/>
      <c r="LDW9" s="239"/>
      <c r="LDX9" s="239"/>
      <c r="LDY9" s="239"/>
      <c r="LDZ9" s="239"/>
      <c r="LEA9" s="239"/>
      <c r="LEB9" s="239"/>
      <c r="LEC9" s="239"/>
      <c r="LED9" s="239"/>
      <c r="LEE9" s="239"/>
      <c r="LEF9" s="239"/>
      <c r="LEG9" s="239"/>
      <c r="LEH9" s="239"/>
      <c r="LEI9" s="239"/>
      <c r="LEJ9" s="239"/>
      <c r="LEK9" s="239"/>
      <c r="LEL9" s="239"/>
      <c r="LEM9" s="239"/>
      <c r="LEN9" s="239"/>
      <c r="LEO9" s="239"/>
      <c r="LEP9" s="239"/>
      <c r="LEQ9" s="239"/>
      <c r="LER9" s="239"/>
      <c r="LES9" s="239"/>
      <c r="LET9" s="239"/>
      <c r="LEU9" s="239"/>
      <c r="LEV9" s="239"/>
      <c r="LEW9" s="239"/>
      <c r="LEX9" s="239"/>
      <c r="LEY9" s="239"/>
      <c r="LEZ9" s="239"/>
      <c r="LFA9" s="239"/>
      <c r="LFB9" s="239"/>
      <c r="LFC9" s="239"/>
      <c r="LFD9" s="239"/>
      <c r="LFE9" s="239"/>
      <c r="LFF9" s="239"/>
      <c r="LFG9" s="239"/>
      <c r="LFH9" s="239"/>
      <c r="LFI9" s="239"/>
      <c r="LFJ9" s="239"/>
      <c r="LFK9" s="239"/>
      <c r="LFL9" s="239"/>
      <c r="LFM9" s="239"/>
      <c r="LFN9" s="239"/>
      <c r="LFO9" s="239"/>
      <c r="LFP9" s="239"/>
      <c r="LFQ9" s="239"/>
      <c r="LFR9" s="239"/>
      <c r="LFS9" s="239"/>
      <c r="LFT9" s="239"/>
      <c r="LFU9" s="239"/>
      <c r="LFV9" s="239"/>
      <c r="LFW9" s="239"/>
      <c r="LFX9" s="239"/>
      <c r="LFY9" s="239"/>
      <c r="LFZ9" s="239"/>
      <c r="LGA9" s="239"/>
      <c r="LGB9" s="239"/>
      <c r="LGC9" s="239"/>
      <c r="LGD9" s="239"/>
      <c r="LGE9" s="239"/>
      <c r="LGF9" s="239"/>
      <c r="LGG9" s="239"/>
      <c r="LGH9" s="239"/>
      <c r="LGI9" s="239"/>
      <c r="LGJ9" s="239"/>
      <c r="LGK9" s="239"/>
      <c r="LGL9" s="239"/>
      <c r="LGM9" s="239"/>
      <c r="LGN9" s="239"/>
      <c r="LGO9" s="239"/>
      <c r="LGP9" s="239"/>
      <c r="LGQ9" s="239"/>
      <c r="LGR9" s="239"/>
      <c r="LGS9" s="239"/>
      <c r="LGT9" s="239"/>
      <c r="LGU9" s="239"/>
      <c r="LGV9" s="239"/>
      <c r="LGW9" s="239"/>
      <c r="LGX9" s="239"/>
      <c r="LGY9" s="239"/>
      <c r="LGZ9" s="239"/>
      <c r="LHA9" s="239"/>
      <c r="LHB9" s="239"/>
      <c r="LHC9" s="239"/>
      <c r="LHD9" s="239"/>
      <c r="LHE9" s="239"/>
      <c r="LHF9" s="239"/>
      <c r="LHG9" s="239"/>
      <c r="LHH9" s="239"/>
      <c r="LHI9" s="239"/>
      <c r="LHJ9" s="239"/>
      <c r="LHK9" s="239"/>
      <c r="LHL9" s="239"/>
      <c r="LHM9" s="239"/>
      <c r="LHN9" s="239"/>
      <c r="LHO9" s="239"/>
      <c r="LHP9" s="239"/>
      <c r="LHQ9" s="239"/>
      <c r="LHR9" s="239"/>
      <c r="LHS9" s="239"/>
      <c r="LHT9" s="239"/>
      <c r="LHU9" s="239"/>
      <c r="LHV9" s="239"/>
      <c r="LHW9" s="239"/>
      <c r="LHX9" s="239"/>
      <c r="LHY9" s="239"/>
      <c r="LHZ9" s="239"/>
      <c r="LIA9" s="239"/>
      <c r="LIB9" s="239"/>
      <c r="LIC9" s="239"/>
      <c r="LID9" s="239"/>
      <c r="LIE9" s="239"/>
      <c r="LIF9" s="239"/>
      <c r="LIG9" s="239"/>
      <c r="LIH9" s="239"/>
      <c r="LII9" s="239"/>
      <c r="LIJ9" s="239"/>
      <c r="LIK9" s="239"/>
      <c r="LIL9" s="239"/>
      <c r="LIM9" s="239"/>
      <c r="LIN9" s="239"/>
      <c r="LIO9" s="239"/>
      <c r="LIP9" s="239"/>
      <c r="LIQ9" s="239"/>
      <c r="LIR9" s="239"/>
      <c r="LIS9" s="239"/>
      <c r="LIT9" s="239"/>
      <c r="LIU9" s="239"/>
      <c r="LIV9" s="239"/>
      <c r="LIW9" s="239"/>
      <c r="LIX9" s="239"/>
      <c r="LIY9" s="239"/>
      <c r="LIZ9" s="239"/>
      <c r="LJA9" s="239"/>
      <c r="LJB9" s="239"/>
      <c r="LJC9" s="239"/>
      <c r="LJD9" s="239"/>
      <c r="LJE9" s="239"/>
      <c r="LJF9" s="239"/>
      <c r="LJG9" s="239"/>
      <c r="LJH9" s="239"/>
      <c r="LJI9" s="239"/>
      <c r="LJJ9" s="239"/>
      <c r="LJK9" s="239"/>
      <c r="LJL9" s="239"/>
      <c r="LJM9" s="239"/>
      <c r="LJN9" s="239"/>
      <c r="LJO9" s="239"/>
      <c r="LJP9" s="239"/>
      <c r="LJQ9" s="239"/>
      <c r="LJR9" s="239"/>
      <c r="LJS9" s="239"/>
      <c r="LJT9" s="239"/>
      <c r="LJU9" s="239"/>
      <c r="LJV9" s="239"/>
      <c r="LJW9" s="239"/>
      <c r="LJX9" s="239"/>
      <c r="LJY9" s="239"/>
      <c r="LJZ9" s="239"/>
      <c r="LKA9" s="239"/>
      <c r="LKB9" s="239"/>
      <c r="LKC9" s="239"/>
      <c r="LKD9" s="239"/>
      <c r="LKE9" s="239"/>
      <c r="LKF9" s="239"/>
      <c r="LKG9" s="239"/>
      <c r="LKH9" s="239"/>
      <c r="LKI9" s="239"/>
      <c r="LKJ9" s="239"/>
      <c r="LKK9" s="239"/>
      <c r="LKL9" s="239"/>
      <c r="LKM9" s="239"/>
      <c r="LKN9" s="239"/>
      <c r="LKO9" s="239"/>
      <c r="LKP9" s="239"/>
      <c r="LKQ9" s="239"/>
      <c r="LKR9" s="239"/>
      <c r="LKS9" s="239"/>
      <c r="LKT9" s="239"/>
      <c r="LKU9" s="239"/>
      <c r="LKV9" s="239"/>
      <c r="LKW9" s="239"/>
      <c r="LKX9" s="239"/>
      <c r="LKY9" s="239"/>
      <c r="LKZ9" s="239"/>
      <c r="LLA9" s="239"/>
      <c r="LLB9" s="239"/>
      <c r="LLC9" s="239"/>
      <c r="LLD9" s="239"/>
      <c r="LLE9" s="239"/>
      <c r="LLF9" s="239"/>
      <c r="LLG9" s="239"/>
      <c r="LLH9" s="239"/>
      <c r="LLI9" s="239"/>
      <c r="LLJ9" s="239"/>
      <c r="LLK9" s="239"/>
      <c r="LLL9" s="239"/>
      <c r="LLM9" s="239"/>
      <c r="LLN9" s="239"/>
      <c r="LLO9" s="239"/>
      <c r="LLP9" s="239"/>
      <c r="LLQ9" s="239"/>
      <c r="LLR9" s="239"/>
      <c r="LLS9" s="239"/>
      <c r="LLT9" s="239"/>
      <c r="LLU9" s="239"/>
      <c r="LLV9" s="239"/>
      <c r="LLW9" s="239"/>
      <c r="LLX9" s="239"/>
      <c r="LLY9" s="239"/>
      <c r="LLZ9" s="239"/>
      <c r="LMA9" s="239"/>
      <c r="LMB9" s="239"/>
      <c r="LMC9" s="239"/>
      <c r="LMD9" s="239"/>
      <c r="LME9" s="239"/>
      <c r="LMF9" s="239"/>
      <c r="LMG9" s="239"/>
      <c r="LMH9" s="239"/>
      <c r="LMI9" s="239"/>
      <c r="LMJ9" s="239"/>
      <c r="LMK9" s="239"/>
      <c r="LML9" s="239"/>
      <c r="LMM9" s="239"/>
      <c r="LMN9" s="239"/>
      <c r="LMO9" s="239"/>
      <c r="LMP9" s="239"/>
      <c r="LMQ9" s="239"/>
      <c r="LMR9" s="239"/>
      <c r="LMS9" s="239"/>
      <c r="LMT9" s="239"/>
      <c r="LMU9" s="239"/>
      <c r="LMV9" s="239"/>
      <c r="LMW9" s="239"/>
      <c r="LMX9" s="239"/>
      <c r="LMY9" s="239"/>
      <c r="LMZ9" s="239"/>
      <c r="LNA9" s="239"/>
      <c r="LNB9" s="239"/>
      <c r="LNC9" s="239"/>
      <c r="LND9" s="239"/>
      <c r="LNE9" s="239"/>
      <c r="LNF9" s="239"/>
      <c r="LNG9" s="239"/>
      <c r="LNH9" s="239"/>
      <c r="LNI9" s="239"/>
      <c r="LNJ9" s="239"/>
      <c r="LNK9" s="239"/>
      <c r="LNL9" s="239"/>
      <c r="LNM9" s="239"/>
      <c r="LNN9" s="239"/>
      <c r="LNO9" s="239"/>
      <c r="LNP9" s="239"/>
      <c r="LNQ9" s="239"/>
      <c r="LNR9" s="239"/>
      <c r="LNS9" s="239"/>
      <c r="LNT9" s="239"/>
      <c r="LNU9" s="239"/>
      <c r="LNV9" s="239"/>
      <c r="LNW9" s="239"/>
      <c r="LNX9" s="239"/>
      <c r="LNY9" s="239"/>
      <c r="LNZ9" s="239"/>
      <c r="LOA9" s="239"/>
      <c r="LOB9" s="239"/>
      <c r="LOC9" s="239"/>
      <c r="LOD9" s="239"/>
      <c r="LOE9" s="239"/>
      <c r="LOF9" s="239"/>
      <c r="LOG9" s="239"/>
      <c r="LOH9" s="239"/>
      <c r="LOI9" s="239"/>
      <c r="LOJ9" s="239"/>
      <c r="LOK9" s="239"/>
      <c r="LOL9" s="239"/>
      <c r="LOM9" s="239"/>
      <c r="LON9" s="239"/>
      <c r="LOO9" s="239"/>
      <c r="LOP9" s="239"/>
      <c r="LOQ9" s="239"/>
      <c r="LOR9" s="239"/>
      <c r="LOS9" s="239"/>
      <c r="LOT9" s="239"/>
      <c r="LOU9" s="239"/>
      <c r="LOV9" s="239"/>
      <c r="LOW9" s="239"/>
      <c r="LOX9" s="239"/>
      <c r="LOY9" s="239"/>
      <c r="LOZ9" s="239"/>
      <c r="LPA9" s="239"/>
      <c r="LPB9" s="239"/>
      <c r="LPC9" s="239"/>
      <c r="LPD9" s="239"/>
      <c r="LPE9" s="239"/>
      <c r="LPF9" s="239"/>
      <c r="LPG9" s="239"/>
      <c r="LPH9" s="239"/>
      <c r="LPI9" s="239"/>
      <c r="LPJ9" s="239"/>
      <c r="LPK9" s="239"/>
      <c r="LPL9" s="239"/>
      <c r="LPM9" s="239"/>
      <c r="LPN9" s="239"/>
      <c r="LPO9" s="239"/>
      <c r="LPP9" s="239"/>
      <c r="LPQ9" s="239"/>
      <c r="LPR9" s="239"/>
      <c r="LPS9" s="239"/>
      <c r="LPT9" s="239"/>
      <c r="LPU9" s="239"/>
      <c r="LPV9" s="239"/>
      <c r="LPW9" s="239"/>
      <c r="LPX9" s="239"/>
      <c r="LPY9" s="239"/>
      <c r="LPZ9" s="239"/>
      <c r="LQA9" s="239"/>
      <c r="LQB9" s="239"/>
      <c r="LQC9" s="239"/>
      <c r="LQD9" s="239"/>
      <c r="LQE9" s="239"/>
      <c r="LQF9" s="239"/>
      <c r="LQG9" s="239"/>
      <c r="LQH9" s="239"/>
      <c r="LQI9" s="239"/>
      <c r="LQJ9" s="239"/>
      <c r="LQK9" s="239"/>
      <c r="LQL9" s="239"/>
      <c r="LQM9" s="239"/>
      <c r="LQN9" s="239"/>
      <c r="LQO9" s="239"/>
      <c r="LQP9" s="239"/>
      <c r="LQQ9" s="239"/>
      <c r="LQR9" s="239"/>
      <c r="LQS9" s="239"/>
      <c r="LQT9" s="239"/>
      <c r="LQU9" s="239"/>
      <c r="LQV9" s="239"/>
      <c r="LQW9" s="239"/>
      <c r="LQX9" s="239"/>
      <c r="LQY9" s="239"/>
      <c r="LQZ9" s="239"/>
      <c r="LRA9" s="239"/>
      <c r="LRB9" s="239"/>
      <c r="LRC9" s="239"/>
      <c r="LRD9" s="239"/>
      <c r="LRE9" s="239"/>
      <c r="LRF9" s="239"/>
      <c r="LRG9" s="239"/>
      <c r="LRH9" s="239"/>
      <c r="LRI9" s="239"/>
      <c r="LRJ9" s="239"/>
      <c r="LRK9" s="239"/>
      <c r="LRL9" s="239"/>
      <c r="LRM9" s="239"/>
      <c r="LRN9" s="239"/>
      <c r="LRO9" s="239"/>
      <c r="LRP9" s="239"/>
      <c r="LRQ9" s="239"/>
      <c r="LRR9" s="239"/>
      <c r="LRS9" s="239"/>
      <c r="LRT9" s="239"/>
      <c r="LRU9" s="239"/>
      <c r="LRV9" s="239"/>
      <c r="LRW9" s="239"/>
      <c r="LRX9" s="239"/>
      <c r="LRY9" s="239"/>
      <c r="LRZ9" s="239"/>
      <c r="LSA9" s="239"/>
      <c r="LSB9" s="239"/>
      <c r="LSC9" s="239"/>
      <c r="LSD9" s="239"/>
      <c r="LSE9" s="239"/>
      <c r="LSF9" s="239"/>
      <c r="LSG9" s="239"/>
      <c r="LSH9" s="239"/>
      <c r="LSI9" s="239"/>
      <c r="LSJ9" s="239"/>
      <c r="LSK9" s="239"/>
      <c r="LSL9" s="239"/>
      <c r="LSM9" s="239"/>
      <c r="LSN9" s="239"/>
      <c r="LSO9" s="239"/>
      <c r="LSP9" s="239"/>
      <c r="LSQ9" s="239"/>
      <c r="LSR9" s="239"/>
      <c r="LSS9" s="239"/>
      <c r="LST9" s="239"/>
      <c r="LSU9" s="239"/>
      <c r="LSV9" s="239"/>
      <c r="LSW9" s="239"/>
      <c r="LSX9" s="239"/>
      <c r="LSY9" s="239"/>
      <c r="LSZ9" s="239"/>
      <c r="LTA9" s="239"/>
      <c r="LTB9" s="239"/>
      <c r="LTC9" s="239"/>
      <c r="LTD9" s="239"/>
      <c r="LTE9" s="239"/>
      <c r="LTF9" s="239"/>
      <c r="LTG9" s="239"/>
      <c r="LTH9" s="239"/>
      <c r="LTI9" s="239"/>
      <c r="LTJ9" s="239"/>
      <c r="LTK9" s="239"/>
      <c r="LTL9" s="239"/>
      <c r="LTM9" s="239"/>
      <c r="LTN9" s="239"/>
      <c r="LTO9" s="239"/>
      <c r="LTP9" s="239"/>
      <c r="LTQ9" s="239"/>
      <c r="LTR9" s="239"/>
      <c r="LTS9" s="239"/>
      <c r="LTT9" s="239"/>
      <c r="LTU9" s="239"/>
      <c r="LTV9" s="239"/>
      <c r="LTW9" s="239"/>
      <c r="LTX9" s="239"/>
      <c r="LTY9" s="239"/>
      <c r="LTZ9" s="239"/>
      <c r="LUA9" s="239"/>
      <c r="LUB9" s="239"/>
      <c r="LUC9" s="239"/>
      <c r="LUD9" s="239"/>
      <c r="LUE9" s="239"/>
      <c r="LUF9" s="239"/>
      <c r="LUG9" s="239"/>
      <c r="LUH9" s="239"/>
      <c r="LUI9" s="239"/>
      <c r="LUJ9" s="239"/>
      <c r="LUK9" s="239"/>
      <c r="LUL9" s="239"/>
      <c r="LUM9" s="239"/>
      <c r="LUN9" s="239"/>
      <c r="LUO9" s="239"/>
      <c r="LUP9" s="239"/>
      <c r="LUQ9" s="239"/>
      <c r="LUR9" s="239"/>
      <c r="LUS9" s="239"/>
      <c r="LUT9" s="239"/>
      <c r="LUU9" s="239"/>
      <c r="LUV9" s="239"/>
      <c r="LUW9" s="239"/>
      <c r="LUX9" s="239"/>
      <c r="LUY9" s="239"/>
      <c r="LUZ9" s="239"/>
      <c r="LVA9" s="239"/>
      <c r="LVB9" s="239"/>
      <c r="LVC9" s="239"/>
      <c r="LVD9" s="239"/>
      <c r="LVE9" s="239"/>
      <c r="LVF9" s="239"/>
      <c r="LVG9" s="239"/>
      <c r="LVH9" s="239"/>
      <c r="LVI9" s="239"/>
      <c r="LVJ9" s="239"/>
      <c r="LVK9" s="239"/>
      <c r="LVL9" s="239"/>
      <c r="LVM9" s="239"/>
      <c r="LVN9" s="239"/>
      <c r="LVO9" s="239"/>
      <c r="LVP9" s="239"/>
      <c r="LVQ9" s="239"/>
      <c r="LVR9" s="239"/>
      <c r="LVS9" s="239"/>
      <c r="LVT9" s="239"/>
      <c r="LVU9" s="239"/>
      <c r="LVV9" s="239"/>
      <c r="LVW9" s="239"/>
      <c r="LVX9" s="239"/>
      <c r="LVY9" s="239"/>
      <c r="LVZ9" s="239"/>
      <c r="LWA9" s="239"/>
      <c r="LWB9" s="239"/>
      <c r="LWC9" s="239"/>
      <c r="LWD9" s="239"/>
      <c r="LWE9" s="239"/>
      <c r="LWF9" s="239"/>
      <c r="LWG9" s="239"/>
      <c r="LWH9" s="239"/>
      <c r="LWI9" s="239"/>
      <c r="LWJ9" s="239"/>
      <c r="LWK9" s="239"/>
      <c r="LWL9" s="239"/>
      <c r="LWM9" s="239"/>
      <c r="LWN9" s="239"/>
      <c r="LWO9" s="239"/>
      <c r="LWP9" s="239"/>
      <c r="LWQ9" s="239"/>
      <c r="LWR9" s="239"/>
      <c r="LWS9" s="239"/>
      <c r="LWT9" s="239"/>
      <c r="LWU9" s="239"/>
      <c r="LWV9" s="239"/>
      <c r="LWW9" s="239"/>
      <c r="LWX9" s="239"/>
      <c r="LWY9" s="239"/>
      <c r="LWZ9" s="239"/>
      <c r="LXA9" s="239"/>
      <c r="LXB9" s="239"/>
      <c r="LXC9" s="239"/>
      <c r="LXD9" s="239"/>
      <c r="LXE9" s="239"/>
      <c r="LXF9" s="239"/>
      <c r="LXG9" s="239"/>
      <c r="LXH9" s="239"/>
      <c r="LXI9" s="239"/>
      <c r="LXJ9" s="239"/>
      <c r="LXK9" s="239"/>
      <c r="LXL9" s="239"/>
      <c r="LXM9" s="239"/>
      <c r="LXN9" s="239"/>
      <c r="LXO9" s="239"/>
      <c r="LXP9" s="239"/>
      <c r="LXQ9" s="239"/>
      <c r="LXR9" s="239"/>
      <c r="LXS9" s="239"/>
      <c r="LXT9" s="239"/>
      <c r="LXU9" s="239"/>
      <c r="LXV9" s="239"/>
      <c r="LXW9" s="239"/>
      <c r="LXX9" s="239"/>
      <c r="LXY9" s="239"/>
      <c r="LXZ9" s="239"/>
      <c r="LYA9" s="239"/>
      <c r="LYB9" s="239"/>
      <c r="LYC9" s="239"/>
      <c r="LYD9" s="239"/>
      <c r="LYE9" s="239"/>
      <c r="LYF9" s="239"/>
      <c r="LYG9" s="239"/>
      <c r="LYH9" s="239"/>
      <c r="LYI9" s="239"/>
      <c r="LYJ9" s="239"/>
      <c r="LYK9" s="239"/>
      <c r="LYL9" s="239"/>
      <c r="LYM9" s="239"/>
      <c r="LYN9" s="239"/>
      <c r="LYO9" s="239"/>
      <c r="LYP9" s="239"/>
      <c r="LYQ9" s="239"/>
      <c r="LYR9" s="239"/>
      <c r="LYS9" s="239"/>
      <c r="LYT9" s="239"/>
      <c r="LYU9" s="239"/>
      <c r="LYV9" s="239"/>
      <c r="LYW9" s="239"/>
      <c r="LYX9" s="239"/>
      <c r="LYY9" s="239"/>
      <c r="LYZ9" s="239"/>
      <c r="LZA9" s="239"/>
      <c r="LZB9" s="239"/>
      <c r="LZC9" s="239"/>
      <c r="LZD9" s="239"/>
      <c r="LZE9" s="239"/>
      <c r="LZF9" s="239"/>
      <c r="LZG9" s="239"/>
      <c r="LZH9" s="239"/>
      <c r="LZI9" s="239"/>
      <c r="LZJ9" s="239"/>
      <c r="LZK9" s="239"/>
      <c r="LZL9" s="239"/>
      <c r="LZM9" s="239"/>
      <c r="LZN9" s="239"/>
      <c r="LZO9" s="239"/>
      <c r="LZP9" s="239"/>
      <c r="LZQ9" s="239"/>
      <c r="LZR9" s="239"/>
      <c r="LZS9" s="239"/>
      <c r="LZT9" s="239"/>
      <c r="LZU9" s="239"/>
      <c r="LZV9" s="239"/>
      <c r="LZW9" s="239"/>
      <c r="LZX9" s="239"/>
      <c r="LZY9" s="239"/>
      <c r="LZZ9" s="239"/>
      <c r="MAA9" s="239"/>
      <c r="MAB9" s="239"/>
      <c r="MAC9" s="239"/>
      <c r="MAD9" s="239"/>
      <c r="MAE9" s="239"/>
      <c r="MAF9" s="239"/>
      <c r="MAG9" s="239"/>
      <c r="MAH9" s="239"/>
      <c r="MAI9" s="239"/>
      <c r="MAJ9" s="239"/>
      <c r="MAK9" s="239"/>
      <c r="MAL9" s="239"/>
      <c r="MAM9" s="239"/>
      <c r="MAN9" s="239"/>
      <c r="MAO9" s="239"/>
      <c r="MAP9" s="239"/>
      <c r="MAQ9" s="239"/>
      <c r="MAR9" s="239"/>
      <c r="MAS9" s="239"/>
      <c r="MAT9" s="239"/>
      <c r="MAU9" s="239"/>
      <c r="MAV9" s="239"/>
      <c r="MAW9" s="239"/>
      <c r="MAX9" s="239"/>
      <c r="MAY9" s="239"/>
      <c r="MAZ9" s="239"/>
      <c r="MBA9" s="239"/>
      <c r="MBB9" s="239"/>
      <c r="MBC9" s="239"/>
      <c r="MBD9" s="239"/>
      <c r="MBE9" s="239"/>
      <c r="MBF9" s="239"/>
      <c r="MBG9" s="239"/>
      <c r="MBH9" s="239"/>
      <c r="MBI9" s="239"/>
      <c r="MBJ9" s="239"/>
      <c r="MBK9" s="239"/>
      <c r="MBL9" s="239"/>
      <c r="MBM9" s="239"/>
      <c r="MBN9" s="239"/>
      <c r="MBO9" s="239"/>
      <c r="MBP9" s="239"/>
      <c r="MBQ9" s="239"/>
      <c r="MBR9" s="239"/>
      <c r="MBS9" s="239"/>
      <c r="MBT9" s="239"/>
      <c r="MBU9" s="239"/>
      <c r="MBV9" s="239"/>
      <c r="MBW9" s="239"/>
      <c r="MBX9" s="239"/>
      <c r="MBY9" s="239"/>
      <c r="MBZ9" s="239"/>
      <c r="MCA9" s="239"/>
      <c r="MCB9" s="239"/>
      <c r="MCC9" s="239"/>
      <c r="MCD9" s="239"/>
      <c r="MCE9" s="239"/>
      <c r="MCF9" s="239"/>
      <c r="MCG9" s="239"/>
      <c r="MCH9" s="239"/>
      <c r="MCI9" s="239"/>
      <c r="MCJ9" s="239"/>
      <c r="MCK9" s="239"/>
      <c r="MCL9" s="239"/>
      <c r="MCM9" s="239"/>
      <c r="MCN9" s="239"/>
      <c r="MCO9" s="239"/>
      <c r="MCP9" s="239"/>
      <c r="MCQ9" s="239"/>
      <c r="MCR9" s="239"/>
      <c r="MCS9" s="239"/>
      <c r="MCT9" s="239"/>
      <c r="MCU9" s="239"/>
      <c r="MCV9" s="239"/>
      <c r="MCW9" s="239"/>
      <c r="MCX9" s="239"/>
      <c r="MCY9" s="239"/>
      <c r="MCZ9" s="239"/>
      <c r="MDA9" s="239"/>
      <c r="MDB9" s="239"/>
      <c r="MDC9" s="239"/>
      <c r="MDD9" s="239"/>
      <c r="MDE9" s="239"/>
      <c r="MDF9" s="239"/>
      <c r="MDG9" s="239"/>
      <c r="MDH9" s="239"/>
      <c r="MDI9" s="239"/>
      <c r="MDJ9" s="239"/>
      <c r="MDK9" s="239"/>
      <c r="MDL9" s="239"/>
      <c r="MDM9" s="239"/>
      <c r="MDN9" s="239"/>
      <c r="MDO9" s="239"/>
      <c r="MDP9" s="239"/>
      <c r="MDQ9" s="239"/>
      <c r="MDR9" s="239"/>
      <c r="MDS9" s="239"/>
      <c r="MDT9" s="239"/>
      <c r="MDU9" s="239"/>
      <c r="MDV9" s="239"/>
      <c r="MDW9" s="239"/>
    </row>
    <row r="10" spans="1:8915" s="47" customFormat="1" hidden="1">
      <c r="A10" s="52"/>
      <c r="B10" s="187">
        <v>45753</v>
      </c>
      <c r="C10" s="187" t="s">
        <v>198</v>
      </c>
      <c r="D10" s="188">
        <v>1274.9952000002336</v>
      </c>
      <c r="E10" s="188">
        <v>511.38240000037069</v>
      </c>
      <c r="F10" s="188">
        <v>98.129999999888241</v>
      </c>
      <c r="G10" s="188">
        <v>579.20000000001164</v>
      </c>
      <c r="H10" s="188">
        <v>729.56999999997424</v>
      </c>
      <c r="I10" s="188">
        <v>16.590000000000146</v>
      </c>
      <c r="J10" s="188">
        <v>273.33359999995093</v>
      </c>
      <c r="K10" s="188">
        <v>356.85219999993598</v>
      </c>
      <c r="L10" s="188">
        <v>2421.4499999993095</v>
      </c>
      <c r="M10" s="188">
        <v>346.25</v>
      </c>
      <c r="N10" s="282">
        <v>467.2</v>
      </c>
      <c r="O10" s="282">
        <v>2329.5834000003438</v>
      </c>
      <c r="P10" s="189">
        <f t="shared" si="0"/>
        <v>9404.536800000018</v>
      </c>
      <c r="Q10" s="188">
        <v>7289.0000000000882</v>
      </c>
      <c r="R10" s="188">
        <v>17455.299999999814</v>
      </c>
      <c r="S10" s="188">
        <v>336.50040000010165</v>
      </c>
      <c r="T10" s="188">
        <v>528.41540000008581</v>
      </c>
      <c r="U10" s="188">
        <v>230.0707999999895</v>
      </c>
      <c r="V10" s="189">
        <f t="shared" si="1"/>
        <v>35243.823400000088</v>
      </c>
      <c r="W10" s="81"/>
      <c r="X10" s="262">
        <f>Summary!K10</f>
        <v>35243.823400000088</v>
      </c>
      <c r="Y10" s="239"/>
      <c r="Z10" s="281">
        <f t="shared" si="2"/>
        <v>0</v>
      </c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  <c r="AT10" s="239"/>
      <c r="AU10" s="239"/>
      <c r="AV10" s="239"/>
      <c r="AW10" s="239"/>
      <c r="AX10" s="239"/>
      <c r="AY10" s="239"/>
      <c r="AZ10" s="239"/>
      <c r="BA10" s="239"/>
      <c r="BB10" s="239"/>
      <c r="BC10" s="239"/>
      <c r="BD10" s="239"/>
      <c r="BE10" s="239"/>
      <c r="BF10" s="239"/>
      <c r="BG10" s="239"/>
      <c r="BH10" s="239"/>
      <c r="BI10" s="239"/>
      <c r="BJ10" s="239"/>
      <c r="BK10" s="239"/>
      <c r="BL10" s="239"/>
      <c r="BM10" s="239"/>
      <c r="BN10" s="239"/>
      <c r="BO10" s="239"/>
      <c r="BP10" s="239"/>
      <c r="BQ10" s="239"/>
      <c r="BR10" s="239"/>
      <c r="BS10" s="239"/>
      <c r="BT10" s="239"/>
      <c r="BU10" s="239"/>
      <c r="BV10" s="239"/>
      <c r="BW10" s="239"/>
      <c r="BX10" s="239"/>
      <c r="BY10" s="239"/>
      <c r="BZ10" s="239"/>
      <c r="CA10" s="239"/>
      <c r="CB10" s="239"/>
      <c r="CC10" s="239"/>
      <c r="CD10" s="239"/>
      <c r="CE10" s="239"/>
      <c r="CF10" s="239"/>
      <c r="CG10" s="239"/>
      <c r="CH10" s="239"/>
      <c r="CI10" s="239"/>
      <c r="CJ10" s="239"/>
      <c r="CK10" s="239"/>
      <c r="CL10" s="239"/>
      <c r="CM10" s="239"/>
      <c r="CN10" s="239"/>
      <c r="CO10" s="239"/>
      <c r="CP10" s="239"/>
      <c r="CQ10" s="239"/>
      <c r="CR10" s="239"/>
      <c r="CS10" s="239"/>
      <c r="CT10" s="239"/>
      <c r="CU10" s="239"/>
      <c r="CV10" s="239"/>
      <c r="CW10" s="239"/>
      <c r="CX10" s="239"/>
      <c r="CY10" s="239"/>
      <c r="CZ10" s="239"/>
      <c r="DA10" s="239"/>
      <c r="DB10" s="239"/>
      <c r="DC10" s="239"/>
      <c r="DD10" s="239"/>
      <c r="DE10" s="239"/>
      <c r="DF10" s="239"/>
      <c r="DG10" s="239"/>
      <c r="DH10" s="239"/>
      <c r="DI10" s="239"/>
      <c r="DJ10" s="239"/>
      <c r="DK10" s="239"/>
      <c r="DL10" s="239"/>
      <c r="DM10" s="239"/>
      <c r="DN10" s="239"/>
      <c r="DO10" s="239"/>
      <c r="DP10" s="239"/>
      <c r="DQ10" s="239"/>
      <c r="DR10" s="239"/>
      <c r="DS10" s="239"/>
      <c r="DT10" s="239"/>
      <c r="DU10" s="239"/>
      <c r="DV10" s="239"/>
      <c r="DW10" s="239"/>
      <c r="DX10" s="239"/>
      <c r="DY10" s="239"/>
      <c r="DZ10" s="239"/>
      <c r="EA10" s="239"/>
      <c r="EB10" s="239"/>
      <c r="EC10" s="239"/>
      <c r="ED10" s="239"/>
      <c r="EE10" s="239"/>
      <c r="EF10" s="239"/>
      <c r="EG10" s="239"/>
      <c r="EH10" s="239"/>
      <c r="EI10" s="239"/>
      <c r="EJ10" s="239"/>
      <c r="EK10" s="239"/>
      <c r="EL10" s="239"/>
      <c r="EM10" s="239"/>
      <c r="EN10" s="239"/>
      <c r="EO10" s="239"/>
      <c r="EP10" s="239"/>
      <c r="EQ10" s="239"/>
      <c r="ER10" s="239"/>
      <c r="ES10" s="239"/>
      <c r="ET10" s="239"/>
      <c r="EU10" s="239"/>
      <c r="EV10" s="239"/>
      <c r="EW10" s="239"/>
      <c r="EX10" s="239"/>
      <c r="EY10" s="239"/>
      <c r="EZ10" s="239"/>
      <c r="FA10" s="239"/>
      <c r="FB10" s="239"/>
      <c r="FC10" s="239"/>
      <c r="FD10" s="239"/>
      <c r="FE10" s="239"/>
      <c r="FF10" s="239"/>
      <c r="FG10" s="239"/>
      <c r="FH10" s="239"/>
      <c r="FI10" s="239"/>
      <c r="FJ10" s="239"/>
      <c r="FK10" s="239"/>
      <c r="FL10" s="239"/>
      <c r="FM10" s="239"/>
      <c r="FN10" s="239"/>
      <c r="FO10" s="239"/>
      <c r="FP10" s="239"/>
      <c r="FQ10" s="239"/>
      <c r="FR10" s="239"/>
      <c r="FS10" s="239"/>
      <c r="FT10" s="239"/>
      <c r="FU10" s="239"/>
      <c r="FV10" s="239"/>
      <c r="FW10" s="239"/>
      <c r="FX10" s="239"/>
      <c r="FY10" s="239"/>
      <c r="FZ10" s="239"/>
      <c r="GA10" s="239"/>
      <c r="GB10" s="239"/>
      <c r="GC10" s="239"/>
      <c r="GD10" s="239"/>
      <c r="GE10" s="239"/>
      <c r="GF10" s="239"/>
      <c r="GG10" s="239"/>
      <c r="GH10" s="239"/>
      <c r="GI10" s="239"/>
      <c r="GJ10" s="239"/>
      <c r="GK10" s="239"/>
      <c r="GL10" s="239"/>
      <c r="GM10" s="239"/>
      <c r="GN10" s="239"/>
      <c r="GO10" s="239"/>
      <c r="GP10" s="239"/>
      <c r="GQ10" s="239"/>
      <c r="GR10" s="239"/>
      <c r="GS10" s="239"/>
      <c r="GT10" s="239"/>
      <c r="GU10" s="239"/>
      <c r="GV10" s="239"/>
      <c r="GW10" s="239"/>
      <c r="GX10" s="239"/>
      <c r="GY10" s="239"/>
      <c r="GZ10" s="239"/>
      <c r="HA10" s="239"/>
      <c r="HB10" s="239"/>
      <c r="HC10" s="239"/>
      <c r="HD10" s="239"/>
      <c r="HE10" s="239"/>
      <c r="HF10" s="239"/>
      <c r="HG10" s="239"/>
      <c r="HH10" s="239"/>
      <c r="HI10" s="239"/>
      <c r="HJ10" s="239"/>
      <c r="HK10" s="239"/>
      <c r="HL10" s="239"/>
      <c r="HM10" s="239"/>
      <c r="HN10" s="239"/>
      <c r="HO10" s="239"/>
      <c r="HP10" s="239"/>
      <c r="HQ10" s="239"/>
      <c r="HR10" s="239"/>
      <c r="HS10" s="239"/>
      <c r="HT10" s="239"/>
      <c r="HU10" s="239"/>
      <c r="HV10" s="239"/>
      <c r="HW10" s="239"/>
      <c r="HX10" s="239"/>
      <c r="HY10" s="239"/>
      <c r="HZ10" s="239"/>
      <c r="IA10" s="239"/>
      <c r="IB10" s="239"/>
      <c r="IC10" s="239"/>
      <c r="ID10" s="239"/>
      <c r="IE10" s="239"/>
      <c r="IF10" s="239"/>
      <c r="IG10" s="239"/>
      <c r="IH10" s="239"/>
      <c r="II10" s="239"/>
      <c r="IJ10" s="239"/>
      <c r="IK10" s="239"/>
      <c r="IL10" s="239"/>
      <c r="IM10" s="239"/>
      <c r="IN10" s="239"/>
      <c r="IO10" s="239"/>
      <c r="IP10" s="239"/>
      <c r="IQ10" s="239"/>
      <c r="IR10" s="239"/>
      <c r="IS10" s="239"/>
      <c r="IT10" s="239"/>
      <c r="IU10" s="239"/>
      <c r="IV10" s="239"/>
      <c r="IW10" s="239"/>
      <c r="IX10" s="239"/>
      <c r="IY10" s="239"/>
      <c r="IZ10" s="239"/>
      <c r="JA10" s="239"/>
      <c r="JB10" s="239"/>
      <c r="JC10" s="239"/>
      <c r="JD10" s="239"/>
      <c r="JE10" s="239"/>
      <c r="JF10" s="239"/>
      <c r="JG10" s="239"/>
      <c r="JH10" s="239"/>
      <c r="JI10" s="239"/>
      <c r="JJ10" s="239"/>
      <c r="JK10" s="239"/>
      <c r="JL10" s="239"/>
      <c r="JM10" s="239"/>
      <c r="JN10" s="239"/>
      <c r="JO10" s="239"/>
      <c r="JP10" s="239"/>
      <c r="JQ10" s="239"/>
      <c r="JR10" s="239"/>
      <c r="JS10" s="239"/>
      <c r="JT10" s="239"/>
      <c r="JU10" s="239"/>
      <c r="JV10" s="239"/>
      <c r="JW10" s="239"/>
      <c r="JX10" s="239"/>
      <c r="JY10" s="239"/>
      <c r="JZ10" s="239"/>
      <c r="KA10" s="239"/>
      <c r="KB10" s="239"/>
      <c r="KC10" s="239"/>
      <c r="KD10" s="239"/>
      <c r="KE10" s="239"/>
      <c r="KF10" s="239"/>
      <c r="KG10" s="239"/>
      <c r="KH10" s="239"/>
      <c r="KI10" s="239"/>
      <c r="KJ10" s="239"/>
      <c r="KK10" s="239"/>
      <c r="KL10" s="239"/>
      <c r="KM10" s="239"/>
      <c r="KN10" s="239"/>
      <c r="KO10" s="239"/>
      <c r="KP10" s="239"/>
      <c r="KQ10" s="239"/>
      <c r="KR10" s="239"/>
      <c r="KS10" s="239"/>
      <c r="KT10" s="239"/>
      <c r="KU10" s="239"/>
      <c r="KV10" s="239"/>
      <c r="KW10" s="239"/>
      <c r="KX10" s="239"/>
      <c r="KY10" s="239"/>
      <c r="KZ10" s="239"/>
      <c r="LA10" s="239"/>
      <c r="LB10" s="239"/>
      <c r="LC10" s="239"/>
      <c r="LD10" s="239"/>
      <c r="LE10" s="239"/>
      <c r="LF10" s="239"/>
      <c r="LG10" s="239"/>
      <c r="LH10" s="239"/>
      <c r="LI10" s="239"/>
      <c r="LJ10" s="239"/>
      <c r="LK10" s="239"/>
      <c r="LL10" s="239"/>
      <c r="LM10" s="239"/>
      <c r="LN10" s="239"/>
      <c r="LO10" s="239"/>
      <c r="LP10" s="239"/>
      <c r="LQ10" s="239"/>
      <c r="LR10" s="239"/>
      <c r="LS10" s="239"/>
      <c r="LT10" s="239"/>
      <c r="LU10" s="239"/>
      <c r="LV10" s="239"/>
      <c r="LW10" s="239"/>
      <c r="LX10" s="239"/>
      <c r="LY10" s="239"/>
      <c r="LZ10" s="239"/>
      <c r="MA10" s="239"/>
      <c r="MB10" s="239"/>
      <c r="MC10" s="239"/>
      <c r="MD10" s="239"/>
      <c r="ME10" s="239"/>
      <c r="MF10" s="239"/>
      <c r="MG10" s="239"/>
      <c r="MH10" s="239"/>
      <c r="MI10" s="239"/>
      <c r="MJ10" s="239"/>
      <c r="MK10" s="239"/>
      <c r="ML10" s="239"/>
      <c r="MM10" s="239"/>
      <c r="MN10" s="239"/>
      <c r="MO10" s="239"/>
      <c r="MP10" s="239"/>
      <c r="MQ10" s="239"/>
      <c r="MR10" s="239"/>
      <c r="MS10" s="239"/>
      <c r="MT10" s="239"/>
      <c r="MU10" s="239"/>
      <c r="MV10" s="239"/>
      <c r="MW10" s="239"/>
      <c r="MX10" s="239"/>
      <c r="MY10" s="239"/>
      <c r="MZ10" s="239"/>
      <c r="NA10" s="239"/>
      <c r="NB10" s="239"/>
      <c r="NC10" s="239"/>
      <c r="ND10" s="239"/>
      <c r="NE10" s="239"/>
      <c r="NF10" s="239"/>
      <c r="NG10" s="239"/>
      <c r="NH10" s="239"/>
      <c r="NI10" s="239"/>
      <c r="NJ10" s="239"/>
      <c r="NK10" s="239"/>
      <c r="NL10" s="239"/>
      <c r="NM10" s="239"/>
      <c r="NN10" s="239"/>
      <c r="NO10" s="239"/>
      <c r="NP10" s="239"/>
      <c r="NQ10" s="239"/>
      <c r="NR10" s="239"/>
      <c r="NS10" s="239"/>
      <c r="NT10" s="239"/>
      <c r="NU10" s="239"/>
      <c r="NV10" s="239"/>
      <c r="NW10" s="239"/>
      <c r="NX10" s="239"/>
      <c r="NY10" s="239"/>
      <c r="NZ10" s="239"/>
      <c r="OA10" s="239"/>
      <c r="OB10" s="239"/>
      <c r="OC10" s="239"/>
      <c r="OD10" s="239"/>
      <c r="OE10" s="239"/>
      <c r="OF10" s="239"/>
      <c r="OG10" s="239"/>
      <c r="OH10" s="239"/>
      <c r="OI10" s="239"/>
      <c r="OJ10" s="239"/>
      <c r="OK10" s="239"/>
      <c r="OL10" s="239"/>
      <c r="OM10" s="239"/>
      <c r="ON10" s="239"/>
      <c r="OO10" s="239"/>
      <c r="OP10" s="239"/>
      <c r="OQ10" s="239"/>
      <c r="OR10" s="239"/>
      <c r="OS10" s="239"/>
      <c r="OT10" s="239"/>
      <c r="OU10" s="239"/>
      <c r="OV10" s="239"/>
      <c r="OW10" s="239"/>
      <c r="OX10" s="239"/>
      <c r="OY10" s="239"/>
      <c r="OZ10" s="239"/>
      <c r="PA10" s="239"/>
      <c r="PB10" s="239"/>
      <c r="PC10" s="239"/>
      <c r="PD10" s="239"/>
      <c r="PE10" s="239"/>
      <c r="PF10" s="239"/>
      <c r="PG10" s="239"/>
      <c r="PH10" s="239"/>
      <c r="PI10" s="239"/>
      <c r="PJ10" s="239"/>
      <c r="PK10" s="239"/>
      <c r="PL10" s="239"/>
      <c r="PM10" s="239"/>
      <c r="PN10" s="239"/>
      <c r="PO10" s="239"/>
      <c r="PP10" s="239"/>
      <c r="PQ10" s="239"/>
      <c r="PR10" s="239"/>
      <c r="PS10" s="239"/>
      <c r="PT10" s="239"/>
      <c r="PU10" s="239"/>
      <c r="PV10" s="239"/>
      <c r="PW10" s="239"/>
      <c r="PX10" s="239"/>
      <c r="PY10" s="239"/>
      <c r="PZ10" s="239"/>
      <c r="QA10" s="239"/>
      <c r="QB10" s="239"/>
      <c r="QC10" s="239"/>
      <c r="QD10" s="239"/>
      <c r="QE10" s="239"/>
      <c r="QF10" s="239"/>
      <c r="QG10" s="239"/>
      <c r="QH10" s="239"/>
      <c r="QI10" s="239"/>
      <c r="QJ10" s="239"/>
      <c r="QK10" s="239"/>
      <c r="QL10" s="239"/>
      <c r="QM10" s="239"/>
      <c r="QN10" s="239"/>
      <c r="QO10" s="239"/>
      <c r="QP10" s="239"/>
      <c r="QQ10" s="239"/>
      <c r="QR10" s="239"/>
      <c r="QS10" s="239"/>
      <c r="QT10" s="239"/>
      <c r="QU10" s="239"/>
      <c r="QV10" s="239"/>
      <c r="QW10" s="239"/>
      <c r="QX10" s="239"/>
      <c r="QY10" s="239"/>
      <c r="QZ10" s="239"/>
      <c r="RA10" s="239"/>
      <c r="RB10" s="239"/>
      <c r="RC10" s="239"/>
      <c r="RD10" s="239"/>
      <c r="RE10" s="239"/>
      <c r="RF10" s="239"/>
      <c r="RG10" s="239"/>
      <c r="RH10" s="239"/>
      <c r="RI10" s="239"/>
      <c r="RJ10" s="239"/>
      <c r="RK10" s="239"/>
      <c r="RL10" s="239"/>
      <c r="RM10" s="239"/>
      <c r="RN10" s="239"/>
      <c r="RO10" s="239"/>
      <c r="RP10" s="239"/>
      <c r="RQ10" s="239"/>
      <c r="RR10" s="239"/>
      <c r="RS10" s="239"/>
      <c r="RT10" s="239"/>
      <c r="RU10" s="239"/>
      <c r="RV10" s="239"/>
      <c r="RW10" s="239"/>
      <c r="RX10" s="239"/>
      <c r="RY10" s="239"/>
      <c r="RZ10" s="239"/>
      <c r="SA10" s="239"/>
      <c r="SB10" s="239"/>
      <c r="SC10" s="239"/>
      <c r="SD10" s="239"/>
      <c r="SE10" s="239"/>
      <c r="SF10" s="239"/>
      <c r="SG10" s="239"/>
      <c r="SH10" s="239"/>
      <c r="SI10" s="239"/>
      <c r="SJ10" s="239"/>
      <c r="SK10" s="239"/>
      <c r="SL10" s="239"/>
      <c r="SM10" s="239"/>
      <c r="SN10" s="239"/>
      <c r="SO10" s="239"/>
      <c r="SP10" s="239"/>
      <c r="SQ10" s="239"/>
      <c r="SR10" s="239"/>
      <c r="SS10" s="239"/>
      <c r="ST10" s="239"/>
      <c r="SU10" s="239"/>
      <c r="SV10" s="239"/>
      <c r="SW10" s="239"/>
      <c r="SX10" s="239"/>
      <c r="SY10" s="239"/>
      <c r="SZ10" s="239"/>
      <c r="TA10" s="239"/>
      <c r="TB10" s="239"/>
      <c r="TC10" s="239"/>
      <c r="TD10" s="239"/>
      <c r="TE10" s="239"/>
      <c r="TF10" s="239"/>
      <c r="TG10" s="239"/>
      <c r="TH10" s="239"/>
      <c r="TI10" s="239"/>
      <c r="TJ10" s="239"/>
      <c r="TK10" s="239"/>
      <c r="TL10" s="239"/>
      <c r="TM10" s="239"/>
      <c r="TN10" s="239"/>
      <c r="TO10" s="239"/>
      <c r="TP10" s="239"/>
      <c r="TQ10" s="239"/>
      <c r="TR10" s="239"/>
      <c r="TS10" s="239"/>
      <c r="TT10" s="239"/>
      <c r="TU10" s="239"/>
      <c r="TV10" s="239"/>
      <c r="TW10" s="239"/>
      <c r="TX10" s="239"/>
      <c r="TY10" s="239"/>
      <c r="TZ10" s="239"/>
      <c r="UA10" s="239"/>
      <c r="UB10" s="239"/>
      <c r="UC10" s="239"/>
      <c r="UD10" s="239"/>
      <c r="UE10" s="239"/>
      <c r="UF10" s="239"/>
      <c r="UG10" s="239"/>
      <c r="UH10" s="239"/>
      <c r="UI10" s="239"/>
      <c r="UJ10" s="239"/>
      <c r="UK10" s="239"/>
      <c r="UL10" s="239"/>
      <c r="UM10" s="239"/>
      <c r="UN10" s="239"/>
      <c r="UO10" s="239"/>
      <c r="UP10" s="239"/>
      <c r="UQ10" s="239"/>
      <c r="UR10" s="239"/>
      <c r="US10" s="239"/>
      <c r="UT10" s="239"/>
      <c r="UU10" s="239"/>
      <c r="UV10" s="239"/>
      <c r="UW10" s="239"/>
      <c r="UX10" s="239"/>
      <c r="UY10" s="239"/>
      <c r="UZ10" s="239"/>
      <c r="VA10" s="239"/>
      <c r="VB10" s="239"/>
      <c r="VC10" s="239"/>
      <c r="VD10" s="239"/>
      <c r="VE10" s="239"/>
      <c r="VF10" s="239"/>
      <c r="VG10" s="239"/>
      <c r="VH10" s="239"/>
      <c r="VI10" s="239"/>
      <c r="VJ10" s="239"/>
      <c r="VK10" s="239"/>
      <c r="VL10" s="239"/>
      <c r="VM10" s="239"/>
      <c r="VN10" s="239"/>
      <c r="VO10" s="239"/>
      <c r="VP10" s="239"/>
      <c r="VQ10" s="239"/>
      <c r="VR10" s="239"/>
      <c r="VS10" s="239"/>
      <c r="VT10" s="239"/>
      <c r="VU10" s="239"/>
      <c r="VV10" s="239"/>
      <c r="VW10" s="239"/>
      <c r="VX10" s="239"/>
      <c r="VY10" s="239"/>
      <c r="VZ10" s="239"/>
      <c r="WA10" s="239"/>
      <c r="WB10" s="239"/>
      <c r="WC10" s="239"/>
      <c r="WD10" s="239"/>
      <c r="WE10" s="239"/>
      <c r="WF10" s="239"/>
      <c r="WG10" s="239"/>
      <c r="WH10" s="239"/>
      <c r="WI10" s="239"/>
      <c r="WJ10" s="239"/>
      <c r="WK10" s="239"/>
      <c r="WL10" s="239"/>
      <c r="WM10" s="239"/>
      <c r="WN10" s="239"/>
      <c r="WO10" s="239"/>
      <c r="WP10" s="239"/>
      <c r="WQ10" s="239"/>
      <c r="WR10" s="239"/>
      <c r="WS10" s="239"/>
      <c r="WT10" s="239"/>
      <c r="WU10" s="239"/>
      <c r="WV10" s="239"/>
      <c r="WW10" s="239"/>
      <c r="WX10" s="239"/>
      <c r="WY10" s="239"/>
      <c r="WZ10" s="239"/>
      <c r="XA10" s="239"/>
      <c r="XB10" s="239"/>
      <c r="XC10" s="239"/>
      <c r="XD10" s="239"/>
      <c r="XE10" s="239"/>
      <c r="XF10" s="239"/>
      <c r="XG10" s="239"/>
      <c r="XH10" s="239"/>
      <c r="XI10" s="239"/>
      <c r="XJ10" s="239"/>
      <c r="XK10" s="239"/>
      <c r="XL10" s="239"/>
      <c r="XM10" s="239"/>
      <c r="XN10" s="239"/>
      <c r="XO10" s="239"/>
      <c r="XP10" s="239"/>
      <c r="XQ10" s="239"/>
      <c r="XR10" s="239"/>
      <c r="XS10" s="239"/>
      <c r="XT10" s="239"/>
      <c r="XU10" s="239"/>
      <c r="XV10" s="239"/>
      <c r="XW10" s="239"/>
      <c r="XX10" s="239"/>
      <c r="XY10" s="239"/>
      <c r="XZ10" s="239"/>
      <c r="YA10" s="239"/>
      <c r="YB10" s="239"/>
      <c r="YC10" s="239"/>
      <c r="YD10" s="239"/>
      <c r="YE10" s="239"/>
      <c r="YF10" s="239"/>
      <c r="YG10" s="239"/>
      <c r="YH10" s="239"/>
      <c r="YI10" s="239"/>
      <c r="YJ10" s="239"/>
      <c r="YK10" s="239"/>
      <c r="YL10" s="239"/>
      <c r="YM10" s="239"/>
      <c r="YN10" s="239"/>
      <c r="YO10" s="239"/>
      <c r="YP10" s="239"/>
      <c r="YQ10" s="239"/>
      <c r="YR10" s="239"/>
      <c r="YS10" s="239"/>
      <c r="YT10" s="239"/>
      <c r="YU10" s="239"/>
      <c r="YV10" s="239"/>
      <c r="YW10" s="239"/>
      <c r="YX10" s="239"/>
      <c r="YY10" s="239"/>
      <c r="YZ10" s="239"/>
      <c r="ZA10" s="239"/>
      <c r="ZB10" s="239"/>
      <c r="ZC10" s="239"/>
      <c r="ZD10" s="239"/>
      <c r="ZE10" s="239"/>
      <c r="ZF10" s="239"/>
      <c r="ZG10" s="239"/>
      <c r="ZH10" s="239"/>
      <c r="ZI10" s="239"/>
      <c r="ZJ10" s="239"/>
      <c r="ZK10" s="239"/>
      <c r="ZL10" s="239"/>
      <c r="ZM10" s="239"/>
      <c r="ZN10" s="239"/>
      <c r="ZO10" s="239"/>
      <c r="ZP10" s="239"/>
      <c r="ZQ10" s="239"/>
      <c r="ZR10" s="239"/>
      <c r="ZS10" s="239"/>
      <c r="ZT10" s="239"/>
      <c r="ZU10" s="239"/>
      <c r="ZV10" s="239"/>
      <c r="ZW10" s="239"/>
      <c r="ZX10" s="239"/>
      <c r="ZY10" s="239"/>
      <c r="ZZ10" s="239"/>
      <c r="AAA10" s="239"/>
      <c r="AAB10" s="239"/>
      <c r="AAC10" s="239"/>
      <c r="AAD10" s="239"/>
      <c r="AAE10" s="239"/>
      <c r="AAF10" s="239"/>
      <c r="AAG10" s="239"/>
      <c r="AAH10" s="239"/>
      <c r="AAI10" s="239"/>
      <c r="AAJ10" s="239"/>
      <c r="AAK10" s="239"/>
      <c r="AAL10" s="239"/>
      <c r="AAM10" s="239"/>
      <c r="AAN10" s="239"/>
      <c r="AAO10" s="239"/>
      <c r="AAP10" s="239"/>
      <c r="AAQ10" s="239"/>
      <c r="AAR10" s="239"/>
      <c r="AAS10" s="239"/>
      <c r="AAT10" s="239"/>
      <c r="AAU10" s="239"/>
      <c r="AAV10" s="239"/>
      <c r="AAW10" s="239"/>
      <c r="AAX10" s="239"/>
      <c r="AAY10" s="239"/>
      <c r="AAZ10" s="239"/>
      <c r="ABA10" s="239"/>
      <c r="ABB10" s="239"/>
      <c r="ABC10" s="239"/>
      <c r="ABD10" s="239"/>
      <c r="ABE10" s="239"/>
      <c r="ABF10" s="239"/>
      <c r="ABG10" s="239"/>
      <c r="ABH10" s="239"/>
      <c r="ABI10" s="239"/>
      <c r="ABJ10" s="239"/>
      <c r="ABK10" s="239"/>
      <c r="ABL10" s="239"/>
      <c r="ABM10" s="239"/>
      <c r="ABN10" s="239"/>
      <c r="ABO10" s="239"/>
      <c r="ABP10" s="239"/>
      <c r="ABQ10" s="239"/>
      <c r="ABR10" s="239"/>
      <c r="ABS10" s="239"/>
      <c r="ABT10" s="239"/>
      <c r="ABU10" s="239"/>
      <c r="ABV10" s="239"/>
      <c r="ABW10" s="239"/>
      <c r="ABX10" s="239"/>
      <c r="ABY10" s="239"/>
      <c r="ABZ10" s="239"/>
      <c r="ACA10" s="239"/>
      <c r="ACB10" s="239"/>
      <c r="ACC10" s="239"/>
      <c r="ACD10" s="239"/>
      <c r="ACE10" s="239"/>
      <c r="ACF10" s="239"/>
      <c r="ACG10" s="239"/>
      <c r="ACH10" s="239"/>
      <c r="ACI10" s="239"/>
      <c r="ACJ10" s="239"/>
      <c r="ACK10" s="239"/>
      <c r="ACL10" s="239"/>
      <c r="ACM10" s="239"/>
      <c r="ACN10" s="239"/>
      <c r="ACO10" s="239"/>
      <c r="ACP10" s="239"/>
      <c r="ACQ10" s="239"/>
      <c r="ACR10" s="239"/>
      <c r="ACS10" s="239"/>
      <c r="ACT10" s="239"/>
      <c r="ACU10" s="239"/>
      <c r="ACV10" s="239"/>
      <c r="ACW10" s="239"/>
      <c r="ACX10" s="239"/>
      <c r="ACY10" s="239"/>
      <c r="ACZ10" s="239"/>
      <c r="ADA10" s="239"/>
      <c r="ADB10" s="239"/>
      <c r="ADC10" s="239"/>
      <c r="ADD10" s="239"/>
      <c r="ADE10" s="239"/>
      <c r="ADF10" s="239"/>
      <c r="ADG10" s="239"/>
      <c r="ADH10" s="239"/>
      <c r="ADI10" s="239"/>
      <c r="ADJ10" s="239"/>
      <c r="ADK10" s="239"/>
      <c r="ADL10" s="239"/>
      <c r="ADM10" s="239"/>
      <c r="ADN10" s="239"/>
      <c r="ADO10" s="239"/>
      <c r="ADP10" s="239"/>
      <c r="ADQ10" s="239"/>
      <c r="ADR10" s="239"/>
      <c r="ADS10" s="239"/>
      <c r="ADT10" s="239"/>
      <c r="ADU10" s="239"/>
      <c r="ADV10" s="239"/>
      <c r="ADW10" s="239"/>
      <c r="ADX10" s="239"/>
      <c r="ADY10" s="239"/>
      <c r="ADZ10" s="239"/>
      <c r="AEA10" s="239"/>
      <c r="AEB10" s="239"/>
      <c r="AEC10" s="239"/>
      <c r="AED10" s="239"/>
      <c r="AEE10" s="239"/>
      <c r="AEF10" s="239"/>
      <c r="AEG10" s="239"/>
      <c r="AEH10" s="239"/>
      <c r="AEI10" s="239"/>
      <c r="AEJ10" s="239"/>
      <c r="AEK10" s="239"/>
      <c r="AEL10" s="239"/>
      <c r="AEM10" s="239"/>
      <c r="AEN10" s="239"/>
      <c r="AEO10" s="239"/>
      <c r="AEP10" s="239"/>
      <c r="AEQ10" s="239"/>
      <c r="AER10" s="239"/>
      <c r="AES10" s="239"/>
      <c r="AET10" s="239"/>
      <c r="AEU10" s="239"/>
      <c r="AEV10" s="239"/>
      <c r="AEW10" s="239"/>
      <c r="AEX10" s="239"/>
      <c r="AEY10" s="239"/>
      <c r="AEZ10" s="239"/>
      <c r="AFA10" s="239"/>
      <c r="AFB10" s="239"/>
      <c r="AFC10" s="239"/>
      <c r="AFD10" s="239"/>
      <c r="AFE10" s="239"/>
      <c r="AFF10" s="239"/>
      <c r="AFG10" s="239"/>
      <c r="AFH10" s="239"/>
      <c r="AFI10" s="239"/>
      <c r="AFJ10" s="239"/>
      <c r="AFK10" s="239"/>
      <c r="AFL10" s="239"/>
      <c r="AFM10" s="239"/>
      <c r="AFN10" s="239"/>
      <c r="AFO10" s="239"/>
      <c r="AFP10" s="239"/>
      <c r="AFQ10" s="239"/>
      <c r="AFR10" s="239"/>
      <c r="AFS10" s="239"/>
      <c r="AFT10" s="239"/>
      <c r="AFU10" s="239"/>
      <c r="AFV10" s="239"/>
      <c r="AFW10" s="239"/>
      <c r="AFX10" s="239"/>
      <c r="AFY10" s="239"/>
      <c r="AFZ10" s="239"/>
      <c r="AGA10" s="239"/>
      <c r="AGB10" s="239"/>
      <c r="AGC10" s="239"/>
      <c r="AGD10" s="239"/>
      <c r="AGE10" s="239"/>
      <c r="AGF10" s="239"/>
      <c r="AGG10" s="239"/>
      <c r="AGH10" s="239"/>
      <c r="AGI10" s="239"/>
      <c r="AGJ10" s="239"/>
      <c r="AGK10" s="239"/>
      <c r="AGL10" s="239"/>
      <c r="AGM10" s="239"/>
      <c r="AGN10" s="239"/>
      <c r="AGO10" s="239"/>
      <c r="AGP10" s="239"/>
      <c r="AGQ10" s="239"/>
      <c r="AGR10" s="239"/>
      <c r="AGS10" s="239"/>
      <c r="AGT10" s="239"/>
      <c r="AGU10" s="239"/>
      <c r="AGV10" s="239"/>
      <c r="AGW10" s="239"/>
      <c r="AGX10" s="239"/>
      <c r="AGY10" s="239"/>
      <c r="AGZ10" s="239"/>
      <c r="AHA10" s="239"/>
      <c r="AHB10" s="239"/>
      <c r="AHC10" s="239"/>
      <c r="AHD10" s="239"/>
      <c r="AHE10" s="239"/>
      <c r="AHF10" s="239"/>
      <c r="AHG10" s="239"/>
      <c r="AHH10" s="239"/>
      <c r="AHI10" s="239"/>
      <c r="AHJ10" s="239"/>
      <c r="AHK10" s="239"/>
      <c r="AHL10" s="239"/>
      <c r="AHM10" s="239"/>
      <c r="AHN10" s="239"/>
      <c r="AHO10" s="239"/>
      <c r="AHP10" s="239"/>
      <c r="AHQ10" s="239"/>
      <c r="AHR10" s="239"/>
      <c r="AHS10" s="239"/>
      <c r="AHT10" s="239"/>
      <c r="AHU10" s="239"/>
      <c r="AHV10" s="239"/>
      <c r="AHW10" s="239"/>
      <c r="AHX10" s="239"/>
      <c r="AHY10" s="239"/>
      <c r="AHZ10" s="239"/>
      <c r="AIA10" s="239"/>
      <c r="AIB10" s="239"/>
      <c r="AIC10" s="239"/>
      <c r="AID10" s="239"/>
      <c r="AIE10" s="239"/>
      <c r="AIF10" s="239"/>
      <c r="AIG10" s="239"/>
      <c r="AIH10" s="239"/>
      <c r="AII10" s="239"/>
      <c r="AIJ10" s="239"/>
      <c r="AIK10" s="239"/>
      <c r="AIL10" s="239"/>
      <c r="AIM10" s="239"/>
      <c r="AIN10" s="239"/>
      <c r="AIO10" s="239"/>
      <c r="AIP10" s="239"/>
      <c r="AIQ10" s="239"/>
      <c r="AIR10" s="239"/>
      <c r="AIS10" s="239"/>
      <c r="AIT10" s="239"/>
      <c r="AIU10" s="239"/>
      <c r="AIV10" s="239"/>
      <c r="AIW10" s="239"/>
      <c r="AIX10" s="239"/>
      <c r="AIY10" s="239"/>
      <c r="AIZ10" s="239"/>
      <c r="AJA10" s="239"/>
      <c r="AJB10" s="239"/>
      <c r="AJC10" s="239"/>
      <c r="AJD10" s="239"/>
      <c r="AJE10" s="239"/>
      <c r="AJF10" s="239"/>
      <c r="AJG10" s="239"/>
      <c r="AJH10" s="239"/>
      <c r="AJI10" s="239"/>
      <c r="AJJ10" s="239"/>
      <c r="AJK10" s="239"/>
      <c r="AJL10" s="239"/>
      <c r="AJM10" s="239"/>
      <c r="AJN10" s="239"/>
      <c r="AJO10" s="239"/>
      <c r="AJP10" s="239"/>
      <c r="AJQ10" s="239"/>
      <c r="AJR10" s="239"/>
      <c r="AJS10" s="239"/>
      <c r="AJT10" s="239"/>
      <c r="AJU10" s="239"/>
      <c r="AJV10" s="239"/>
      <c r="AJW10" s="239"/>
      <c r="AJX10" s="239"/>
      <c r="AJY10" s="239"/>
      <c r="AJZ10" s="239"/>
      <c r="AKA10" s="239"/>
      <c r="AKB10" s="239"/>
      <c r="AKC10" s="239"/>
      <c r="AKD10" s="239"/>
      <c r="AKE10" s="239"/>
      <c r="AKF10" s="239"/>
      <c r="AKG10" s="239"/>
      <c r="AKH10" s="239"/>
      <c r="AKI10" s="239"/>
      <c r="AKJ10" s="239"/>
      <c r="AKK10" s="239"/>
      <c r="AKL10" s="239"/>
      <c r="AKM10" s="239"/>
      <c r="AKN10" s="239"/>
      <c r="AKO10" s="239"/>
      <c r="AKP10" s="239"/>
      <c r="AKQ10" s="239"/>
      <c r="AKR10" s="239"/>
      <c r="AKS10" s="239"/>
      <c r="AKT10" s="239"/>
      <c r="AKU10" s="239"/>
      <c r="AKV10" s="239"/>
      <c r="AKW10" s="239"/>
      <c r="AKX10" s="239"/>
      <c r="AKY10" s="239"/>
      <c r="AKZ10" s="239"/>
      <c r="ALA10" s="239"/>
      <c r="ALB10" s="239"/>
      <c r="ALC10" s="239"/>
      <c r="ALD10" s="239"/>
      <c r="ALE10" s="239"/>
      <c r="ALF10" s="239"/>
      <c r="ALG10" s="239"/>
      <c r="ALH10" s="239"/>
      <c r="ALI10" s="239"/>
      <c r="ALJ10" s="239"/>
      <c r="ALK10" s="239"/>
      <c r="ALL10" s="239"/>
      <c r="ALM10" s="239"/>
      <c r="ALN10" s="239"/>
      <c r="ALO10" s="239"/>
      <c r="ALP10" s="239"/>
      <c r="ALQ10" s="239"/>
      <c r="ALR10" s="239"/>
      <c r="ALS10" s="239"/>
      <c r="ALT10" s="239"/>
      <c r="ALU10" s="239"/>
      <c r="ALV10" s="239"/>
      <c r="ALW10" s="239"/>
      <c r="ALX10" s="239"/>
      <c r="ALY10" s="239"/>
      <c r="ALZ10" s="239"/>
      <c r="AMA10" s="239"/>
      <c r="AMB10" s="239"/>
      <c r="AMC10" s="239"/>
      <c r="AMD10" s="239"/>
      <c r="AME10" s="239"/>
      <c r="AMF10" s="239"/>
      <c r="AMG10" s="239"/>
      <c r="AMH10" s="239"/>
      <c r="AMI10" s="239"/>
      <c r="AMJ10" s="239"/>
      <c r="AMK10" s="239"/>
      <c r="AML10" s="239"/>
      <c r="AMM10" s="239"/>
      <c r="AMN10" s="239"/>
      <c r="AMO10" s="239"/>
      <c r="AMP10" s="239"/>
      <c r="AMQ10" s="239"/>
      <c r="AMR10" s="239"/>
      <c r="AMS10" s="239"/>
      <c r="AMT10" s="239"/>
      <c r="AMU10" s="239"/>
      <c r="AMV10" s="239"/>
      <c r="AMW10" s="239"/>
      <c r="AMX10" s="239"/>
      <c r="AMY10" s="239"/>
      <c r="AMZ10" s="239"/>
      <c r="ANA10" s="239"/>
      <c r="ANB10" s="239"/>
      <c r="ANC10" s="239"/>
      <c r="AND10" s="239"/>
      <c r="ANE10" s="239"/>
      <c r="ANF10" s="239"/>
      <c r="ANG10" s="239"/>
      <c r="ANH10" s="239"/>
      <c r="ANI10" s="239"/>
      <c r="ANJ10" s="239"/>
      <c r="ANK10" s="239"/>
      <c r="ANL10" s="239"/>
      <c r="ANM10" s="239"/>
      <c r="ANN10" s="239"/>
      <c r="ANO10" s="239"/>
      <c r="ANP10" s="239"/>
      <c r="ANQ10" s="239"/>
      <c r="ANR10" s="239"/>
      <c r="ANS10" s="239"/>
      <c r="ANT10" s="239"/>
      <c r="ANU10" s="239"/>
      <c r="ANV10" s="239"/>
      <c r="ANW10" s="239"/>
      <c r="ANX10" s="239"/>
      <c r="ANY10" s="239"/>
      <c r="ANZ10" s="239"/>
      <c r="AOA10" s="239"/>
      <c r="AOB10" s="239"/>
      <c r="AOC10" s="239"/>
      <c r="AOD10" s="239"/>
      <c r="AOE10" s="239"/>
      <c r="AOF10" s="239"/>
      <c r="AOG10" s="239"/>
      <c r="AOH10" s="239"/>
      <c r="AOI10" s="239"/>
      <c r="AOJ10" s="239"/>
      <c r="AOK10" s="239"/>
      <c r="AOL10" s="239"/>
      <c r="AOM10" s="239"/>
      <c r="AON10" s="239"/>
      <c r="AOO10" s="239"/>
      <c r="AOP10" s="239"/>
      <c r="AOQ10" s="239"/>
      <c r="AOR10" s="239"/>
      <c r="AOS10" s="239"/>
      <c r="AOT10" s="239"/>
      <c r="AOU10" s="239"/>
      <c r="AOV10" s="239"/>
      <c r="AOW10" s="239"/>
      <c r="AOX10" s="239"/>
      <c r="AOY10" s="239"/>
      <c r="AOZ10" s="239"/>
      <c r="APA10" s="239"/>
      <c r="APB10" s="239"/>
      <c r="APC10" s="239"/>
      <c r="APD10" s="239"/>
      <c r="APE10" s="239"/>
      <c r="APF10" s="239"/>
      <c r="APG10" s="239"/>
      <c r="APH10" s="239"/>
      <c r="API10" s="239"/>
      <c r="APJ10" s="239"/>
      <c r="APK10" s="239"/>
      <c r="APL10" s="239"/>
      <c r="APM10" s="239"/>
      <c r="APN10" s="239"/>
      <c r="APO10" s="239"/>
      <c r="APP10" s="239"/>
      <c r="APQ10" s="239"/>
      <c r="APR10" s="239"/>
      <c r="APS10" s="239"/>
      <c r="APT10" s="239"/>
      <c r="APU10" s="239"/>
      <c r="APV10" s="239"/>
      <c r="APW10" s="239"/>
      <c r="APX10" s="239"/>
      <c r="APY10" s="239"/>
      <c r="APZ10" s="239"/>
      <c r="AQA10" s="239"/>
      <c r="AQB10" s="239"/>
      <c r="AQC10" s="239"/>
      <c r="AQD10" s="239"/>
      <c r="AQE10" s="239"/>
      <c r="AQF10" s="239"/>
      <c r="AQG10" s="239"/>
      <c r="AQH10" s="239"/>
      <c r="AQI10" s="239"/>
      <c r="AQJ10" s="239"/>
      <c r="AQK10" s="239"/>
      <c r="AQL10" s="239"/>
      <c r="AQM10" s="239"/>
      <c r="AQN10" s="239"/>
      <c r="AQO10" s="239"/>
      <c r="AQP10" s="239"/>
      <c r="AQQ10" s="239"/>
      <c r="AQR10" s="239"/>
      <c r="AQS10" s="239"/>
      <c r="AQT10" s="239"/>
      <c r="AQU10" s="239"/>
      <c r="AQV10" s="239"/>
      <c r="AQW10" s="239"/>
      <c r="AQX10" s="239"/>
      <c r="AQY10" s="239"/>
      <c r="AQZ10" s="239"/>
      <c r="ARA10" s="239"/>
      <c r="ARB10" s="239"/>
      <c r="ARC10" s="239"/>
      <c r="ARD10" s="239"/>
      <c r="ARE10" s="239"/>
      <c r="ARF10" s="239"/>
      <c r="ARG10" s="239"/>
      <c r="ARH10" s="239"/>
      <c r="ARI10" s="239"/>
      <c r="ARJ10" s="239"/>
      <c r="ARK10" s="239"/>
      <c r="ARL10" s="239"/>
      <c r="ARM10" s="239"/>
      <c r="ARN10" s="239"/>
      <c r="ARO10" s="239"/>
      <c r="ARP10" s="239"/>
      <c r="ARQ10" s="239"/>
      <c r="ARR10" s="239"/>
      <c r="ARS10" s="239"/>
      <c r="ART10" s="239"/>
      <c r="ARU10" s="239"/>
      <c r="ARV10" s="239"/>
      <c r="ARW10" s="239"/>
      <c r="ARX10" s="239"/>
      <c r="ARY10" s="239"/>
      <c r="ARZ10" s="239"/>
      <c r="ASA10" s="239"/>
      <c r="ASB10" s="239"/>
      <c r="ASC10" s="239"/>
      <c r="ASD10" s="239"/>
      <c r="ASE10" s="239"/>
      <c r="ASF10" s="239"/>
      <c r="ASG10" s="239"/>
      <c r="ASH10" s="239"/>
      <c r="ASI10" s="239"/>
      <c r="ASJ10" s="239"/>
      <c r="ASK10" s="239"/>
      <c r="ASL10" s="239"/>
      <c r="ASM10" s="239"/>
      <c r="ASN10" s="239"/>
      <c r="ASO10" s="239"/>
      <c r="ASP10" s="239"/>
      <c r="ASQ10" s="239"/>
      <c r="ASR10" s="239"/>
      <c r="ASS10" s="239"/>
      <c r="AST10" s="239"/>
      <c r="ASU10" s="239"/>
      <c r="ASV10" s="239"/>
      <c r="ASW10" s="239"/>
      <c r="ASX10" s="239"/>
      <c r="ASY10" s="239"/>
      <c r="ASZ10" s="239"/>
      <c r="ATA10" s="239"/>
      <c r="ATB10" s="239"/>
      <c r="ATC10" s="239"/>
      <c r="ATD10" s="239"/>
      <c r="ATE10" s="239"/>
      <c r="ATF10" s="239"/>
      <c r="ATG10" s="239"/>
      <c r="ATH10" s="239"/>
      <c r="ATI10" s="239"/>
      <c r="ATJ10" s="239"/>
      <c r="ATK10" s="239"/>
      <c r="ATL10" s="239"/>
      <c r="ATM10" s="239"/>
      <c r="ATN10" s="239"/>
      <c r="ATO10" s="239"/>
      <c r="ATP10" s="239"/>
      <c r="ATQ10" s="239"/>
      <c r="ATR10" s="239"/>
      <c r="ATS10" s="239"/>
      <c r="ATT10" s="239"/>
      <c r="ATU10" s="239"/>
      <c r="ATV10" s="239"/>
      <c r="ATW10" s="239"/>
      <c r="ATX10" s="239"/>
      <c r="ATY10" s="239"/>
      <c r="ATZ10" s="239"/>
      <c r="AUA10" s="239"/>
      <c r="AUB10" s="239"/>
      <c r="AUC10" s="239"/>
      <c r="AUD10" s="239"/>
      <c r="AUE10" s="239"/>
      <c r="AUF10" s="239"/>
      <c r="AUG10" s="239"/>
      <c r="AUH10" s="239"/>
      <c r="AUI10" s="239"/>
      <c r="AUJ10" s="239"/>
      <c r="AUK10" s="239"/>
      <c r="AUL10" s="239"/>
      <c r="AUM10" s="239"/>
      <c r="AUN10" s="239"/>
      <c r="AUO10" s="239"/>
      <c r="AUP10" s="239"/>
      <c r="AUQ10" s="239"/>
      <c r="AUR10" s="239"/>
      <c r="AUS10" s="239"/>
      <c r="AUT10" s="239"/>
      <c r="AUU10" s="239"/>
      <c r="AUV10" s="239"/>
      <c r="AUW10" s="239"/>
      <c r="AUX10" s="239"/>
      <c r="AUY10" s="239"/>
      <c r="AUZ10" s="239"/>
      <c r="AVA10" s="239"/>
      <c r="AVB10" s="239"/>
      <c r="AVC10" s="239"/>
      <c r="AVD10" s="239"/>
      <c r="AVE10" s="239"/>
      <c r="AVF10" s="239"/>
      <c r="AVG10" s="239"/>
      <c r="AVH10" s="239"/>
      <c r="AVI10" s="239"/>
      <c r="AVJ10" s="239"/>
      <c r="AVK10" s="239"/>
      <c r="AVL10" s="239"/>
      <c r="AVM10" s="239"/>
      <c r="AVN10" s="239"/>
      <c r="AVO10" s="239"/>
      <c r="AVP10" s="239"/>
      <c r="AVQ10" s="239"/>
      <c r="AVR10" s="239"/>
      <c r="AVS10" s="239"/>
      <c r="AVT10" s="239"/>
      <c r="AVU10" s="239"/>
      <c r="AVV10" s="239"/>
      <c r="AVW10" s="239"/>
      <c r="AVX10" s="239"/>
      <c r="AVY10" s="239"/>
      <c r="AVZ10" s="239"/>
      <c r="AWA10" s="239"/>
      <c r="AWB10" s="239"/>
      <c r="AWC10" s="239"/>
      <c r="AWD10" s="239"/>
      <c r="AWE10" s="239"/>
      <c r="AWF10" s="239"/>
      <c r="AWG10" s="239"/>
      <c r="AWH10" s="239"/>
      <c r="AWI10" s="239"/>
      <c r="AWJ10" s="239"/>
      <c r="AWK10" s="239"/>
      <c r="AWL10" s="239"/>
      <c r="AWM10" s="239"/>
      <c r="AWN10" s="239"/>
      <c r="AWO10" s="239"/>
      <c r="AWP10" s="239"/>
      <c r="AWQ10" s="239"/>
      <c r="AWR10" s="239"/>
      <c r="AWS10" s="239"/>
      <c r="AWT10" s="239"/>
      <c r="AWU10" s="239"/>
      <c r="AWV10" s="239"/>
      <c r="AWW10" s="239"/>
      <c r="AWX10" s="239"/>
      <c r="AWY10" s="239"/>
      <c r="AWZ10" s="239"/>
      <c r="AXA10" s="239"/>
      <c r="AXB10" s="239"/>
      <c r="AXC10" s="239"/>
      <c r="AXD10" s="239"/>
      <c r="AXE10" s="239"/>
      <c r="AXF10" s="239"/>
      <c r="AXG10" s="239"/>
      <c r="AXH10" s="239"/>
      <c r="AXI10" s="239"/>
      <c r="AXJ10" s="239"/>
      <c r="AXK10" s="239"/>
      <c r="AXL10" s="239"/>
      <c r="AXM10" s="239"/>
      <c r="AXN10" s="239"/>
      <c r="AXO10" s="239"/>
      <c r="AXP10" s="239"/>
      <c r="AXQ10" s="239"/>
      <c r="AXR10" s="239"/>
      <c r="AXS10" s="239"/>
      <c r="AXT10" s="239"/>
      <c r="AXU10" s="239"/>
      <c r="AXV10" s="239"/>
      <c r="AXW10" s="239"/>
      <c r="AXX10" s="239"/>
      <c r="AXY10" s="239"/>
      <c r="AXZ10" s="239"/>
      <c r="AYA10" s="239"/>
      <c r="AYB10" s="239"/>
      <c r="AYC10" s="239"/>
      <c r="AYD10" s="239"/>
      <c r="AYE10" s="239"/>
      <c r="AYF10" s="239"/>
      <c r="AYG10" s="239"/>
      <c r="AYH10" s="239"/>
      <c r="AYI10" s="239"/>
      <c r="AYJ10" s="239"/>
      <c r="AYK10" s="239"/>
      <c r="AYL10" s="239"/>
      <c r="AYM10" s="239"/>
      <c r="AYN10" s="239"/>
      <c r="AYO10" s="239"/>
      <c r="AYP10" s="239"/>
      <c r="AYQ10" s="239"/>
      <c r="AYR10" s="239"/>
      <c r="AYS10" s="239"/>
      <c r="AYT10" s="239"/>
      <c r="AYU10" s="239"/>
      <c r="AYV10" s="239"/>
      <c r="AYW10" s="239"/>
      <c r="AYX10" s="239"/>
      <c r="AYY10" s="239"/>
      <c r="AYZ10" s="239"/>
      <c r="AZA10" s="239"/>
      <c r="AZB10" s="239"/>
      <c r="AZC10" s="239"/>
      <c r="AZD10" s="239"/>
      <c r="AZE10" s="239"/>
      <c r="AZF10" s="239"/>
      <c r="AZG10" s="239"/>
      <c r="AZH10" s="239"/>
      <c r="AZI10" s="239"/>
      <c r="AZJ10" s="239"/>
      <c r="AZK10" s="239"/>
      <c r="AZL10" s="239"/>
      <c r="AZM10" s="239"/>
      <c r="AZN10" s="239"/>
      <c r="AZO10" s="239"/>
      <c r="AZP10" s="239"/>
      <c r="AZQ10" s="239"/>
      <c r="AZR10" s="239"/>
      <c r="AZS10" s="239"/>
      <c r="AZT10" s="239"/>
      <c r="AZU10" s="239"/>
      <c r="AZV10" s="239"/>
      <c r="AZW10" s="239"/>
      <c r="AZX10" s="239"/>
      <c r="AZY10" s="239"/>
      <c r="AZZ10" s="239"/>
      <c r="BAA10" s="239"/>
      <c r="BAB10" s="239"/>
      <c r="BAC10" s="239"/>
      <c r="BAD10" s="239"/>
      <c r="BAE10" s="239"/>
      <c r="BAF10" s="239"/>
      <c r="BAG10" s="239"/>
      <c r="BAH10" s="239"/>
      <c r="BAI10" s="239"/>
      <c r="BAJ10" s="239"/>
      <c r="BAK10" s="239"/>
      <c r="BAL10" s="239"/>
      <c r="BAM10" s="239"/>
      <c r="BAN10" s="239"/>
      <c r="BAO10" s="239"/>
      <c r="BAP10" s="239"/>
      <c r="BAQ10" s="239"/>
      <c r="BAR10" s="239"/>
      <c r="BAS10" s="239"/>
      <c r="BAT10" s="239"/>
      <c r="BAU10" s="239"/>
      <c r="BAV10" s="239"/>
      <c r="BAW10" s="239"/>
      <c r="BAX10" s="239"/>
      <c r="BAY10" s="239"/>
      <c r="BAZ10" s="239"/>
      <c r="BBA10" s="239"/>
      <c r="BBB10" s="239"/>
      <c r="BBC10" s="239"/>
      <c r="BBD10" s="239"/>
      <c r="BBE10" s="239"/>
      <c r="BBF10" s="239"/>
      <c r="BBG10" s="239"/>
      <c r="BBH10" s="239"/>
      <c r="BBI10" s="239"/>
      <c r="BBJ10" s="239"/>
      <c r="BBK10" s="239"/>
      <c r="BBL10" s="239"/>
      <c r="BBM10" s="239"/>
      <c r="BBN10" s="239"/>
      <c r="BBO10" s="239"/>
      <c r="BBP10" s="239"/>
      <c r="BBQ10" s="239"/>
      <c r="BBR10" s="239"/>
      <c r="BBS10" s="239"/>
      <c r="BBT10" s="239"/>
      <c r="BBU10" s="239"/>
      <c r="BBV10" s="239"/>
      <c r="BBW10" s="239"/>
      <c r="BBX10" s="239"/>
      <c r="BBY10" s="239"/>
      <c r="BBZ10" s="239"/>
      <c r="BCA10" s="239"/>
      <c r="BCB10" s="239"/>
      <c r="BCC10" s="239"/>
      <c r="BCD10" s="239"/>
      <c r="BCE10" s="239"/>
      <c r="BCF10" s="239"/>
      <c r="BCG10" s="239"/>
      <c r="BCH10" s="239"/>
      <c r="BCI10" s="239"/>
      <c r="BCJ10" s="239"/>
      <c r="BCK10" s="239"/>
      <c r="BCL10" s="239"/>
      <c r="BCM10" s="239"/>
      <c r="BCN10" s="239"/>
      <c r="BCO10" s="239"/>
      <c r="BCP10" s="239"/>
      <c r="BCQ10" s="239"/>
      <c r="BCR10" s="239"/>
      <c r="BCS10" s="239"/>
      <c r="BCT10" s="239"/>
      <c r="BCU10" s="239"/>
      <c r="BCV10" s="239"/>
      <c r="BCW10" s="239"/>
      <c r="BCX10" s="239"/>
      <c r="BCY10" s="239"/>
      <c r="BCZ10" s="239"/>
      <c r="BDA10" s="239"/>
      <c r="BDB10" s="239"/>
      <c r="BDC10" s="239"/>
      <c r="BDD10" s="239"/>
      <c r="BDE10" s="239"/>
      <c r="BDF10" s="239"/>
      <c r="BDG10" s="239"/>
      <c r="BDH10" s="239"/>
      <c r="BDI10" s="239"/>
      <c r="BDJ10" s="239"/>
      <c r="BDK10" s="239"/>
      <c r="BDL10" s="239"/>
      <c r="BDM10" s="239"/>
      <c r="BDN10" s="239"/>
      <c r="BDO10" s="239"/>
      <c r="BDP10" s="239"/>
      <c r="BDQ10" s="239"/>
      <c r="BDR10" s="239"/>
      <c r="BDS10" s="239"/>
      <c r="BDT10" s="239"/>
      <c r="BDU10" s="239"/>
      <c r="BDV10" s="239"/>
      <c r="BDW10" s="239"/>
      <c r="BDX10" s="239"/>
      <c r="BDY10" s="239"/>
      <c r="BDZ10" s="239"/>
      <c r="BEA10" s="239"/>
      <c r="BEB10" s="239"/>
      <c r="BEC10" s="239"/>
      <c r="BED10" s="239"/>
      <c r="BEE10" s="239"/>
      <c r="BEF10" s="239"/>
      <c r="BEG10" s="239"/>
      <c r="BEH10" s="239"/>
      <c r="BEI10" s="239"/>
      <c r="BEJ10" s="239"/>
      <c r="BEK10" s="239"/>
      <c r="BEL10" s="239"/>
      <c r="BEM10" s="239"/>
      <c r="BEN10" s="239"/>
      <c r="BEO10" s="239"/>
      <c r="BEP10" s="239"/>
      <c r="BEQ10" s="239"/>
      <c r="BER10" s="239"/>
      <c r="BES10" s="239"/>
      <c r="BET10" s="239"/>
      <c r="BEU10" s="239"/>
      <c r="BEV10" s="239"/>
      <c r="BEW10" s="239"/>
      <c r="BEX10" s="239"/>
      <c r="BEY10" s="239"/>
      <c r="BEZ10" s="239"/>
      <c r="BFA10" s="239"/>
      <c r="BFB10" s="239"/>
      <c r="BFC10" s="239"/>
      <c r="BFD10" s="239"/>
      <c r="BFE10" s="239"/>
      <c r="BFF10" s="239"/>
      <c r="BFG10" s="239"/>
      <c r="BFH10" s="239"/>
      <c r="BFI10" s="239"/>
      <c r="BFJ10" s="239"/>
      <c r="BFK10" s="239"/>
      <c r="BFL10" s="239"/>
      <c r="BFM10" s="239"/>
      <c r="BFN10" s="239"/>
      <c r="BFO10" s="239"/>
      <c r="BFP10" s="239"/>
      <c r="BFQ10" s="239"/>
      <c r="BFR10" s="239"/>
      <c r="BFS10" s="239"/>
      <c r="BFT10" s="239"/>
      <c r="BFU10" s="239"/>
      <c r="BFV10" s="239"/>
      <c r="BFW10" s="239"/>
      <c r="BFX10" s="239"/>
      <c r="BFY10" s="239"/>
      <c r="BFZ10" s="239"/>
      <c r="BGA10" s="239"/>
      <c r="BGB10" s="239"/>
      <c r="BGC10" s="239"/>
      <c r="BGD10" s="239"/>
      <c r="BGE10" s="239"/>
      <c r="BGF10" s="239"/>
      <c r="BGG10" s="239"/>
      <c r="BGH10" s="239"/>
      <c r="BGI10" s="239"/>
      <c r="BGJ10" s="239"/>
      <c r="BGK10" s="239"/>
      <c r="BGL10" s="239"/>
      <c r="BGM10" s="239"/>
      <c r="BGN10" s="239"/>
      <c r="BGO10" s="239"/>
      <c r="BGP10" s="239"/>
      <c r="BGQ10" s="239"/>
      <c r="BGR10" s="239"/>
      <c r="BGS10" s="239"/>
      <c r="BGT10" s="239"/>
      <c r="BGU10" s="239"/>
      <c r="BGV10" s="239"/>
      <c r="BGW10" s="239"/>
      <c r="BGX10" s="239"/>
      <c r="BGY10" s="239"/>
      <c r="BGZ10" s="239"/>
      <c r="BHA10" s="239"/>
      <c r="BHB10" s="239"/>
      <c r="BHC10" s="239"/>
      <c r="BHD10" s="239"/>
      <c r="BHE10" s="239"/>
      <c r="BHF10" s="239"/>
      <c r="BHG10" s="239"/>
      <c r="BHH10" s="239"/>
      <c r="BHI10" s="239"/>
      <c r="BHJ10" s="239"/>
      <c r="BHK10" s="239"/>
      <c r="BHL10" s="239"/>
      <c r="BHM10" s="239"/>
      <c r="BHN10" s="239"/>
      <c r="BHO10" s="239"/>
      <c r="BHP10" s="239"/>
      <c r="BHQ10" s="239"/>
      <c r="BHR10" s="239"/>
      <c r="BHS10" s="239"/>
      <c r="BHT10" s="239"/>
      <c r="BHU10" s="239"/>
      <c r="BHV10" s="239"/>
      <c r="BHW10" s="239"/>
      <c r="BHX10" s="239"/>
      <c r="BHY10" s="239"/>
      <c r="BHZ10" s="239"/>
      <c r="BIA10" s="239"/>
      <c r="BIB10" s="239"/>
      <c r="BIC10" s="239"/>
      <c r="BID10" s="239"/>
      <c r="BIE10" s="239"/>
      <c r="BIF10" s="239"/>
      <c r="BIG10" s="239"/>
      <c r="BIH10" s="239"/>
      <c r="BII10" s="239"/>
      <c r="BIJ10" s="239"/>
      <c r="BIK10" s="239"/>
      <c r="BIL10" s="239"/>
      <c r="BIM10" s="239"/>
      <c r="BIN10" s="239"/>
      <c r="BIO10" s="239"/>
      <c r="BIP10" s="239"/>
      <c r="BIQ10" s="239"/>
      <c r="BIR10" s="239"/>
      <c r="BIS10" s="239"/>
      <c r="BIT10" s="239"/>
      <c r="BIU10" s="239"/>
      <c r="BIV10" s="239"/>
      <c r="BIW10" s="239"/>
      <c r="BIX10" s="239"/>
      <c r="BIY10" s="239"/>
      <c r="BIZ10" s="239"/>
      <c r="BJA10" s="239"/>
      <c r="BJB10" s="239"/>
      <c r="BJC10" s="239"/>
      <c r="BJD10" s="239"/>
      <c r="BJE10" s="239"/>
      <c r="BJF10" s="239"/>
      <c r="BJG10" s="239"/>
      <c r="BJH10" s="239"/>
      <c r="BJI10" s="239"/>
      <c r="BJJ10" s="239"/>
      <c r="BJK10" s="239"/>
      <c r="BJL10" s="239"/>
      <c r="BJM10" s="239"/>
      <c r="BJN10" s="239"/>
      <c r="BJO10" s="239"/>
      <c r="BJP10" s="239"/>
      <c r="BJQ10" s="239"/>
      <c r="BJR10" s="239"/>
      <c r="BJS10" s="239"/>
      <c r="BJT10" s="239"/>
      <c r="BJU10" s="239"/>
      <c r="BJV10" s="239"/>
      <c r="BJW10" s="239"/>
      <c r="BJX10" s="239"/>
      <c r="BJY10" s="239"/>
      <c r="BJZ10" s="239"/>
      <c r="BKA10" s="239"/>
      <c r="BKB10" s="239"/>
      <c r="BKC10" s="239"/>
      <c r="BKD10" s="239"/>
      <c r="BKE10" s="239"/>
      <c r="BKF10" s="239"/>
      <c r="BKG10" s="239"/>
      <c r="BKH10" s="239"/>
      <c r="BKI10" s="239"/>
      <c r="BKJ10" s="239"/>
      <c r="BKK10" s="239"/>
      <c r="BKL10" s="239"/>
      <c r="BKM10" s="239"/>
      <c r="BKN10" s="239"/>
      <c r="BKO10" s="239"/>
      <c r="BKP10" s="239"/>
      <c r="BKQ10" s="239"/>
      <c r="BKR10" s="239"/>
      <c r="BKS10" s="239"/>
      <c r="BKT10" s="239"/>
      <c r="BKU10" s="239"/>
      <c r="BKV10" s="239"/>
      <c r="BKW10" s="239"/>
      <c r="BKX10" s="239"/>
      <c r="BKY10" s="239"/>
      <c r="BKZ10" s="239"/>
      <c r="BLA10" s="239"/>
      <c r="BLB10" s="239"/>
      <c r="BLC10" s="239"/>
      <c r="BLD10" s="239"/>
      <c r="BLE10" s="239"/>
      <c r="BLF10" s="239"/>
      <c r="BLG10" s="239"/>
      <c r="BLH10" s="239"/>
      <c r="BLI10" s="239"/>
      <c r="BLJ10" s="239"/>
      <c r="BLK10" s="239"/>
      <c r="BLL10" s="239"/>
      <c r="BLM10" s="239"/>
      <c r="BLN10" s="239"/>
      <c r="BLO10" s="239"/>
      <c r="BLP10" s="239"/>
      <c r="BLQ10" s="239"/>
      <c r="BLR10" s="239"/>
      <c r="BLS10" s="239"/>
      <c r="BLT10" s="239"/>
      <c r="BLU10" s="239"/>
      <c r="BLV10" s="239"/>
      <c r="BLW10" s="239"/>
      <c r="BLX10" s="239"/>
      <c r="BLY10" s="239"/>
      <c r="BLZ10" s="239"/>
      <c r="BMA10" s="239"/>
      <c r="BMB10" s="239"/>
      <c r="BMC10" s="239"/>
      <c r="BMD10" s="239"/>
      <c r="BME10" s="239"/>
      <c r="BMF10" s="239"/>
      <c r="BMG10" s="239"/>
      <c r="BMH10" s="239"/>
      <c r="BMI10" s="239"/>
      <c r="BMJ10" s="239"/>
      <c r="BMK10" s="239"/>
      <c r="BML10" s="239"/>
      <c r="BMM10" s="239"/>
      <c r="BMN10" s="239"/>
      <c r="BMO10" s="239"/>
      <c r="BMP10" s="239"/>
      <c r="BMQ10" s="239"/>
      <c r="BMR10" s="239"/>
      <c r="BMS10" s="239"/>
      <c r="BMT10" s="239"/>
      <c r="BMU10" s="239"/>
      <c r="BMV10" s="239"/>
      <c r="BMW10" s="239"/>
      <c r="BMX10" s="239"/>
      <c r="BMY10" s="239"/>
      <c r="BMZ10" s="239"/>
      <c r="BNA10" s="239"/>
      <c r="BNB10" s="239"/>
      <c r="BNC10" s="239"/>
      <c r="BND10" s="239"/>
      <c r="BNE10" s="239"/>
      <c r="BNF10" s="239"/>
      <c r="BNG10" s="239"/>
      <c r="BNH10" s="239"/>
      <c r="BNI10" s="239"/>
      <c r="BNJ10" s="239"/>
      <c r="BNK10" s="239"/>
      <c r="BNL10" s="239"/>
      <c r="BNM10" s="239"/>
      <c r="BNN10" s="239"/>
      <c r="BNO10" s="239"/>
      <c r="BNP10" s="239"/>
      <c r="BNQ10" s="239"/>
      <c r="BNR10" s="239"/>
      <c r="BNS10" s="239"/>
      <c r="BNT10" s="239"/>
      <c r="BNU10" s="239"/>
      <c r="BNV10" s="239"/>
      <c r="BNW10" s="239"/>
      <c r="BNX10" s="239"/>
      <c r="BNY10" s="239"/>
      <c r="BNZ10" s="239"/>
      <c r="BOA10" s="239"/>
      <c r="BOB10" s="239"/>
      <c r="BOC10" s="239"/>
      <c r="BOD10" s="239"/>
      <c r="BOE10" s="239"/>
      <c r="BOF10" s="239"/>
      <c r="BOG10" s="239"/>
      <c r="BOH10" s="239"/>
      <c r="BOI10" s="239"/>
      <c r="BOJ10" s="239"/>
      <c r="BOK10" s="239"/>
      <c r="BOL10" s="239"/>
      <c r="BOM10" s="239"/>
      <c r="BON10" s="239"/>
      <c r="BOO10" s="239"/>
      <c r="BOP10" s="239"/>
      <c r="BOQ10" s="239"/>
      <c r="BOR10" s="239"/>
      <c r="BOS10" s="239"/>
      <c r="BOT10" s="239"/>
      <c r="BOU10" s="239"/>
      <c r="BOV10" s="239"/>
      <c r="BOW10" s="239"/>
      <c r="BOX10" s="239"/>
      <c r="BOY10" s="239"/>
      <c r="BOZ10" s="239"/>
      <c r="BPA10" s="239"/>
      <c r="BPB10" s="239"/>
      <c r="BPC10" s="239"/>
      <c r="BPD10" s="239"/>
      <c r="BPE10" s="239"/>
      <c r="BPF10" s="239"/>
      <c r="BPG10" s="239"/>
      <c r="BPH10" s="239"/>
      <c r="BPI10" s="239"/>
      <c r="BPJ10" s="239"/>
      <c r="BPK10" s="239"/>
      <c r="BPL10" s="239"/>
      <c r="BPM10" s="239"/>
      <c r="BPN10" s="239"/>
      <c r="BPO10" s="239"/>
      <c r="BPP10" s="239"/>
      <c r="BPQ10" s="239"/>
      <c r="BPR10" s="239"/>
      <c r="BPS10" s="239"/>
      <c r="BPT10" s="239"/>
      <c r="BPU10" s="239"/>
      <c r="BPV10" s="239"/>
      <c r="BPW10" s="239"/>
      <c r="BPX10" s="239"/>
      <c r="BPY10" s="239"/>
      <c r="BPZ10" s="239"/>
      <c r="BQA10" s="239"/>
      <c r="BQB10" s="239"/>
      <c r="BQC10" s="239"/>
      <c r="BQD10" s="239"/>
      <c r="BQE10" s="239"/>
      <c r="BQF10" s="239"/>
      <c r="BQG10" s="239"/>
      <c r="BQH10" s="239"/>
      <c r="BQI10" s="239"/>
      <c r="BQJ10" s="239"/>
      <c r="BQK10" s="239"/>
      <c r="BQL10" s="239"/>
      <c r="BQM10" s="239"/>
      <c r="BQN10" s="239"/>
      <c r="BQO10" s="239"/>
      <c r="BQP10" s="239"/>
      <c r="BQQ10" s="239"/>
      <c r="BQR10" s="239"/>
      <c r="BQS10" s="239"/>
      <c r="BQT10" s="239"/>
      <c r="BQU10" s="239"/>
      <c r="BQV10" s="239"/>
      <c r="BQW10" s="239"/>
      <c r="BQX10" s="239"/>
      <c r="BQY10" s="239"/>
      <c r="BQZ10" s="239"/>
      <c r="BRA10" s="239"/>
      <c r="BRB10" s="239"/>
      <c r="BRC10" s="239"/>
      <c r="BRD10" s="239"/>
      <c r="BRE10" s="239"/>
      <c r="BRF10" s="239"/>
      <c r="BRG10" s="239"/>
      <c r="BRH10" s="239"/>
      <c r="BRI10" s="239"/>
      <c r="BRJ10" s="239"/>
      <c r="BRK10" s="239"/>
      <c r="BRL10" s="239"/>
      <c r="BRM10" s="239"/>
      <c r="BRN10" s="239"/>
      <c r="BRO10" s="239"/>
      <c r="BRP10" s="239"/>
      <c r="BRQ10" s="239"/>
      <c r="BRR10" s="239"/>
      <c r="BRS10" s="239"/>
      <c r="BRT10" s="239"/>
      <c r="BRU10" s="239"/>
      <c r="BRV10" s="239"/>
      <c r="BRW10" s="239"/>
      <c r="BRX10" s="239"/>
      <c r="BRY10" s="239"/>
      <c r="BRZ10" s="239"/>
      <c r="BSA10" s="239"/>
      <c r="BSB10" s="239"/>
      <c r="BSC10" s="239"/>
      <c r="BSD10" s="239"/>
      <c r="BSE10" s="239"/>
      <c r="BSF10" s="239"/>
      <c r="BSG10" s="239"/>
      <c r="BSH10" s="239"/>
      <c r="BSI10" s="239"/>
      <c r="BSJ10" s="239"/>
      <c r="BSK10" s="239"/>
      <c r="BSL10" s="239"/>
      <c r="BSM10" s="239"/>
      <c r="BSN10" s="239"/>
      <c r="BSO10" s="239"/>
      <c r="BSP10" s="239"/>
      <c r="BSQ10" s="239"/>
      <c r="BSR10" s="239"/>
      <c r="BSS10" s="239"/>
      <c r="BST10" s="239"/>
      <c r="BSU10" s="239"/>
      <c r="BSV10" s="239"/>
      <c r="BSW10" s="239"/>
      <c r="BSX10" s="239"/>
      <c r="BSY10" s="239"/>
      <c r="BSZ10" s="239"/>
      <c r="BTA10" s="239"/>
      <c r="BTB10" s="239"/>
      <c r="BTC10" s="239"/>
      <c r="BTD10" s="239"/>
      <c r="BTE10" s="239"/>
      <c r="BTF10" s="239"/>
      <c r="BTG10" s="239"/>
      <c r="BTH10" s="239"/>
      <c r="BTI10" s="239"/>
      <c r="BTJ10" s="239"/>
      <c r="BTK10" s="239"/>
      <c r="BTL10" s="239"/>
      <c r="BTM10" s="239"/>
      <c r="BTN10" s="239"/>
      <c r="BTO10" s="239"/>
      <c r="BTP10" s="239"/>
      <c r="BTQ10" s="239"/>
      <c r="BTR10" s="239"/>
      <c r="BTS10" s="239"/>
      <c r="BTT10" s="239"/>
      <c r="BTU10" s="239"/>
      <c r="BTV10" s="239"/>
      <c r="BTW10" s="239"/>
      <c r="BTX10" s="239"/>
      <c r="BTY10" s="239"/>
      <c r="BTZ10" s="239"/>
      <c r="BUA10" s="239"/>
      <c r="BUB10" s="239"/>
      <c r="BUC10" s="239"/>
      <c r="BUD10" s="239"/>
      <c r="BUE10" s="239"/>
      <c r="BUF10" s="239"/>
      <c r="BUG10" s="239"/>
      <c r="BUH10" s="239"/>
      <c r="BUI10" s="239"/>
      <c r="BUJ10" s="239"/>
      <c r="BUK10" s="239"/>
      <c r="BUL10" s="239"/>
      <c r="BUM10" s="239"/>
      <c r="BUN10" s="239"/>
      <c r="BUO10" s="239"/>
      <c r="BUP10" s="239"/>
      <c r="BUQ10" s="239"/>
      <c r="BUR10" s="239"/>
      <c r="BUS10" s="239"/>
      <c r="BUT10" s="239"/>
      <c r="BUU10" s="239"/>
      <c r="BUV10" s="239"/>
      <c r="BUW10" s="239"/>
      <c r="BUX10" s="239"/>
      <c r="BUY10" s="239"/>
      <c r="BUZ10" s="239"/>
      <c r="BVA10" s="239"/>
      <c r="BVB10" s="239"/>
      <c r="BVC10" s="239"/>
      <c r="BVD10" s="239"/>
      <c r="BVE10" s="239"/>
      <c r="BVF10" s="239"/>
      <c r="BVG10" s="239"/>
      <c r="BVH10" s="239"/>
      <c r="BVI10" s="239"/>
      <c r="BVJ10" s="239"/>
      <c r="BVK10" s="239"/>
      <c r="BVL10" s="239"/>
      <c r="BVM10" s="239"/>
      <c r="BVN10" s="239"/>
      <c r="BVO10" s="239"/>
      <c r="BVP10" s="239"/>
      <c r="BVQ10" s="239"/>
      <c r="BVR10" s="239"/>
      <c r="BVS10" s="239"/>
      <c r="BVT10" s="239"/>
      <c r="BVU10" s="239"/>
      <c r="BVV10" s="239"/>
      <c r="BVW10" s="239"/>
      <c r="BVX10" s="239"/>
      <c r="BVY10" s="239"/>
      <c r="BVZ10" s="239"/>
      <c r="BWA10" s="239"/>
      <c r="BWB10" s="239"/>
      <c r="BWC10" s="239"/>
      <c r="BWD10" s="239"/>
      <c r="BWE10" s="239"/>
      <c r="BWF10" s="239"/>
      <c r="BWG10" s="239"/>
      <c r="BWH10" s="239"/>
      <c r="BWI10" s="239"/>
      <c r="BWJ10" s="239"/>
      <c r="BWK10" s="239"/>
      <c r="BWL10" s="239"/>
      <c r="BWM10" s="239"/>
      <c r="BWN10" s="239"/>
      <c r="BWO10" s="239"/>
      <c r="BWP10" s="239"/>
      <c r="BWQ10" s="239"/>
      <c r="BWR10" s="239"/>
      <c r="BWS10" s="239"/>
      <c r="BWT10" s="239"/>
      <c r="BWU10" s="239"/>
      <c r="BWV10" s="239"/>
      <c r="BWW10" s="239"/>
      <c r="BWX10" s="239"/>
      <c r="BWY10" s="239"/>
      <c r="BWZ10" s="239"/>
      <c r="BXA10" s="239"/>
      <c r="BXB10" s="239"/>
      <c r="BXC10" s="239"/>
      <c r="BXD10" s="239"/>
      <c r="BXE10" s="239"/>
      <c r="BXF10" s="239"/>
      <c r="BXG10" s="239"/>
      <c r="BXH10" s="239"/>
      <c r="BXI10" s="239"/>
      <c r="BXJ10" s="239"/>
      <c r="BXK10" s="239"/>
      <c r="BXL10" s="239"/>
      <c r="BXM10" s="239"/>
      <c r="BXN10" s="239"/>
      <c r="BXO10" s="239"/>
      <c r="BXP10" s="239"/>
      <c r="BXQ10" s="239"/>
      <c r="BXR10" s="239"/>
      <c r="BXS10" s="239"/>
      <c r="BXT10" s="239"/>
      <c r="BXU10" s="239"/>
      <c r="BXV10" s="239"/>
      <c r="BXW10" s="239"/>
      <c r="BXX10" s="239"/>
      <c r="BXY10" s="239"/>
      <c r="BXZ10" s="239"/>
      <c r="BYA10" s="239"/>
      <c r="BYB10" s="239"/>
      <c r="BYC10" s="239"/>
      <c r="BYD10" s="239"/>
      <c r="BYE10" s="239"/>
      <c r="BYF10" s="239"/>
      <c r="BYG10" s="239"/>
      <c r="BYH10" s="239"/>
      <c r="BYI10" s="239"/>
      <c r="BYJ10" s="239"/>
      <c r="BYK10" s="239"/>
      <c r="BYL10" s="239"/>
      <c r="BYM10" s="239"/>
      <c r="BYN10" s="239"/>
      <c r="BYO10" s="239"/>
      <c r="BYP10" s="239"/>
      <c r="BYQ10" s="239"/>
      <c r="BYR10" s="239"/>
      <c r="BYS10" s="239"/>
      <c r="BYT10" s="239"/>
      <c r="BYU10" s="239"/>
      <c r="BYV10" s="239"/>
      <c r="BYW10" s="239"/>
      <c r="BYX10" s="239"/>
      <c r="BYY10" s="239"/>
      <c r="BYZ10" s="239"/>
      <c r="BZA10" s="239"/>
      <c r="BZB10" s="239"/>
      <c r="BZC10" s="239"/>
      <c r="BZD10" s="239"/>
      <c r="BZE10" s="239"/>
      <c r="BZF10" s="239"/>
      <c r="BZG10" s="239"/>
      <c r="BZH10" s="239"/>
      <c r="BZI10" s="239"/>
      <c r="BZJ10" s="239"/>
      <c r="BZK10" s="239"/>
      <c r="BZL10" s="239"/>
      <c r="BZM10" s="239"/>
      <c r="BZN10" s="239"/>
      <c r="BZO10" s="239"/>
      <c r="BZP10" s="239"/>
      <c r="BZQ10" s="239"/>
      <c r="BZR10" s="239"/>
      <c r="BZS10" s="239"/>
      <c r="BZT10" s="239"/>
      <c r="BZU10" s="239"/>
      <c r="BZV10" s="239"/>
      <c r="BZW10" s="239"/>
      <c r="BZX10" s="239"/>
      <c r="BZY10" s="239"/>
      <c r="BZZ10" s="239"/>
      <c r="CAA10" s="239"/>
      <c r="CAB10" s="239"/>
      <c r="CAC10" s="239"/>
      <c r="CAD10" s="239"/>
      <c r="CAE10" s="239"/>
      <c r="CAF10" s="239"/>
      <c r="CAG10" s="239"/>
      <c r="CAH10" s="239"/>
      <c r="CAI10" s="239"/>
      <c r="CAJ10" s="239"/>
      <c r="CAK10" s="239"/>
      <c r="CAL10" s="239"/>
      <c r="CAM10" s="239"/>
      <c r="CAN10" s="239"/>
      <c r="CAO10" s="239"/>
      <c r="CAP10" s="239"/>
      <c r="CAQ10" s="239"/>
      <c r="CAR10" s="239"/>
      <c r="CAS10" s="239"/>
      <c r="CAT10" s="239"/>
      <c r="CAU10" s="239"/>
      <c r="CAV10" s="239"/>
      <c r="CAW10" s="239"/>
      <c r="CAX10" s="239"/>
      <c r="CAY10" s="239"/>
      <c r="CAZ10" s="239"/>
      <c r="CBA10" s="239"/>
      <c r="CBB10" s="239"/>
      <c r="CBC10" s="239"/>
      <c r="CBD10" s="239"/>
      <c r="CBE10" s="239"/>
      <c r="CBF10" s="239"/>
      <c r="CBG10" s="239"/>
      <c r="CBH10" s="239"/>
      <c r="CBI10" s="239"/>
      <c r="CBJ10" s="239"/>
      <c r="CBK10" s="239"/>
      <c r="CBL10" s="239"/>
      <c r="CBM10" s="239"/>
      <c r="CBN10" s="239"/>
      <c r="CBO10" s="239"/>
      <c r="CBP10" s="239"/>
      <c r="CBQ10" s="239"/>
      <c r="CBR10" s="239"/>
      <c r="CBS10" s="239"/>
      <c r="CBT10" s="239"/>
      <c r="CBU10" s="239"/>
      <c r="CBV10" s="239"/>
      <c r="CBW10" s="239"/>
      <c r="CBX10" s="239"/>
      <c r="CBY10" s="239"/>
      <c r="CBZ10" s="239"/>
      <c r="CCA10" s="239"/>
      <c r="CCB10" s="239"/>
      <c r="CCC10" s="239"/>
      <c r="CCD10" s="239"/>
      <c r="CCE10" s="239"/>
      <c r="CCF10" s="239"/>
      <c r="CCG10" s="239"/>
      <c r="CCH10" s="239"/>
      <c r="CCI10" s="239"/>
      <c r="CCJ10" s="239"/>
      <c r="CCK10" s="239"/>
      <c r="CCL10" s="239"/>
      <c r="CCM10" s="239"/>
      <c r="CCN10" s="239"/>
      <c r="CCO10" s="239"/>
      <c r="CCP10" s="239"/>
      <c r="CCQ10" s="239"/>
      <c r="CCR10" s="239"/>
      <c r="CCS10" s="239"/>
      <c r="CCT10" s="239"/>
      <c r="CCU10" s="239"/>
      <c r="CCV10" s="239"/>
      <c r="CCW10" s="239"/>
      <c r="CCX10" s="239"/>
      <c r="CCY10" s="239"/>
      <c r="CCZ10" s="239"/>
      <c r="CDA10" s="239"/>
      <c r="CDB10" s="239"/>
      <c r="CDC10" s="239"/>
      <c r="CDD10" s="239"/>
      <c r="CDE10" s="239"/>
      <c r="CDF10" s="239"/>
      <c r="CDG10" s="239"/>
      <c r="CDH10" s="239"/>
      <c r="CDI10" s="239"/>
      <c r="CDJ10" s="239"/>
      <c r="CDK10" s="239"/>
      <c r="CDL10" s="239"/>
      <c r="CDM10" s="239"/>
      <c r="CDN10" s="239"/>
      <c r="CDO10" s="239"/>
      <c r="CDP10" s="239"/>
      <c r="CDQ10" s="239"/>
      <c r="CDR10" s="239"/>
      <c r="CDS10" s="239"/>
      <c r="CDT10" s="239"/>
      <c r="CDU10" s="239"/>
      <c r="CDV10" s="239"/>
      <c r="CDW10" s="239"/>
      <c r="CDX10" s="239"/>
      <c r="CDY10" s="239"/>
      <c r="CDZ10" s="239"/>
      <c r="CEA10" s="239"/>
      <c r="CEB10" s="239"/>
      <c r="CEC10" s="239"/>
      <c r="CED10" s="239"/>
      <c r="CEE10" s="239"/>
      <c r="CEF10" s="239"/>
      <c r="CEG10" s="239"/>
      <c r="CEH10" s="239"/>
      <c r="CEI10" s="239"/>
      <c r="CEJ10" s="239"/>
      <c r="CEK10" s="239"/>
      <c r="CEL10" s="239"/>
      <c r="CEM10" s="239"/>
      <c r="CEN10" s="239"/>
      <c r="CEO10" s="239"/>
      <c r="CEP10" s="239"/>
      <c r="CEQ10" s="239"/>
      <c r="CER10" s="239"/>
      <c r="CES10" s="239"/>
      <c r="CET10" s="239"/>
      <c r="CEU10" s="239"/>
      <c r="CEV10" s="239"/>
      <c r="CEW10" s="239"/>
      <c r="CEX10" s="239"/>
      <c r="CEY10" s="239"/>
      <c r="CEZ10" s="239"/>
      <c r="CFA10" s="239"/>
      <c r="CFB10" s="239"/>
      <c r="CFC10" s="239"/>
      <c r="CFD10" s="239"/>
      <c r="CFE10" s="239"/>
      <c r="CFF10" s="239"/>
      <c r="CFG10" s="239"/>
      <c r="CFH10" s="239"/>
      <c r="CFI10" s="239"/>
      <c r="CFJ10" s="239"/>
      <c r="CFK10" s="239"/>
      <c r="CFL10" s="239"/>
      <c r="CFM10" s="239"/>
      <c r="CFN10" s="239"/>
      <c r="CFO10" s="239"/>
      <c r="CFP10" s="239"/>
      <c r="CFQ10" s="239"/>
      <c r="CFR10" s="239"/>
      <c r="CFS10" s="239"/>
      <c r="CFT10" s="239"/>
      <c r="CFU10" s="239"/>
      <c r="CFV10" s="239"/>
      <c r="CFW10" s="239"/>
      <c r="CFX10" s="239"/>
      <c r="CFY10" s="239"/>
      <c r="CFZ10" s="239"/>
      <c r="CGA10" s="239"/>
      <c r="CGB10" s="239"/>
      <c r="CGC10" s="239"/>
      <c r="CGD10" s="239"/>
      <c r="CGE10" s="239"/>
      <c r="CGF10" s="239"/>
      <c r="CGG10" s="239"/>
      <c r="CGH10" s="239"/>
      <c r="CGI10" s="239"/>
      <c r="CGJ10" s="239"/>
      <c r="CGK10" s="239"/>
      <c r="CGL10" s="239"/>
      <c r="CGM10" s="239"/>
      <c r="CGN10" s="239"/>
      <c r="CGO10" s="239"/>
      <c r="CGP10" s="239"/>
      <c r="CGQ10" s="239"/>
      <c r="CGR10" s="239"/>
      <c r="CGS10" s="239"/>
      <c r="CGT10" s="239"/>
      <c r="CGU10" s="239"/>
      <c r="CGV10" s="239"/>
      <c r="CGW10" s="239"/>
      <c r="CGX10" s="239"/>
      <c r="CGY10" s="239"/>
      <c r="CGZ10" s="239"/>
      <c r="CHA10" s="239"/>
      <c r="CHB10" s="239"/>
      <c r="CHC10" s="239"/>
      <c r="CHD10" s="239"/>
      <c r="CHE10" s="239"/>
      <c r="CHF10" s="239"/>
      <c r="CHG10" s="239"/>
      <c r="CHH10" s="239"/>
      <c r="CHI10" s="239"/>
      <c r="CHJ10" s="239"/>
      <c r="CHK10" s="239"/>
      <c r="CHL10" s="239"/>
      <c r="CHM10" s="239"/>
      <c r="CHN10" s="239"/>
      <c r="CHO10" s="239"/>
      <c r="CHP10" s="239"/>
      <c r="CHQ10" s="239"/>
      <c r="CHR10" s="239"/>
      <c r="CHS10" s="239"/>
      <c r="CHT10" s="239"/>
      <c r="CHU10" s="239"/>
      <c r="CHV10" s="239"/>
      <c r="CHW10" s="239"/>
      <c r="CHX10" s="239"/>
      <c r="CHY10" s="239"/>
      <c r="CHZ10" s="239"/>
      <c r="CIA10" s="239"/>
      <c r="CIB10" s="239"/>
      <c r="CIC10" s="239"/>
      <c r="CID10" s="239"/>
      <c r="CIE10" s="239"/>
      <c r="CIF10" s="239"/>
      <c r="CIG10" s="239"/>
      <c r="CIH10" s="239"/>
      <c r="CII10" s="239"/>
      <c r="CIJ10" s="239"/>
      <c r="CIK10" s="239"/>
      <c r="CIL10" s="239"/>
      <c r="CIM10" s="239"/>
      <c r="CIN10" s="239"/>
      <c r="CIO10" s="239"/>
      <c r="CIP10" s="239"/>
      <c r="CIQ10" s="239"/>
      <c r="CIR10" s="239"/>
      <c r="CIS10" s="239"/>
      <c r="CIT10" s="239"/>
      <c r="CIU10" s="239"/>
      <c r="CIV10" s="239"/>
      <c r="CIW10" s="239"/>
      <c r="CIX10" s="239"/>
      <c r="CIY10" s="239"/>
      <c r="CIZ10" s="239"/>
      <c r="CJA10" s="239"/>
      <c r="CJB10" s="239"/>
      <c r="CJC10" s="239"/>
      <c r="CJD10" s="239"/>
      <c r="CJE10" s="239"/>
      <c r="CJF10" s="239"/>
      <c r="CJG10" s="239"/>
      <c r="CJH10" s="239"/>
      <c r="CJI10" s="239"/>
      <c r="CJJ10" s="239"/>
      <c r="CJK10" s="239"/>
      <c r="CJL10" s="239"/>
      <c r="CJM10" s="239"/>
      <c r="CJN10" s="239"/>
      <c r="CJO10" s="239"/>
      <c r="CJP10" s="239"/>
      <c r="CJQ10" s="239"/>
      <c r="CJR10" s="239"/>
      <c r="CJS10" s="239"/>
      <c r="CJT10" s="239"/>
      <c r="CJU10" s="239"/>
      <c r="CJV10" s="239"/>
      <c r="CJW10" s="239"/>
      <c r="CJX10" s="239"/>
      <c r="CJY10" s="239"/>
      <c r="CJZ10" s="239"/>
      <c r="CKA10" s="239"/>
      <c r="CKB10" s="239"/>
      <c r="CKC10" s="239"/>
      <c r="CKD10" s="239"/>
      <c r="CKE10" s="239"/>
      <c r="CKF10" s="239"/>
      <c r="CKG10" s="239"/>
      <c r="CKH10" s="239"/>
      <c r="CKI10" s="239"/>
      <c r="CKJ10" s="239"/>
      <c r="CKK10" s="239"/>
      <c r="CKL10" s="239"/>
      <c r="CKM10" s="239"/>
      <c r="CKN10" s="239"/>
      <c r="CKO10" s="239"/>
      <c r="CKP10" s="239"/>
      <c r="CKQ10" s="239"/>
      <c r="CKR10" s="239"/>
      <c r="CKS10" s="239"/>
      <c r="CKT10" s="239"/>
      <c r="CKU10" s="239"/>
      <c r="CKV10" s="239"/>
      <c r="CKW10" s="239"/>
      <c r="CKX10" s="239"/>
      <c r="CKY10" s="239"/>
      <c r="CKZ10" s="239"/>
      <c r="CLA10" s="239"/>
      <c r="CLB10" s="239"/>
      <c r="CLC10" s="239"/>
      <c r="CLD10" s="239"/>
      <c r="CLE10" s="239"/>
      <c r="CLF10" s="239"/>
      <c r="CLG10" s="239"/>
      <c r="CLH10" s="239"/>
      <c r="CLI10" s="239"/>
      <c r="CLJ10" s="239"/>
      <c r="CLK10" s="239"/>
      <c r="CLL10" s="239"/>
      <c r="CLM10" s="239"/>
      <c r="CLN10" s="239"/>
      <c r="CLO10" s="239"/>
      <c r="CLP10" s="239"/>
      <c r="CLQ10" s="239"/>
      <c r="CLR10" s="239"/>
      <c r="CLS10" s="239"/>
      <c r="CLT10" s="239"/>
      <c r="CLU10" s="239"/>
      <c r="CLV10" s="239"/>
      <c r="CLW10" s="239"/>
      <c r="CLX10" s="239"/>
      <c r="CLY10" s="239"/>
      <c r="CLZ10" s="239"/>
      <c r="CMA10" s="239"/>
      <c r="CMB10" s="239"/>
      <c r="CMC10" s="239"/>
      <c r="CMD10" s="239"/>
      <c r="CME10" s="239"/>
      <c r="CMF10" s="239"/>
      <c r="CMG10" s="239"/>
      <c r="CMH10" s="239"/>
      <c r="CMI10" s="239"/>
      <c r="CMJ10" s="239"/>
      <c r="CMK10" s="239"/>
      <c r="CML10" s="239"/>
      <c r="CMM10" s="239"/>
      <c r="CMN10" s="239"/>
      <c r="CMO10" s="239"/>
      <c r="CMP10" s="239"/>
      <c r="CMQ10" s="239"/>
      <c r="CMR10" s="239"/>
      <c r="CMS10" s="239"/>
      <c r="CMT10" s="239"/>
      <c r="CMU10" s="239"/>
      <c r="CMV10" s="239"/>
      <c r="CMW10" s="239"/>
      <c r="CMX10" s="239"/>
      <c r="CMY10" s="239"/>
      <c r="CMZ10" s="239"/>
      <c r="CNA10" s="239"/>
      <c r="CNB10" s="239"/>
      <c r="CNC10" s="239"/>
      <c r="CND10" s="239"/>
      <c r="CNE10" s="239"/>
      <c r="CNF10" s="239"/>
      <c r="CNG10" s="239"/>
      <c r="CNH10" s="239"/>
      <c r="CNI10" s="239"/>
      <c r="CNJ10" s="239"/>
      <c r="CNK10" s="239"/>
      <c r="CNL10" s="239"/>
      <c r="CNM10" s="239"/>
      <c r="CNN10" s="239"/>
      <c r="CNO10" s="239"/>
      <c r="CNP10" s="239"/>
      <c r="CNQ10" s="239"/>
      <c r="CNR10" s="239"/>
      <c r="CNS10" s="239"/>
      <c r="CNT10" s="239"/>
      <c r="CNU10" s="239"/>
      <c r="CNV10" s="239"/>
      <c r="CNW10" s="239"/>
      <c r="CNX10" s="239"/>
      <c r="CNY10" s="239"/>
      <c r="CNZ10" s="239"/>
      <c r="COA10" s="239"/>
      <c r="COB10" s="239"/>
      <c r="COC10" s="239"/>
      <c r="COD10" s="239"/>
      <c r="COE10" s="239"/>
      <c r="COF10" s="239"/>
      <c r="COG10" s="239"/>
      <c r="COH10" s="239"/>
      <c r="COI10" s="239"/>
      <c r="COJ10" s="239"/>
      <c r="COK10" s="239"/>
      <c r="COL10" s="239"/>
      <c r="COM10" s="239"/>
      <c r="CON10" s="239"/>
      <c r="COO10" s="239"/>
      <c r="COP10" s="239"/>
      <c r="COQ10" s="239"/>
      <c r="COR10" s="239"/>
      <c r="COS10" s="239"/>
      <c r="COT10" s="239"/>
      <c r="COU10" s="239"/>
      <c r="COV10" s="239"/>
      <c r="COW10" s="239"/>
      <c r="COX10" s="239"/>
      <c r="COY10" s="239"/>
      <c r="COZ10" s="239"/>
      <c r="CPA10" s="239"/>
      <c r="CPB10" s="239"/>
      <c r="CPC10" s="239"/>
      <c r="CPD10" s="239"/>
      <c r="CPE10" s="239"/>
      <c r="CPF10" s="239"/>
      <c r="CPG10" s="239"/>
      <c r="CPH10" s="239"/>
      <c r="CPI10" s="239"/>
      <c r="CPJ10" s="239"/>
      <c r="CPK10" s="239"/>
      <c r="CPL10" s="239"/>
      <c r="CPM10" s="239"/>
      <c r="CPN10" s="239"/>
      <c r="CPO10" s="239"/>
      <c r="CPP10" s="239"/>
      <c r="CPQ10" s="239"/>
      <c r="CPR10" s="239"/>
      <c r="CPS10" s="239"/>
      <c r="CPT10" s="239"/>
      <c r="CPU10" s="239"/>
      <c r="CPV10" s="239"/>
      <c r="CPW10" s="239"/>
      <c r="CPX10" s="239"/>
      <c r="CPY10" s="239"/>
      <c r="CPZ10" s="239"/>
      <c r="CQA10" s="239"/>
      <c r="CQB10" s="239"/>
      <c r="CQC10" s="239"/>
      <c r="CQD10" s="239"/>
      <c r="CQE10" s="239"/>
      <c r="CQF10" s="239"/>
      <c r="CQG10" s="239"/>
      <c r="CQH10" s="239"/>
      <c r="CQI10" s="239"/>
      <c r="CQJ10" s="239"/>
      <c r="CQK10" s="239"/>
      <c r="CQL10" s="239"/>
      <c r="CQM10" s="239"/>
      <c r="CQN10" s="239"/>
      <c r="CQO10" s="239"/>
      <c r="CQP10" s="239"/>
      <c r="CQQ10" s="239"/>
      <c r="CQR10" s="239"/>
      <c r="CQS10" s="239"/>
      <c r="CQT10" s="239"/>
      <c r="CQU10" s="239"/>
      <c r="CQV10" s="239"/>
      <c r="CQW10" s="239"/>
      <c r="CQX10" s="239"/>
      <c r="CQY10" s="239"/>
      <c r="CQZ10" s="239"/>
      <c r="CRA10" s="239"/>
      <c r="CRB10" s="239"/>
      <c r="CRC10" s="239"/>
      <c r="CRD10" s="239"/>
      <c r="CRE10" s="239"/>
      <c r="CRF10" s="239"/>
      <c r="CRG10" s="239"/>
      <c r="CRH10" s="239"/>
      <c r="CRI10" s="239"/>
      <c r="CRJ10" s="239"/>
      <c r="CRK10" s="239"/>
      <c r="CRL10" s="239"/>
      <c r="CRM10" s="239"/>
      <c r="CRN10" s="239"/>
      <c r="CRO10" s="239"/>
      <c r="CRP10" s="239"/>
      <c r="CRQ10" s="239"/>
      <c r="CRR10" s="239"/>
      <c r="CRS10" s="239"/>
      <c r="CRT10" s="239"/>
      <c r="CRU10" s="239"/>
      <c r="CRV10" s="239"/>
      <c r="CRW10" s="239"/>
      <c r="CRX10" s="239"/>
      <c r="CRY10" s="239"/>
      <c r="CRZ10" s="239"/>
      <c r="CSA10" s="239"/>
      <c r="CSB10" s="239"/>
      <c r="CSC10" s="239"/>
      <c r="CSD10" s="239"/>
      <c r="CSE10" s="239"/>
      <c r="CSF10" s="239"/>
      <c r="CSG10" s="239"/>
      <c r="CSH10" s="239"/>
      <c r="CSI10" s="239"/>
      <c r="CSJ10" s="239"/>
      <c r="CSK10" s="239"/>
      <c r="CSL10" s="239"/>
      <c r="CSM10" s="239"/>
      <c r="CSN10" s="239"/>
      <c r="CSO10" s="239"/>
      <c r="CSP10" s="239"/>
      <c r="CSQ10" s="239"/>
      <c r="CSR10" s="239"/>
      <c r="CSS10" s="239"/>
      <c r="CST10" s="239"/>
      <c r="CSU10" s="239"/>
      <c r="CSV10" s="239"/>
      <c r="CSW10" s="239"/>
      <c r="CSX10" s="239"/>
      <c r="CSY10" s="239"/>
      <c r="CSZ10" s="239"/>
      <c r="CTA10" s="239"/>
      <c r="CTB10" s="239"/>
      <c r="CTC10" s="239"/>
      <c r="CTD10" s="239"/>
      <c r="CTE10" s="239"/>
      <c r="CTF10" s="239"/>
      <c r="CTG10" s="239"/>
      <c r="CTH10" s="239"/>
      <c r="CTI10" s="239"/>
      <c r="CTJ10" s="239"/>
      <c r="CTK10" s="239"/>
      <c r="CTL10" s="239"/>
      <c r="CTM10" s="239"/>
      <c r="CTN10" s="239"/>
      <c r="CTO10" s="239"/>
      <c r="CTP10" s="239"/>
      <c r="CTQ10" s="239"/>
      <c r="CTR10" s="239"/>
      <c r="CTS10" s="239"/>
      <c r="CTT10" s="239"/>
      <c r="CTU10" s="239"/>
      <c r="CTV10" s="239"/>
      <c r="CTW10" s="239"/>
      <c r="CTX10" s="239"/>
      <c r="CTY10" s="239"/>
      <c r="CTZ10" s="239"/>
      <c r="CUA10" s="239"/>
      <c r="CUB10" s="239"/>
      <c r="CUC10" s="239"/>
      <c r="CUD10" s="239"/>
      <c r="CUE10" s="239"/>
      <c r="CUF10" s="239"/>
      <c r="CUG10" s="239"/>
      <c r="CUH10" s="239"/>
      <c r="CUI10" s="239"/>
      <c r="CUJ10" s="239"/>
      <c r="CUK10" s="239"/>
      <c r="CUL10" s="239"/>
      <c r="CUM10" s="239"/>
      <c r="CUN10" s="239"/>
      <c r="CUO10" s="239"/>
      <c r="CUP10" s="239"/>
      <c r="CUQ10" s="239"/>
      <c r="CUR10" s="239"/>
      <c r="CUS10" s="239"/>
      <c r="CUT10" s="239"/>
      <c r="CUU10" s="239"/>
      <c r="CUV10" s="239"/>
      <c r="CUW10" s="239"/>
      <c r="CUX10" s="239"/>
      <c r="CUY10" s="239"/>
      <c r="CUZ10" s="239"/>
      <c r="CVA10" s="239"/>
      <c r="CVB10" s="239"/>
      <c r="CVC10" s="239"/>
      <c r="CVD10" s="239"/>
      <c r="CVE10" s="239"/>
      <c r="CVF10" s="239"/>
      <c r="CVG10" s="239"/>
      <c r="CVH10" s="239"/>
      <c r="CVI10" s="239"/>
      <c r="CVJ10" s="239"/>
      <c r="CVK10" s="239"/>
      <c r="CVL10" s="239"/>
      <c r="CVM10" s="239"/>
      <c r="CVN10" s="239"/>
      <c r="CVO10" s="239"/>
      <c r="CVP10" s="239"/>
      <c r="CVQ10" s="239"/>
      <c r="CVR10" s="239"/>
      <c r="CVS10" s="239"/>
      <c r="CVT10" s="239"/>
      <c r="CVU10" s="239"/>
      <c r="CVV10" s="239"/>
      <c r="CVW10" s="239"/>
      <c r="CVX10" s="239"/>
      <c r="CVY10" s="239"/>
      <c r="CVZ10" s="239"/>
      <c r="CWA10" s="239"/>
      <c r="CWB10" s="239"/>
      <c r="CWC10" s="239"/>
      <c r="CWD10" s="239"/>
      <c r="CWE10" s="239"/>
      <c r="CWF10" s="239"/>
      <c r="CWG10" s="239"/>
      <c r="CWH10" s="239"/>
      <c r="CWI10" s="239"/>
      <c r="CWJ10" s="239"/>
      <c r="CWK10" s="239"/>
      <c r="CWL10" s="239"/>
      <c r="CWM10" s="239"/>
      <c r="CWN10" s="239"/>
      <c r="CWO10" s="239"/>
      <c r="CWP10" s="239"/>
      <c r="CWQ10" s="239"/>
      <c r="CWR10" s="239"/>
      <c r="CWS10" s="239"/>
      <c r="CWT10" s="239"/>
      <c r="CWU10" s="239"/>
      <c r="CWV10" s="239"/>
      <c r="CWW10" s="239"/>
      <c r="CWX10" s="239"/>
      <c r="CWY10" s="239"/>
      <c r="CWZ10" s="239"/>
      <c r="CXA10" s="239"/>
      <c r="CXB10" s="239"/>
      <c r="CXC10" s="239"/>
      <c r="CXD10" s="239"/>
      <c r="CXE10" s="239"/>
      <c r="CXF10" s="239"/>
      <c r="CXG10" s="239"/>
      <c r="CXH10" s="239"/>
      <c r="CXI10" s="239"/>
      <c r="CXJ10" s="239"/>
      <c r="CXK10" s="239"/>
      <c r="CXL10" s="239"/>
      <c r="CXM10" s="239"/>
      <c r="CXN10" s="239"/>
      <c r="CXO10" s="239"/>
      <c r="CXP10" s="239"/>
      <c r="CXQ10" s="239"/>
      <c r="CXR10" s="239"/>
      <c r="CXS10" s="239"/>
      <c r="CXT10" s="239"/>
      <c r="CXU10" s="239"/>
      <c r="CXV10" s="239"/>
      <c r="CXW10" s="239"/>
      <c r="CXX10" s="239"/>
      <c r="CXY10" s="239"/>
      <c r="CXZ10" s="239"/>
      <c r="CYA10" s="239"/>
      <c r="CYB10" s="239"/>
      <c r="CYC10" s="239"/>
      <c r="CYD10" s="239"/>
      <c r="CYE10" s="239"/>
      <c r="CYF10" s="239"/>
      <c r="CYG10" s="239"/>
      <c r="CYH10" s="239"/>
      <c r="CYI10" s="239"/>
      <c r="CYJ10" s="239"/>
      <c r="CYK10" s="239"/>
      <c r="CYL10" s="239"/>
      <c r="CYM10" s="239"/>
      <c r="CYN10" s="239"/>
      <c r="CYO10" s="239"/>
      <c r="CYP10" s="239"/>
      <c r="CYQ10" s="239"/>
      <c r="CYR10" s="239"/>
      <c r="CYS10" s="239"/>
      <c r="CYT10" s="239"/>
      <c r="CYU10" s="239"/>
      <c r="CYV10" s="239"/>
      <c r="CYW10" s="239"/>
      <c r="CYX10" s="239"/>
      <c r="CYY10" s="239"/>
      <c r="CYZ10" s="239"/>
      <c r="CZA10" s="239"/>
      <c r="CZB10" s="239"/>
      <c r="CZC10" s="239"/>
      <c r="CZD10" s="239"/>
      <c r="CZE10" s="239"/>
      <c r="CZF10" s="239"/>
      <c r="CZG10" s="239"/>
      <c r="CZH10" s="239"/>
      <c r="CZI10" s="239"/>
      <c r="CZJ10" s="239"/>
      <c r="CZK10" s="239"/>
      <c r="CZL10" s="239"/>
      <c r="CZM10" s="239"/>
      <c r="CZN10" s="239"/>
      <c r="CZO10" s="239"/>
      <c r="CZP10" s="239"/>
      <c r="CZQ10" s="239"/>
      <c r="CZR10" s="239"/>
      <c r="CZS10" s="239"/>
      <c r="CZT10" s="239"/>
      <c r="CZU10" s="239"/>
      <c r="CZV10" s="239"/>
      <c r="CZW10" s="239"/>
      <c r="CZX10" s="239"/>
      <c r="CZY10" s="239"/>
      <c r="CZZ10" s="239"/>
      <c r="DAA10" s="239"/>
      <c r="DAB10" s="239"/>
      <c r="DAC10" s="239"/>
      <c r="DAD10" s="239"/>
      <c r="DAE10" s="239"/>
      <c r="DAF10" s="239"/>
      <c r="DAG10" s="239"/>
      <c r="DAH10" s="239"/>
      <c r="DAI10" s="239"/>
      <c r="DAJ10" s="239"/>
      <c r="DAK10" s="239"/>
      <c r="DAL10" s="239"/>
      <c r="DAM10" s="239"/>
      <c r="DAN10" s="239"/>
      <c r="DAO10" s="239"/>
      <c r="DAP10" s="239"/>
      <c r="DAQ10" s="239"/>
      <c r="DAR10" s="239"/>
      <c r="DAS10" s="239"/>
      <c r="DAT10" s="239"/>
      <c r="DAU10" s="239"/>
      <c r="DAV10" s="239"/>
      <c r="DAW10" s="239"/>
      <c r="DAX10" s="239"/>
      <c r="DAY10" s="239"/>
      <c r="DAZ10" s="239"/>
      <c r="DBA10" s="239"/>
      <c r="DBB10" s="239"/>
      <c r="DBC10" s="239"/>
      <c r="DBD10" s="239"/>
      <c r="DBE10" s="239"/>
      <c r="DBF10" s="239"/>
      <c r="DBG10" s="239"/>
      <c r="DBH10" s="239"/>
      <c r="DBI10" s="239"/>
      <c r="DBJ10" s="239"/>
      <c r="DBK10" s="239"/>
      <c r="DBL10" s="239"/>
      <c r="DBM10" s="239"/>
      <c r="DBN10" s="239"/>
      <c r="DBO10" s="239"/>
      <c r="DBP10" s="239"/>
      <c r="DBQ10" s="239"/>
      <c r="DBR10" s="239"/>
      <c r="DBS10" s="239"/>
      <c r="DBT10" s="239"/>
      <c r="DBU10" s="239"/>
      <c r="DBV10" s="239"/>
      <c r="DBW10" s="239"/>
      <c r="DBX10" s="239"/>
      <c r="DBY10" s="239"/>
      <c r="DBZ10" s="239"/>
      <c r="DCA10" s="239"/>
      <c r="DCB10" s="239"/>
      <c r="DCC10" s="239"/>
      <c r="DCD10" s="239"/>
      <c r="DCE10" s="239"/>
      <c r="DCF10" s="239"/>
      <c r="DCG10" s="239"/>
      <c r="DCH10" s="239"/>
      <c r="DCI10" s="239"/>
      <c r="DCJ10" s="239"/>
      <c r="DCK10" s="239"/>
      <c r="DCL10" s="239"/>
      <c r="DCM10" s="239"/>
      <c r="DCN10" s="239"/>
      <c r="DCO10" s="239"/>
      <c r="DCP10" s="239"/>
      <c r="DCQ10" s="239"/>
      <c r="DCR10" s="239"/>
      <c r="DCS10" s="239"/>
      <c r="DCT10" s="239"/>
      <c r="DCU10" s="239"/>
      <c r="DCV10" s="239"/>
      <c r="DCW10" s="239"/>
      <c r="DCX10" s="239"/>
      <c r="DCY10" s="239"/>
      <c r="DCZ10" s="239"/>
      <c r="DDA10" s="239"/>
      <c r="DDB10" s="239"/>
      <c r="DDC10" s="239"/>
      <c r="DDD10" s="239"/>
      <c r="DDE10" s="239"/>
      <c r="DDF10" s="239"/>
      <c r="DDG10" s="239"/>
      <c r="DDH10" s="239"/>
      <c r="DDI10" s="239"/>
      <c r="DDJ10" s="239"/>
      <c r="DDK10" s="239"/>
      <c r="DDL10" s="239"/>
      <c r="DDM10" s="239"/>
      <c r="DDN10" s="239"/>
      <c r="DDO10" s="239"/>
      <c r="DDP10" s="239"/>
      <c r="DDQ10" s="239"/>
      <c r="DDR10" s="239"/>
      <c r="DDS10" s="239"/>
      <c r="DDT10" s="239"/>
      <c r="DDU10" s="239"/>
      <c r="DDV10" s="239"/>
      <c r="DDW10" s="239"/>
      <c r="DDX10" s="239"/>
      <c r="DDY10" s="239"/>
      <c r="DDZ10" s="239"/>
      <c r="DEA10" s="239"/>
      <c r="DEB10" s="239"/>
      <c r="DEC10" s="239"/>
      <c r="DED10" s="239"/>
      <c r="DEE10" s="239"/>
      <c r="DEF10" s="239"/>
      <c r="DEG10" s="239"/>
      <c r="DEH10" s="239"/>
      <c r="DEI10" s="239"/>
      <c r="DEJ10" s="239"/>
      <c r="DEK10" s="239"/>
      <c r="DEL10" s="239"/>
      <c r="DEM10" s="239"/>
      <c r="DEN10" s="239"/>
      <c r="DEO10" s="239"/>
      <c r="DEP10" s="239"/>
      <c r="DEQ10" s="239"/>
      <c r="DER10" s="239"/>
      <c r="DES10" s="239"/>
      <c r="DET10" s="239"/>
      <c r="DEU10" s="239"/>
      <c r="DEV10" s="239"/>
      <c r="DEW10" s="239"/>
      <c r="DEX10" s="239"/>
      <c r="DEY10" s="239"/>
      <c r="DEZ10" s="239"/>
      <c r="DFA10" s="239"/>
      <c r="DFB10" s="239"/>
      <c r="DFC10" s="239"/>
      <c r="DFD10" s="239"/>
      <c r="DFE10" s="239"/>
      <c r="DFF10" s="239"/>
      <c r="DFG10" s="239"/>
      <c r="DFH10" s="239"/>
      <c r="DFI10" s="239"/>
      <c r="DFJ10" s="239"/>
      <c r="DFK10" s="239"/>
      <c r="DFL10" s="239"/>
      <c r="DFM10" s="239"/>
      <c r="DFN10" s="239"/>
      <c r="DFO10" s="239"/>
      <c r="DFP10" s="239"/>
      <c r="DFQ10" s="239"/>
      <c r="DFR10" s="239"/>
      <c r="DFS10" s="239"/>
      <c r="DFT10" s="239"/>
      <c r="DFU10" s="239"/>
      <c r="DFV10" s="239"/>
      <c r="DFW10" s="239"/>
      <c r="DFX10" s="239"/>
      <c r="DFY10" s="239"/>
      <c r="DFZ10" s="239"/>
      <c r="DGA10" s="239"/>
      <c r="DGB10" s="239"/>
      <c r="DGC10" s="239"/>
      <c r="DGD10" s="239"/>
      <c r="DGE10" s="239"/>
      <c r="DGF10" s="239"/>
      <c r="DGG10" s="239"/>
      <c r="DGH10" s="239"/>
      <c r="DGI10" s="239"/>
      <c r="DGJ10" s="239"/>
      <c r="DGK10" s="239"/>
      <c r="DGL10" s="239"/>
      <c r="DGM10" s="239"/>
      <c r="DGN10" s="239"/>
      <c r="DGO10" s="239"/>
      <c r="DGP10" s="239"/>
      <c r="DGQ10" s="239"/>
      <c r="DGR10" s="239"/>
      <c r="DGS10" s="239"/>
      <c r="DGT10" s="239"/>
      <c r="DGU10" s="239"/>
      <c r="DGV10" s="239"/>
      <c r="DGW10" s="239"/>
      <c r="DGX10" s="239"/>
      <c r="DGY10" s="239"/>
      <c r="DGZ10" s="239"/>
      <c r="DHA10" s="239"/>
      <c r="DHB10" s="239"/>
      <c r="DHC10" s="239"/>
      <c r="DHD10" s="239"/>
      <c r="DHE10" s="239"/>
      <c r="DHF10" s="239"/>
      <c r="DHG10" s="239"/>
      <c r="DHH10" s="239"/>
      <c r="DHI10" s="239"/>
      <c r="DHJ10" s="239"/>
      <c r="DHK10" s="239"/>
      <c r="DHL10" s="239"/>
      <c r="DHM10" s="239"/>
      <c r="DHN10" s="239"/>
      <c r="DHO10" s="239"/>
      <c r="DHP10" s="239"/>
      <c r="DHQ10" s="239"/>
      <c r="DHR10" s="239"/>
      <c r="DHS10" s="239"/>
      <c r="DHT10" s="239"/>
      <c r="DHU10" s="239"/>
      <c r="DHV10" s="239"/>
      <c r="DHW10" s="239"/>
      <c r="DHX10" s="239"/>
      <c r="DHY10" s="239"/>
      <c r="DHZ10" s="239"/>
      <c r="DIA10" s="239"/>
      <c r="DIB10" s="239"/>
      <c r="DIC10" s="239"/>
      <c r="DID10" s="239"/>
      <c r="DIE10" s="239"/>
      <c r="DIF10" s="239"/>
      <c r="DIG10" s="239"/>
      <c r="DIH10" s="239"/>
      <c r="DII10" s="239"/>
      <c r="DIJ10" s="239"/>
      <c r="DIK10" s="239"/>
      <c r="DIL10" s="239"/>
      <c r="DIM10" s="239"/>
      <c r="DIN10" s="239"/>
      <c r="DIO10" s="239"/>
      <c r="DIP10" s="239"/>
      <c r="DIQ10" s="239"/>
      <c r="DIR10" s="239"/>
      <c r="DIS10" s="239"/>
      <c r="DIT10" s="239"/>
      <c r="DIU10" s="239"/>
      <c r="DIV10" s="239"/>
      <c r="DIW10" s="239"/>
      <c r="DIX10" s="239"/>
      <c r="DIY10" s="239"/>
      <c r="DIZ10" s="239"/>
      <c r="DJA10" s="239"/>
      <c r="DJB10" s="239"/>
      <c r="DJC10" s="239"/>
      <c r="DJD10" s="239"/>
      <c r="DJE10" s="239"/>
      <c r="DJF10" s="239"/>
      <c r="DJG10" s="239"/>
      <c r="DJH10" s="239"/>
      <c r="DJI10" s="239"/>
      <c r="DJJ10" s="239"/>
      <c r="DJK10" s="239"/>
      <c r="DJL10" s="239"/>
      <c r="DJM10" s="239"/>
      <c r="DJN10" s="239"/>
      <c r="DJO10" s="239"/>
      <c r="DJP10" s="239"/>
      <c r="DJQ10" s="239"/>
      <c r="DJR10" s="239"/>
      <c r="DJS10" s="239"/>
      <c r="DJT10" s="239"/>
      <c r="DJU10" s="239"/>
      <c r="DJV10" s="239"/>
      <c r="DJW10" s="239"/>
      <c r="DJX10" s="239"/>
      <c r="DJY10" s="239"/>
      <c r="DJZ10" s="239"/>
      <c r="DKA10" s="239"/>
      <c r="DKB10" s="239"/>
      <c r="DKC10" s="239"/>
      <c r="DKD10" s="239"/>
      <c r="DKE10" s="239"/>
      <c r="DKF10" s="239"/>
      <c r="DKG10" s="239"/>
      <c r="DKH10" s="239"/>
      <c r="DKI10" s="239"/>
      <c r="DKJ10" s="239"/>
      <c r="DKK10" s="239"/>
      <c r="DKL10" s="239"/>
      <c r="DKM10" s="239"/>
      <c r="DKN10" s="239"/>
      <c r="DKO10" s="239"/>
      <c r="DKP10" s="239"/>
      <c r="DKQ10" s="239"/>
      <c r="DKR10" s="239"/>
      <c r="DKS10" s="239"/>
      <c r="DKT10" s="239"/>
      <c r="DKU10" s="239"/>
      <c r="DKV10" s="239"/>
      <c r="DKW10" s="239"/>
      <c r="DKX10" s="239"/>
      <c r="DKY10" s="239"/>
      <c r="DKZ10" s="239"/>
      <c r="DLA10" s="239"/>
      <c r="DLB10" s="239"/>
      <c r="DLC10" s="239"/>
      <c r="DLD10" s="239"/>
      <c r="DLE10" s="239"/>
      <c r="DLF10" s="239"/>
      <c r="DLG10" s="239"/>
      <c r="DLH10" s="239"/>
      <c r="DLI10" s="239"/>
      <c r="DLJ10" s="239"/>
      <c r="DLK10" s="239"/>
      <c r="DLL10" s="239"/>
      <c r="DLM10" s="239"/>
      <c r="DLN10" s="239"/>
      <c r="DLO10" s="239"/>
      <c r="DLP10" s="239"/>
      <c r="DLQ10" s="239"/>
      <c r="DLR10" s="239"/>
      <c r="DLS10" s="239"/>
      <c r="DLT10" s="239"/>
      <c r="DLU10" s="239"/>
      <c r="DLV10" s="239"/>
      <c r="DLW10" s="239"/>
      <c r="DLX10" s="239"/>
      <c r="DLY10" s="239"/>
      <c r="DLZ10" s="239"/>
      <c r="DMA10" s="239"/>
      <c r="DMB10" s="239"/>
      <c r="DMC10" s="239"/>
      <c r="DMD10" s="239"/>
      <c r="DME10" s="239"/>
      <c r="DMF10" s="239"/>
      <c r="DMG10" s="239"/>
      <c r="DMH10" s="239"/>
      <c r="DMI10" s="239"/>
      <c r="DMJ10" s="239"/>
      <c r="DMK10" s="239"/>
      <c r="DML10" s="239"/>
      <c r="DMM10" s="239"/>
      <c r="DMN10" s="239"/>
      <c r="DMO10" s="239"/>
      <c r="DMP10" s="239"/>
      <c r="DMQ10" s="239"/>
      <c r="DMR10" s="239"/>
      <c r="DMS10" s="239"/>
      <c r="DMT10" s="239"/>
      <c r="DMU10" s="239"/>
      <c r="DMV10" s="239"/>
      <c r="DMW10" s="239"/>
      <c r="DMX10" s="239"/>
      <c r="DMY10" s="239"/>
      <c r="DMZ10" s="239"/>
      <c r="DNA10" s="239"/>
      <c r="DNB10" s="239"/>
      <c r="DNC10" s="239"/>
      <c r="DND10" s="239"/>
      <c r="DNE10" s="239"/>
      <c r="DNF10" s="239"/>
      <c r="DNG10" s="239"/>
      <c r="DNH10" s="239"/>
      <c r="DNI10" s="239"/>
      <c r="DNJ10" s="239"/>
      <c r="DNK10" s="239"/>
      <c r="DNL10" s="239"/>
      <c r="DNM10" s="239"/>
      <c r="DNN10" s="239"/>
      <c r="DNO10" s="239"/>
      <c r="DNP10" s="239"/>
      <c r="DNQ10" s="239"/>
      <c r="DNR10" s="239"/>
      <c r="DNS10" s="239"/>
      <c r="DNT10" s="239"/>
      <c r="DNU10" s="239"/>
      <c r="DNV10" s="239"/>
      <c r="DNW10" s="239"/>
      <c r="DNX10" s="239"/>
      <c r="DNY10" s="239"/>
      <c r="DNZ10" s="239"/>
      <c r="DOA10" s="239"/>
      <c r="DOB10" s="239"/>
      <c r="DOC10" s="239"/>
      <c r="DOD10" s="239"/>
      <c r="DOE10" s="239"/>
      <c r="DOF10" s="239"/>
      <c r="DOG10" s="239"/>
      <c r="DOH10" s="239"/>
      <c r="DOI10" s="239"/>
      <c r="DOJ10" s="239"/>
      <c r="DOK10" s="239"/>
      <c r="DOL10" s="239"/>
      <c r="DOM10" s="239"/>
      <c r="DON10" s="239"/>
      <c r="DOO10" s="239"/>
      <c r="DOP10" s="239"/>
      <c r="DOQ10" s="239"/>
      <c r="DOR10" s="239"/>
      <c r="DOS10" s="239"/>
      <c r="DOT10" s="239"/>
      <c r="DOU10" s="239"/>
      <c r="DOV10" s="239"/>
      <c r="DOW10" s="239"/>
      <c r="DOX10" s="239"/>
      <c r="DOY10" s="239"/>
      <c r="DOZ10" s="239"/>
      <c r="DPA10" s="239"/>
      <c r="DPB10" s="239"/>
      <c r="DPC10" s="239"/>
      <c r="DPD10" s="239"/>
      <c r="DPE10" s="239"/>
      <c r="DPF10" s="239"/>
      <c r="DPG10" s="239"/>
      <c r="DPH10" s="239"/>
      <c r="DPI10" s="239"/>
      <c r="DPJ10" s="239"/>
      <c r="DPK10" s="239"/>
      <c r="DPL10" s="239"/>
      <c r="DPM10" s="239"/>
      <c r="DPN10" s="239"/>
      <c r="DPO10" s="239"/>
      <c r="DPP10" s="239"/>
      <c r="DPQ10" s="239"/>
      <c r="DPR10" s="239"/>
      <c r="DPS10" s="239"/>
      <c r="DPT10" s="239"/>
      <c r="DPU10" s="239"/>
      <c r="DPV10" s="239"/>
      <c r="DPW10" s="239"/>
      <c r="DPX10" s="239"/>
      <c r="DPY10" s="239"/>
      <c r="DPZ10" s="239"/>
      <c r="DQA10" s="239"/>
      <c r="DQB10" s="239"/>
      <c r="DQC10" s="239"/>
      <c r="DQD10" s="239"/>
      <c r="DQE10" s="239"/>
      <c r="DQF10" s="239"/>
      <c r="DQG10" s="239"/>
      <c r="DQH10" s="239"/>
      <c r="DQI10" s="239"/>
      <c r="DQJ10" s="239"/>
      <c r="DQK10" s="239"/>
      <c r="DQL10" s="239"/>
      <c r="DQM10" s="239"/>
      <c r="DQN10" s="239"/>
      <c r="DQO10" s="239"/>
      <c r="DQP10" s="239"/>
      <c r="DQQ10" s="239"/>
      <c r="DQR10" s="239"/>
      <c r="DQS10" s="239"/>
      <c r="DQT10" s="239"/>
      <c r="DQU10" s="239"/>
      <c r="DQV10" s="239"/>
      <c r="DQW10" s="239"/>
      <c r="DQX10" s="239"/>
      <c r="DQY10" s="239"/>
      <c r="DQZ10" s="239"/>
      <c r="DRA10" s="239"/>
      <c r="DRB10" s="239"/>
      <c r="DRC10" s="239"/>
      <c r="DRD10" s="239"/>
      <c r="DRE10" s="239"/>
      <c r="DRF10" s="239"/>
      <c r="DRG10" s="239"/>
      <c r="DRH10" s="239"/>
      <c r="DRI10" s="239"/>
      <c r="DRJ10" s="239"/>
      <c r="DRK10" s="239"/>
      <c r="DRL10" s="239"/>
      <c r="DRM10" s="239"/>
      <c r="DRN10" s="239"/>
      <c r="DRO10" s="239"/>
      <c r="DRP10" s="239"/>
      <c r="DRQ10" s="239"/>
      <c r="DRR10" s="239"/>
      <c r="DRS10" s="239"/>
      <c r="DRT10" s="239"/>
      <c r="DRU10" s="239"/>
      <c r="DRV10" s="239"/>
      <c r="DRW10" s="239"/>
      <c r="DRX10" s="239"/>
      <c r="DRY10" s="239"/>
      <c r="DRZ10" s="239"/>
      <c r="DSA10" s="239"/>
      <c r="DSB10" s="239"/>
      <c r="DSC10" s="239"/>
      <c r="DSD10" s="239"/>
      <c r="DSE10" s="239"/>
      <c r="DSF10" s="239"/>
      <c r="DSG10" s="239"/>
      <c r="DSH10" s="239"/>
      <c r="DSI10" s="239"/>
      <c r="DSJ10" s="239"/>
      <c r="DSK10" s="239"/>
      <c r="DSL10" s="239"/>
      <c r="DSM10" s="239"/>
      <c r="DSN10" s="239"/>
      <c r="DSO10" s="239"/>
      <c r="DSP10" s="239"/>
      <c r="DSQ10" s="239"/>
      <c r="DSR10" s="239"/>
      <c r="DSS10" s="239"/>
      <c r="DST10" s="239"/>
      <c r="DSU10" s="239"/>
      <c r="DSV10" s="239"/>
      <c r="DSW10" s="239"/>
      <c r="DSX10" s="239"/>
      <c r="DSY10" s="239"/>
      <c r="DSZ10" s="239"/>
      <c r="DTA10" s="239"/>
      <c r="DTB10" s="239"/>
      <c r="DTC10" s="239"/>
      <c r="DTD10" s="239"/>
      <c r="DTE10" s="239"/>
      <c r="DTF10" s="239"/>
      <c r="DTG10" s="239"/>
      <c r="DTH10" s="239"/>
      <c r="DTI10" s="239"/>
      <c r="DTJ10" s="239"/>
      <c r="DTK10" s="239"/>
      <c r="DTL10" s="239"/>
      <c r="DTM10" s="239"/>
      <c r="DTN10" s="239"/>
      <c r="DTO10" s="239"/>
      <c r="DTP10" s="239"/>
      <c r="DTQ10" s="239"/>
      <c r="DTR10" s="239"/>
      <c r="DTS10" s="239"/>
      <c r="DTT10" s="239"/>
      <c r="DTU10" s="239"/>
      <c r="DTV10" s="239"/>
      <c r="DTW10" s="239"/>
      <c r="DTX10" s="239"/>
      <c r="DTY10" s="239"/>
      <c r="DTZ10" s="239"/>
      <c r="DUA10" s="239"/>
      <c r="DUB10" s="239"/>
      <c r="DUC10" s="239"/>
      <c r="DUD10" s="239"/>
      <c r="DUE10" s="239"/>
      <c r="DUF10" s="239"/>
      <c r="DUG10" s="239"/>
      <c r="DUH10" s="239"/>
      <c r="DUI10" s="239"/>
      <c r="DUJ10" s="239"/>
      <c r="DUK10" s="239"/>
      <c r="DUL10" s="239"/>
      <c r="DUM10" s="239"/>
      <c r="DUN10" s="239"/>
      <c r="DUO10" s="239"/>
      <c r="DUP10" s="239"/>
      <c r="DUQ10" s="239"/>
      <c r="DUR10" s="239"/>
      <c r="DUS10" s="239"/>
      <c r="DUT10" s="239"/>
      <c r="DUU10" s="239"/>
      <c r="DUV10" s="239"/>
      <c r="DUW10" s="239"/>
      <c r="DUX10" s="239"/>
      <c r="DUY10" s="239"/>
      <c r="DUZ10" s="239"/>
      <c r="DVA10" s="239"/>
      <c r="DVB10" s="239"/>
      <c r="DVC10" s="239"/>
      <c r="DVD10" s="239"/>
      <c r="DVE10" s="239"/>
      <c r="DVF10" s="239"/>
      <c r="DVG10" s="239"/>
      <c r="DVH10" s="239"/>
      <c r="DVI10" s="239"/>
      <c r="DVJ10" s="239"/>
      <c r="DVK10" s="239"/>
      <c r="DVL10" s="239"/>
      <c r="DVM10" s="239"/>
      <c r="DVN10" s="239"/>
      <c r="DVO10" s="239"/>
      <c r="DVP10" s="239"/>
      <c r="DVQ10" s="239"/>
      <c r="DVR10" s="239"/>
      <c r="DVS10" s="239"/>
      <c r="DVT10" s="239"/>
      <c r="DVU10" s="239"/>
      <c r="DVV10" s="239"/>
      <c r="DVW10" s="239"/>
      <c r="DVX10" s="239"/>
      <c r="DVY10" s="239"/>
      <c r="DVZ10" s="239"/>
      <c r="DWA10" s="239"/>
      <c r="DWB10" s="239"/>
      <c r="DWC10" s="239"/>
      <c r="DWD10" s="239"/>
      <c r="DWE10" s="239"/>
      <c r="DWF10" s="239"/>
      <c r="DWG10" s="239"/>
      <c r="DWH10" s="239"/>
      <c r="DWI10" s="239"/>
      <c r="DWJ10" s="239"/>
      <c r="DWK10" s="239"/>
      <c r="DWL10" s="239"/>
      <c r="DWM10" s="239"/>
      <c r="DWN10" s="239"/>
      <c r="DWO10" s="239"/>
      <c r="DWP10" s="239"/>
      <c r="DWQ10" s="239"/>
      <c r="DWR10" s="239"/>
      <c r="DWS10" s="239"/>
      <c r="DWT10" s="239"/>
      <c r="DWU10" s="239"/>
      <c r="DWV10" s="239"/>
      <c r="DWW10" s="239"/>
      <c r="DWX10" s="239"/>
      <c r="DWY10" s="239"/>
      <c r="DWZ10" s="239"/>
      <c r="DXA10" s="239"/>
      <c r="DXB10" s="239"/>
      <c r="DXC10" s="239"/>
      <c r="DXD10" s="239"/>
      <c r="DXE10" s="239"/>
      <c r="DXF10" s="239"/>
      <c r="DXG10" s="239"/>
      <c r="DXH10" s="239"/>
      <c r="DXI10" s="239"/>
      <c r="DXJ10" s="239"/>
      <c r="DXK10" s="239"/>
      <c r="DXL10" s="239"/>
      <c r="DXM10" s="239"/>
      <c r="DXN10" s="239"/>
      <c r="DXO10" s="239"/>
      <c r="DXP10" s="239"/>
      <c r="DXQ10" s="239"/>
      <c r="DXR10" s="239"/>
      <c r="DXS10" s="239"/>
      <c r="DXT10" s="239"/>
      <c r="DXU10" s="239"/>
      <c r="DXV10" s="239"/>
      <c r="DXW10" s="239"/>
      <c r="DXX10" s="239"/>
      <c r="DXY10" s="239"/>
      <c r="DXZ10" s="239"/>
      <c r="DYA10" s="239"/>
      <c r="DYB10" s="239"/>
      <c r="DYC10" s="239"/>
      <c r="DYD10" s="239"/>
      <c r="DYE10" s="239"/>
      <c r="DYF10" s="239"/>
      <c r="DYG10" s="239"/>
      <c r="DYH10" s="239"/>
      <c r="DYI10" s="239"/>
      <c r="DYJ10" s="239"/>
      <c r="DYK10" s="239"/>
      <c r="DYL10" s="239"/>
      <c r="DYM10" s="239"/>
      <c r="DYN10" s="239"/>
      <c r="DYO10" s="239"/>
      <c r="DYP10" s="239"/>
      <c r="DYQ10" s="239"/>
      <c r="DYR10" s="239"/>
      <c r="DYS10" s="239"/>
      <c r="DYT10" s="239"/>
      <c r="DYU10" s="239"/>
      <c r="DYV10" s="239"/>
      <c r="DYW10" s="239"/>
      <c r="DYX10" s="239"/>
      <c r="DYY10" s="239"/>
      <c r="DYZ10" s="239"/>
      <c r="DZA10" s="239"/>
      <c r="DZB10" s="239"/>
      <c r="DZC10" s="239"/>
      <c r="DZD10" s="239"/>
      <c r="DZE10" s="239"/>
      <c r="DZF10" s="239"/>
      <c r="DZG10" s="239"/>
      <c r="DZH10" s="239"/>
      <c r="DZI10" s="239"/>
      <c r="DZJ10" s="239"/>
      <c r="DZK10" s="239"/>
      <c r="DZL10" s="239"/>
      <c r="DZM10" s="239"/>
      <c r="DZN10" s="239"/>
      <c r="DZO10" s="239"/>
      <c r="DZP10" s="239"/>
      <c r="DZQ10" s="239"/>
      <c r="DZR10" s="239"/>
      <c r="DZS10" s="239"/>
      <c r="DZT10" s="239"/>
      <c r="DZU10" s="239"/>
      <c r="DZV10" s="239"/>
      <c r="DZW10" s="239"/>
      <c r="DZX10" s="239"/>
      <c r="DZY10" s="239"/>
      <c r="DZZ10" s="239"/>
      <c r="EAA10" s="239"/>
      <c r="EAB10" s="239"/>
      <c r="EAC10" s="239"/>
      <c r="EAD10" s="239"/>
      <c r="EAE10" s="239"/>
      <c r="EAF10" s="239"/>
      <c r="EAG10" s="239"/>
      <c r="EAH10" s="239"/>
      <c r="EAI10" s="239"/>
      <c r="EAJ10" s="239"/>
      <c r="EAK10" s="239"/>
      <c r="EAL10" s="239"/>
      <c r="EAM10" s="239"/>
      <c r="EAN10" s="239"/>
      <c r="EAO10" s="239"/>
      <c r="EAP10" s="239"/>
      <c r="EAQ10" s="239"/>
      <c r="EAR10" s="239"/>
      <c r="EAS10" s="239"/>
      <c r="EAT10" s="239"/>
      <c r="EAU10" s="239"/>
      <c r="EAV10" s="239"/>
      <c r="EAW10" s="239"/>
      <c r="EAX10" s="239"/>
      <c r="EAY10" s="239"/>
      <c r="EAZ10" s="239"/>
      <c r="EBA10" s="239"/>
      <c r="EBB10" s="239"/>
      <c r="EBC10" s="239"/>
      <c r="EBD10" s="239"/>
      <c r="EBE10" s="239"/>
      <c r="EBF10" s="239"/>
      <c r="EBG10" s="239"/>
      <c r="EBH10" s="239"/>
      <c r="EBI10" s="239"/>
      <c r="EBJ10" s="239"/>
      <c r="EBK10" s="239"/>
      <c r="EBL10" s="239"/>
      <c r="EBM10" s="239"/>
      <c r="EBN10" s="239"/>
      <c r="EBO10" s="239"/>
      <c r="EBP10" s="239"/>
      <c r="EBQ10" s="239"/>
      <c r="EBR10" s="239"/>
      <c r="EBS10" s="239"/>
      <c r="EBT10" s="239"/>
      <c r="EBU10" s="239"/>
      <c r="EBV10" s="239"/>
      <c r="EBW10" s="239"/>
      <c r="EBX10" s="239"/>
      <c r="EBY10" s="239"/>
      <c r="EBZ10" s="239"/>
      <c r="ECA10" s="239"/>
      <c r="ECB10" s="239"/>
      <c r="ECC10" s="239"/>
      <c r="ECD10" s="239"/>
      <c r="ECE10" s="239"/>
      <c r="ECF10" s="239"/>
      <c r="ECG10" s="239"/>
      <c r="ECH10" s="239"/>
      <c r="ECI10" s="239"/>
      <c r="ECJ10" s="239"/>
      <c r="ECK10" s="239"/>
      <c r="ECL10" s="239"/>
      <c r="ECM10" s="239"/>
      <c r="ECN10" s="239"/>
      <c r="ECO10" s="239"/>
      <c r="ECP10" s="239"/>
      <c r="ECQ10" s="239"/>
      <c r="ECR10" s="239"/>
      <c r="ECS10" s="239"/>
      <c r="ECT10" s="239"/>
      <c r="ECU10" s="239"/>
      <c r="ECV10" s="239"/>
      <c r="ECW10" s="239"/>
      <c r="ECX10" s="239"/>
      <c r="ECY10" s="239"/>
      <c r="ECZ10" s="239"/>
      <c r="EDA10" s="239"/>
      <c r="EDB10" s="239"/>
      <c r="EDC10" s="239"/>
      <c r="EDD10" s="239"/>
      <c r="EDE10" s="239"/>
      <c r="EDF10" s="239"/>
      <c r="EDG10" s="239"/>
      <c r="EDH10" s="239"/>
      <c r="EDI10" s="239"/>
      <c r="EDJ10" s="239"/>
      <c r="EDK10" s="239"/>
      <c r="EDL10" s="239"/>
      <c r="EDM10" s="239"/>
      <c r="EDN10" s="239"/>
      <c r="EDO10" s="239"/>
      <c r="EDP10" s="239"/>
      <c r="EDQ10" s="239"/>
      <c r="EDR10" s="239"/>
      <c r="EDS10" s="239"/>
      <c r="EDT10" s="239"/>
      <c r="EDU10" s="239"/>
      <c r="EDV10" s="239"/>
      <c r="EDW10" s="239"/>
      <c r="EDX10" s="239"/>
      <c r="EDY10" s="239"/>
      <c r="EDZ10" s="239"/>
      <c r="EEA10" s="239"/>
      <c r="EEB10" s="239"/>
      <c r="EEC10" s="239"/>
      <c r="EED10" s="239"/>
      <c r="EEE10" s="239"/>
      <c r="EEF10" s="239"/>
      <c r="EEG10" s="239"/>
      <c r="EEH10" s="239"/>
      <c r="EEI10" s="239"/>
      <c r="EEJ10" s="239"/>
      <c r="EEK10" s="239"/>
      <c r="EEL10" s="239"/>
      <c r="EEM10" s="239"/>
      <c r="EEN10" s="239"/>
      <c r="EEO10" s="239"/>
      <c r="EEP10" s="239"/>
      <c r="EEQ10" s="239"/>
      <c r="EER10" s="239"/>
      <c r="EES10" s="239"/>
      <c r="EET10" s="239"/>
      <c r="EEU10" s="239"/>
      <c r="EEV10" s="239"/>
      <c r="EEW10" s="239"/>
      <c r="EEX10" s="239"/>
      <c r="EEY10" s="239"/>
      <c r="EEZ10" s="239"/>
      <c r="EFA10" s="239"/>
      <c r="EFB10" s="239"/>
      <c r="EFC10" s="239"/>
      <c r="EFD10" s="239"/>
      <c r="EFE10" s="239"/>
      <c r="EFF10" s="239"/>
      <c r="EFG10" s="239"/>
      <c r="EFH10" s="239"/>
      <c r="EFI10" s="239"/>
      <c r="EFJ10" s="239"/>
      <c r="EFK10" s="239"/>
      <c r="EFL10" s="239"/>
      <c r="EFM10" s="239"/>
      <c r="EFN10" s="239"/>
      <c r="EFO10" s="239"/>
      <c r="EFP10" s="239"/>
      <c r="EFQ10" s="239"/>
      <c r="EFR10" s="239"/>
      <c r="EFS10" s="239"/>
      <c r="EFT10" s="239"/>
      <c r="EFU10" s="239"/>
      <c r="EFV10" s="239"/>
      <c r="EFW10" s="239"/>
      <c r="EFX10" s="239"/>
      <c r="EFY10" s="239"/>
      <c r="EFZ10" s="239"/>
      <c r="EGA10" s="239"/>
      <c r="EGB10" s="239"/>
      <c r="EGC10" s="239"/>
      <c r="EGD10" s="239"/>
      <c r="EGE10" s="239"/>
      <c r="EGF10" s="239"/>
      <c r="EGG10" s="239"/>
      <c r="EGH10" s="239"/>
      <c r="EGI10" s="239"/>
      <c r="EGJ10" s="239"/>
      <c r="EGK10" s="239"/>
      <c r="EGL10" s="239"/>
      <c r="EGM10" s="239"/>
      <c r="EGN10" s="239"/>
      <c r="EGO10" s="239"/>
      <c r="EGP10" s="239"/>
      <c r="EGQ10" s="239"/>
      <c r="EGR10" s="239"/>
      <c r="EGS10" s="239"/>
      <c r="EGT10" s="239"/>
      <c r="EGU10" s="239"/>
      <c r="EGV10" s="239"/>
      <c r="EGW10" s="239"/>
      <c r="EGX10" s="239"/>
      <c r="EGY10" s="239"/>
      <c r="EGZ10" s="239"/>
      <c r="EHA10" s="239"/>
      <c r="EHB10" s="239"/>
      <c r="EHC10" s="239"/>
      <c r="EHD10" s="239"/>
      <c r="EHE10" s="239"/>
      <c r="EHF10" s="239"/>
      <c r="EHG10" s="239"/>
      <c r="EHH10" s="239"/>
      <c r="EHI10" s="239"/>
      <c r="EHJ10" s="239"/>
      <c r="EHK10" s="239"/>
      <c r="EHL10" s="239"/>
      <c r="EHM10" s="239"/>
      <c r="EHN10" s="239"/>
      <c r="EHO10" s="239"/>
      <c r="EHP10" s="239"/>
      <c r="EHQ10" s="239"/>
      <c r="EHR10" s="239"/>
      <c r="EHS10" s="239"/>
      <c r="EHT10" s="239"/>
      <c r="EHU10" s="239"/>
      <c r="EHV10" s="239"/>
      <c r="EHW10" s="239"/>
      <c r="EHX10" s="239"/>
      <c r="EHY10" s="239"/>
      <c r="EHZ10" s="239"/>
      <c r="EIA10" s="239"/>
      <c r="EIB10" s="239"/>
      <c r="EIC10" s="239"/>
      <c r="EID10" s="239"/>
      <c r="EIE10" s="239"/>
      <c r="EIF10" s="239"/>
      <c r="EIG10" s="239"/>
      <c r="EIH10" s="239"/>
      <c r="EII10" s="239"/>
      <c r="EIJ10" s="239"/>
      <c r="EIK10" s="239"/>
      <c r="EIL10" s="239"/>
      <c r="EIM10" s="239"/>
      <c r="EIN10" s="239"/>
      <c r="EIO10" s="239"/>
      <c r="EIP10" s="239"/>
      <c r="EIQ10" s="239"/>
      <c r="EIR10" s="239"/>
      <c r="EIS10" s="239"/>
      <c r="EIT10" s="239"/>
      <c r="EIU10" s="239"/>
      <c r="EIV10" s="239"/>
      <c r="EIW10" s="239"/>
      <c r="EIX10" s="239"/>
      <c r="EIY10" s="239"/>
      <c r="EIZ10" s="239"/>
      <c r="EJA10" s="239"/>
      <c r="EJB10" s="239"/>
      <c r="EJC10" s="239"/>
      <c r="EJD10" s="239"/>
      <c r="EJE10" s="239"/>
      <c r="EJF10" s="239"/>
      <c r="EJG10" s="239"/>
      <c r="EJH10" s="239"/>
      <c r="EJI10" s="239"/>
      <c r="EJJ10" s="239"/>
      <c r="EJK10" s="239"/>
      <c r="EJL10" s="239"/>
      <c r="EJM10" s="239"/>
      <c r="EJN10" s="239"/>
      <c r="EJO10" s="239"/>
      <c r="EJP10" s="239"/>
      <c r="EJQ10" s="239"/>
      <c r="EJR10" s="239"/>
      <c r="EJS10" s="239"/>
      <c r="EJT10" s="239"/>
      <c r="EJU10" s="239"/>
      <c r="EJV10" s="239"/>
      <c r="EJW10" s="239"/>
      <c r="EJX10" s="239"/>
      <c r="EJY10" s="239"/>
      <c r="EJZ10" s="239"/>
      <c r="EKA10" s="239"/>
      <c r="EKB10" s="239"/>
      <c r="EKC10" s="239"/>
      <c r="EKD10" s="239"/>
      <c r="EKE10" s="239"/>
      <c r="EKF10" s="239"/>
      <c r="EKG10" s="239"/>
      <c r="EKH10" s="239"/>
      <c r="EKI10" s="239"/>
      <c r="EKJ10" s="239"/>
      <c r="EKK10" s="239"/>
      <c r="EKL10" s="239"/>
      <c r="EKM10" s="239"/>
      <c r="EKN10" s="239"/>
      <c r="EKO10" s="239"/>
      <c r="EKP10" s="239"/>
      <c r="EKQ10" s="239"/>
      <c r="EKR10" s="239"/>
      <c r="EKS10" s="239"/>
      <c r="EKT10" s="239"/>
      <c r="EKU10" s="239"/>
      <c r="EKV10" s="239"/>
      <c r="EKW10" s="239"/>
      <c r="EKX10" s="239"/>
      <c r="EKY10" s="239"/>
      <c r="EKZ10" s="239"/>
      <c r="ELA10" s="239"/>
      <c r="ELB10" s="239"/>
      <c r="ELC10" s="239"/>
      <c r="ELD10" s="239"/>
      <c r="ELE10" s="239"/>
      <c r="ELF10" s="239"/>
      <c r="ELG10" s="239"/>
      <c r="ELH10" s="239"/>
      <c r="ELI10" s="239"/>
      <c r="ELJ10" s="239"/>
      <c r="ELK10" s="239"/>
      <c r="ELL10" s="239"/>
      <c r="ELM10" s="239"/>
      <c r="ELN10" s="239"/>
      <c r="ELO10" s="239"/>
      <c r="ELP10" s="239"/>
      <c r="ELQ10" s="239"/>
      <c r="ELR10" s="239"/>
      <c r="ELS10" s="239"/>
      <c r="ELT10" s="239"/>
      <c r="ELU10" s="239"/>
      <c r="ELV10" s="239"/>
      <c r="ELW10" s="239"/>
      <c r="ELX10" s="239"/>
      <c r="ELY10" s="239"/>
      <c r="ELZ10" s="239"/>
      <c r="EMA10" s="239"/>
      <c r="EMB10" s="239"/>
      <c r="EMC10" s="239"/>
      <c r="EMD10" s="239"/>
      <c r="EME10" s="239"/>
      <c r="EMF10" s="239"/>
      <c r="EMG10" s="239"/>
      <c r="EMH10" s="239"/>
      <c r="EMI10" s="239"/>
      <c r="EMJ10" s="239"/>
      <c r="EMK10" s="239"/>
      <c r="EML10" s="239"/>
      <c r="EMM10" s="239"/>
      <c r="EMN10" s="239"/>
      <c r="EMO10" s="239"/>
      <c r="EMP10" s="239"/>
      <c r="EMQ10" s="239"/>
      <c r="EMR10" s="239"/>
      <c r="EMS10" s="239"/>
      <c r="EMT10" s="239"/>
      <c r="EMU10" s="239"/>
      <c r="EMV10" s="239"/>
      <c r="EMW10" s="239"/>
      <c r="EMX10" s="239"/>
      <c r="EMY10" s="239"/>
      <c r="EMZ10" s="239"/>
      <c r="ENA10" s="239"/>
      <c r="ENB10" s="239"/>
      <c r="ENC10" s="239"/>
      <c r="END10" s="239"/>
      <c r="ENE10" s="239"/>
      <c r="ENF10" s="239"/>
      <c r="ENG10" s="239"/>
      <c r="ENH10" s="239"/>
      <c r="ENI10" s="239"/>
      <c r="ENJ10" s="239"/>
      <c r="ENK10" s="239"/>
      <c r="ENL10" s="239"/>
      <c r="ENM10" s="239"/>
      <c r="ENN10" s="239"/>
      <c r="ENO10" s="239"/>
      <c r="ENP10" s="239"/>
      <c r="ENQ10" s="239"/>
      <c r="ENR10" s="239"/>
      <c r="ENS10" s="239"/>
      <c r="ENT10" s="239"/>
      <c r="ENU10" s="239"/>
      <c r="ENV10" s="239"/>
      <c r="ENW10" s="239"/>
      <c r="ENX10" s="239"/>
      <c r="ENY10" s="239"/>
      <c r="ENZ10" s="239"/>
      <c r="EOA10" s="239"/>
      <c r="EOB10" s="239"/>
      <c r="EOC10" s="239"/>
      <c r="EOD10" s="239"/>
      <c r="EOE10" s="239"/>
      <c r="EOF10" s="239"/>
      <c r="EOG10" s="239"/>
      <c r="EOH10" s="239"/>
      <c r="EOI10" s="239"/>
      <c r="EOJ10" s="239"/>
      <c r="EOK10" s="239"/>
      <c r="EOL10" s="239"/>
      <c r="EOM10" s="239"/>
      <c r="EON10" s="239"/>
      <c r="EOO10" s="239"/>
      <c r="EOP10" s="239"/>
      <c r="EOQ10" s="239"/>
      <c r="EOR10" s="239"/>
      <c r="EOS10" s="239"/>
      <c r="EOT10" s="239"/>
      <c r="EOU10" s="239"/>
      <c r="EOV10" s="239"/>
      <c r="EOW10" s="239"/>
      <c r="EOX10" s="239"/>
      <c r="EOY10" s="239"/>
      <c r="EOZ10" s="239"/>
      <c r="EPA10" s="239"/>
      <c r="EPB10" s="239"/>
      <c r="EPC10" s="239"/>
      <c r="EPD10" s="239"/>
      <c r="EPE10" s="239"/>
      <c r="EPF10" s="239"/>
      <c r="EPG10" s="239"/>
      <c r="EPH10" s="239"/>
      <c r="EPI10" s="239"/>
      <c r="EPJ10" s="239"/>
      <c r="EPK10" s="239"/>
      <c r="EPL10" s="239"/>
      <c r="EPM10" s="239"/>
      <c r="EPN10" s="239"/>
      <c r="EPO10" s="239"/>
      <c r="EPP10" s="239"/>
      <c r="EPQ10" s="239"/>
      <c r="EPR10" s="239"/>
      <c r="EPS10" s="239"/>
      <c r="EPT10" s="239"/>
      <c r="EPU10" s="239"/>
      <c r="EPV10" s="239"/>
      <c r="EPW10" s="239"/>
      <c r="EPX10" s="239"/>
      <c r="EPY10" s="239"/>
      <c r="EPZ10" s="239"/>
      <c r="EQA10" s="239"/>
      <c r="EQB10" s="239"/>
      <c r="EQC10" s="239"/>
      <c r="EQD10" s="239"/>
      <c r="EQE10" s="239"/>
      <c r="EQF10" s="239"/>
      <c r="EQG10" s="239"/>
      <c r="EQH10" s="239"/>
      <c r="EQI10" s="239"/>
      <c r="EQJ10" s="239"/>
      <c r="EQK10" s="239"/>
      <c r="EQL10" s="239"/>
      <c r="EQM10" s="239"/>
      <c r="EQN10" s="239"/>
      <c r="EQO10" s="239"/>
      <c r="EQP10" s="239"/>
      <c r="EQQ10" s="239"/>
      <c r="EQR10" s="239"/>
      <c r="EQS10" s="239"/>
      <c r="EQT10" s="239"/>
      <c r="EQU10" s="239"/>
      <c r="EQV10" s="239"/>
      <c r="EQW10" s="239"/>
      <c r="EQX10" s="239"/>
      <c r="EQY10" s="239"/>
      <c r="EQZ10" s="239"/>
      <c r="ERA10" s="239"/>
      <c r="ERB10" s="239"/>
      <c r="ERC10" s="239"/>
      <c r="ERD10" s="239"/>
      <c r="ERE10" s="239"/>
      <c r="ERF10" s="239"/>
      <c r="ERG10" s="239"/>
      <c r="ERH10" s="239"/>
      <c r="ERI10" s="239"/>
      <c r="ERJ10" s="239"/>
      <c r="ERK10" s="239"/>
      <c r="ERL10" s="239"/>
      <c r="ERM10" s="239"/>
      <c r="ERN10" s="239"/>
      <c r="ERO10" s="239"/>
      <c r="ERP10" s="239"/>
      <c r="ERQ10" s="239"/>
      <c r="ERR10" s="239"/>
      <c r="ERS10" s="239"/>
      <c r="ERT10" s="239"/>
      <c r="ERU10" s="239"/>
      <c r="ERV10" s="239"/>
      <c r="ERW10" s="239"/>
      <c r="ERX10" s="239"/>
      <c r="ERY10" s="239"/>
      <c r="ERZ10" s="239"/>
      <c r="ESA10" s="239"/>
      <c r="ESB10" s="239"/>
      <c r="ESC10" s="239"/>
      <c r="ESD10" s="239"/>
      <c r="ESE10" s="239"/>
      <c r="ESF10" s="239"/>
      <c r="ESG10" s="239"/>
      <c r="ESH10" s="239"/>
      <c r="ESI10" s="239"/>
      <c r="ESJ10" s="239"/>
      <c r="ESK10" s="239"/>
      <c r="ESL10" s="239"/>
      <c r="ESM10" s="239"/>
      <c r="ESN10" s="239"/>
      <c r="ESO10" s="239"/>
      <c r="ESP10" s="239"/>
      <c r="ESQ10" s="239"/>
      <c r="ESR10" s="239"/>
      <c r="ESS10" s="239"/>
      <c r="EST10" s="239"/>
      <c r="ESU10" s="239"/>
      <c r="ESV10" s="239"/>
      <c r="ESW10" s="239"/>
      <c r="ESX10" s="239"/>
      <c r="ESY10" s="239"/>
      <c r="ESZ10" s="239"/>
      <c r="ETA10" s="239"/>
      <c r="ETB10" s="239"/>
      <c r="ETC10" s="239"/>
      <c r="ETD10" s="239"/>
      <c r="ETE10" s="239"/>
      <c r="ETF10" s="239"/>
      <c r="ETG10" s="239"/>
      <c r="ETH10" s="239"/>
      <c r="ETI10" s="239"/>
      <c r="ETJ10" s="239"/>
      <c r="ETK10" s="239"/>
      <c r="ETL10" s="239"/>
      <c r="ETM10" s="239"/>
      <c r="ETN10" s="239"/>
      <c r="ETO10" s="239"/>
      <c r="ETP10" s="239"/>
      <c r="ETQ10" s="239"/>
      <c r="ETR10" s="239"/>
      <c r="ETS10" s="239"/>
      <c r="ETT10" s="239"/>
      <c r="ETU10" s="239"/>
      <c r="ETV10" s="239"/>
      <c r="ETW10" s="239"/>
      <c r="ETX10" s="239"/>
      <c r="ETY10" s="239"/>
      <c r="ETZ10" s="239"/>
      <c r="EUA10" s="239"/>
      <c r="EUB10" s="239"/>
      <c r="EUC10" s="239"/>
      <c r="EUD10" s="239"/>
      <c r="EUE10" s="239"/>
      <c r="EUF10" s="239"/>
      <c r="EUG10" s="239"/>
      <c r="EUH10" s="239"/>
      <c r="EUI10" s="239"/>
      <c r="EUJ10" s="239"/>
      <c r="EUK10" s="239"/>
      <c r="EUL10" s="239"/>
      <c r="EUM10" s="239"/>
      <c r="EUN10" s="239"/>
      <c r="EUO10" s="239"/>
      <c r="EUP10" s="239"/>
      <c r="EUQ10" s="239"/>
      <c r="EUR10" s="239"/>
      <c r="EUS10" s="239"/>
      <c r="EUT10" s="239"/>
      <c r="EUU10" s="239"/>
      <c r="EUV10" s="239"/>
      <c r="EUW10" s="239"/>
      <c r="EUX10" s="239"/>
      <c r="EUY10" s="239"/>
      <c r="EUZ10" s="239"/>
      <c r="EVA10" s="239"/>
      <c r="EVB10" s="239"/>
      <c r="EVC10" s="239"/>
      <c r="EVD10" s="239"/>
      <c r="EVE10" s="239"/>
      <c r="EVF10" s="239"/>
      <c r="EVG10" s="239"/>
      <c r="EVH10" s="239"/>
      <c r="EVI10" s="239"/>
      <c r="EVJ10" s="239"/>
      <c r="EVK10" s="239"/>
      <c r="EVL10" s="239"/>
      <c r="EVM10" s="239"/>
      <c r="EVN10" s="239"/>
      <c r="EVO10" s="239"/>
      <c r="EVP10" s="239"/>
      <c r="EVQ10" s="239"/>
      <c r="EVR10" s="239"/>
      <c r="EVS10" s="239"/>
      <c r="EVT10" s="239"/>
      <c r="EVU10" s="239"/>
      <c r="EVV10" s="239"/>
      <c r="EVW10" s="239"/>
      <c r="EVX10" s="239"/>
      <c r="EVY10" s="239"/>
      <c r="EVZ10" s="239"/>
      <c r="EWA10" s="239"/>
      <c r="EWB10" s="239"/>
      <c r="EWC10" s="239"/>
      <c r="EWD10" s="239"/>
      <c r="EWE10" s="239"/>
      <c r="EWF10" s="239"/>
      <c r="EWG10" s="239"/>
      <c r="EWH10" s="239"/>
      <c r="EWI10" s="239"/>
      <c r="EWJ10" s="239"/>
      <c r="EWK10" s="239"/>
      <c r="EWL10" s="239"/>
      <c r="EWM10" s="239"/>
      <c r="EWN10" s="239"/>
      <c r="EWO10" s="239"/>
      <c r="EWP10" s="239"/>
      <c r="EWQ10" s="239"/>
      <c r="EWR10" s="239"/>
      <c r="EWS10" s="239"/>
      <c r="EWT10" s="239"/>
      <c r="EWU10" s="239"/>
      <c r="EWV10" s="239"/>
      <c r="EWW10" s="239"/>
      <c r="EWX10" s="239"/>
      <c r="EWY10" s="239"/>
      <c r="EWZ10" s="239"/>
      <c r="EXA10" s="239"/>
      <c r="EXB10" s="239"/>
      <c r="EXC10" s="239"/>
      <c r="EXD10" s="239"/>
      <c r="EXE10" s="239"/>
      <c r="EXF10" s="239"/>
      <c r="EXG10" s="239"/>
      <c r="EXH10" s="239"/>
      <c r="EXI10" s="239"/>
      <c r="EXJ10" s="239"/>
      <c r="EXK10" s="239"/>
      <c r="EXL10" s="239"/>
      <c r="EXM10" s="239"/>
      <c r="EXN10" s="239"/>
      <c r="EXO10" s="239"/>
      <c r="EXP10" s="239"/>
      <c r="EXQ10" s="239"/>
      <c r="EXR10" s="239"/>
      <c r="EXS10" s="239"/>
      <c r="EXT10" s="239"/>
      <c r="EXU10" s="239"/>
      <c r="EXV10" s="239"/>
      <c r="EXW10" s="239"/>
      <c r="EXX10" s="239"/>
      <c r="EXY10" s="239"/>
      <c r="EXZ10" s="239"/>
      <c r="EYA10" s="239"/>
      <c r="EYB10" s="239"/>
      <c r="EYC10" s="239"/>
      <c r="EYD10" s="239"/>
      <c r="EYE10" s="239"/>
      <c r="EYF10" s="239"/>
      <c r="EYG10" s="239"/>
      <c r="EYH10" s="239"/>
      <c r="EYI10" s="239"/>
      <c r="EYJ10" s="239"/>
      <c r="EYK10" s="239"/>
      <c r="EYL10" s="239"/>
      <c r="EYM10" s="239"/>
      <c r="EYN10" s="239"/>
      <c r="EYO10" s="239"/>
      <c r="EYP10" s="239"/>
      <c r="EYQ10" s="239"/>
      <c r="EYR10" s="239"/>
      <c r="EYS10" s="239"/>
      <c r="EYT10" s="239"/>
      <c r="EYU10" s="239"/>
      <c r="EYV10" s="239"/>
      <c r="EYW10" s="239"/>
      <c r="EYX10" s="239"/>
      <c r="EYY10" s="239"/>
      <c r="EYZ10" s="239"/>
      <c r="EZA10" s="239"/>
      <c r="EZB10" s="239"/>
      <c r="EZC10" s="239"/>
      <c r="EZD10" s="239"/>
      <c r="EZE10" s="239"/>
      <c r="EZF10" s="239"/>
      <c r="EZG10" s="239"/>
      <c r="EZH10" s="239"/>
      <c r="EZI10" s="239"/>
      <c r="EZJ10" s="239"/>
      <c r="EZK10" s="239"/>
      <c r="EZL10" s="239"/>
      <c r="EZM10" s="239"/>
      <c r="EZN10" s="239"/>
      <c r="EZO10" s="239"/>
      <c r="EZP10" s="239"/>
      <c r="EZQ10" s="239"/>
      <c r="EZR10" s="239"/>
      <c r="EZS10" s="239"/>
      <c r="EZT10" s="239"/>
      <c r="EZU10" s="239"/>
      <c r="EZV10" s="239"/>
      <c r="EZW10" s="239"/>
      <c r="EZX10" s="239"/>
      <c r="EZY10" s="239"/>
      <c r="EZZ10" s="239"/>
      <c r="FAA10" s="239"/>
      <c r="FAB10" s="239"/>
      <c r="FAC10" s="239"/>
      <c r="FAD10" s="239"/>
      <c r="FAE10" s="239"/>
      <c r="FAF10" s="239"/>
      <c r="FAG10" s="239"/>
      <c r="FAH10" s="239"/>
      <c r="FAI10" s="239"/>
      <c r="FAJ10" s="239"/>
      <c r="FAK10" s="239"/>
      <c r="FAL10" s="239"/>
      <c r="FAM10" s="239"/>
      <c r="FAN10" s="239"/>
      <c r="FAO10" s="239"/>
      <c r="FAP10" s="239"/>
      <c r="FAQ10" s="239"/>
      <c r="FAR10" s="239"/>
      <c r="FAS10" s="239"/>
      <c r="FAT10" s="239"/>
      <c r="FAU10" s="239"/>
      <c r="FAV10" s="239"/>
      <c r="FAW10" s="239"/>
      <c r="FAX10" s="239"/>
      <c r="FAY10" s="239"/>
      <c r="FAZ10" s="239"/>
      <c r="FBA10" s="239"/>
      <c r="FBB10" s="239"/>
      <c r="FBC10" s="239"/>
      <c r="FBD10" s="239"/>
      <c r="FBE10" s="239"/>
      <c r="FBF10" s="239"/>
      <c r="FBG10" s="239"/>
      <c r="FBH10" s="239"/>
      <c r="FBI10" s="239"/>
      <c r="FBJ10" s="239"/>
      <c r="FBK10" s="239"/>
      <c r="FBL10" s="239"/>
      <c r="FBM10" s="239"/>
      <c r="FBN10" s="239"/>
      <c r="FBO10" s="239"/>
      <c r="FBP10" s="239"/>
      <c r="FBQ10" s="239"/>
      <c r="FBR10" s="239"/>
      <c r="FBS10" s="239"/>
      <c r="FBT10" s="239"/>
      <c r="FBU10" s="239"/>
      <c r="FBV10" s="239"/>
      <c r="FBW10" s="239"/>
      <c r="FBX10" s="239"/>
      <c r="FBY10" s="239"/>
      <c r="FBZ10" s="239"/>
      <c r="FCA10" s="239"/>
      <c r="FCB10" s="239"/>
      <c r="FCC10" s="239"/>
      <c r="FCD10" s="239"/>
      <c r="FCE10" s="239"/>
      <c r="FCF10" s="239"/>
      <c r="FCG10" s="239"/>
      <c r="FCH10" s="239"/>
      <c r="FCI10" s="239"/>
      <c r="FCJ10" s="239"/>
      <c r="FCK10" s="239"/>
      <c r="FCL10" s="239"/>
      <c r="FCM10" s="239"/>
      <c r="FCN10" s="239"/>
      <c r="FCO10" s="239"/>
      <c r="FCP10" s="239"/>
      <c r="FCQ10" s="239"/>
      <c r="FCR10" s="239"/>
      <c r="FCS10" s="239"/>
      <c r="FCT10" s="239"/>
      <c r="FCU10" s="239"/>
      <c r="FCV10" s="239"/>
      <c r="FCW10" s="239"/>
      <c r="FCX10" s="239"/>
      <c r="FCY10" s="239"/>
      <c r="FCZ10" s="239"/>
      <c r="FDA10" s="239"/>
      <c r="FDB10" s="239"/>
      <c r="FDC10" s="239"/>
      <c r="FDD10" s="239"/>
      <c r="FDE10" s="239"/>
      <c r="FDF10" s="239"/>
      <c r="FDG10" s="239"/>
      <c r="FDH10" s="239"/>
      <c r="FDI10" s="239"/>
      <c r="FDJ10" s="239"/>
      <c r="FDK10" s="239"/>
      <c r="FDL10" s="239"/>
      <c r="FDM10" s="239"/>
      <c r="FDN10" s="239"/>
      <c r="FDO10" s="239"/>
      <c r="FDP10" s="239"/>
      <c r="FDQ10" s="239"/>
      <c r="FDR10" s="239"/>
      <c r="FDS10" s="239"/>
      <c r="FDT10" s="239"/>
      <c r="FDU10" s="239"/>
      <c r="FDV10" s="239"/>
      <c r="FDW10" s="239"/>
      <c r="FDX10" s="239"/>
      <c r="FDY10" s="239"/>
      <c r="FDZ10" s="239"/>
      <c r="FEA10" s="239"/>
      <c r="FEB10" s="239"/>
      <c r="FEC10" s="239"/>
      <c r="FED10" s="239"/>
      <c r="FEE10" s="239"/>
      <c r="FEF10" s="239"/>
      <c r="FEG10" s="239"/>
      <c r="FEH10" s="239"/>
      <c r="FEI10" s="239"/>
      <c r="FEJ10" s="239"/>
      <c r="FEK10" s="239"/>
      <c r="FEL10" s="239"/>
      <c r="FEM10" s="239"/>
      <c r="FEN10" s="239"/>
      <c r="FEO10" s="239"/>
      <c r="FEP10" s="239"/>
      <c r="FEQ10" s="239"/>
      <c r="FER10" s="239"/>
      <c r="FES10" s="239"/>
      <c r="FET10" s="239"/>
      <c r="FEU10" s="239"/>
      <c r="FEV10" s="239"/>
      <c r="FEW10" s="239"/>
      <c r="FEX10" s="239"/>
      <c r="FEY10" s="239"/>
      <c r="FEZ10" s="239"/>
      <c r="FFA10" s="239"/>
      <c r="FFB10" s="239"/>
      <c r="FFC10" s="239"/>
      <c r="FFD10" s="239"/>
      <c r="FFE10" s="239"/>
      <c r="FFF10" s="239"/>
      <c r="FFG10" s="239"/>
      <c r="FFH10" s="239"/>
      <c r="FFI10" s="239"/>
      <c r="FFJ10" s="239"/>
      <c r="FFK10" s="239"/>
      <c r="FFL10" s="239"/>
      <c r="FFM10" s="239"/>
      <c r="FFN10" s="239"/>
      <c r="FFO10" s="239"/>
      <c r="FFP10" s="239"/>
      <c r="FFQ10" s="239"/>
      <c r="FFR10" s="239"/>
      <c r="FFS10" s="239"/>
      <c r="FFT10" s="239"/>
      <c r="FFU10" s="239"/>
      <c r="FFV10" s="239"/>
      <c r="FFW10" s="239"/>
      <c r="FFX10" s="239"/>
      <c r="FFY10" s="239"/>
      <c r="FFZ10" s="239"/>
      <c r="FGA10" s="239"/>
      <c r="FGB10" s="239"/>
      <c r="FGC10" s="239"/>
      <c r="FGD10" s="239"/>
      <c r="FGE10" s="239"/>
      <c r="FGF10" s="239"/>
      <c r="FGG10" s="239"/>
      <c r="FGH10" s="239"/>
      <c r="FGI10" s="239"/>
      <c r="FGJ10" s="239"/>
      <c r="FGK10" s="239"/>
      <c r="FGL10" s="239"/>
      <c r="FGM10" s="239"/>
      <c r="FGN10" s="239"/>
      <c r="FGO10" s="239"/>
      <c r="FGP10" s="239"/>
      <c r="FGQ10" s="239"/>
      <c r="FGR10" s="239"/>
      <c r="FGS10" s="239"/>
      <c r="FGT10" s="239"/>
      <c r="FGU10" s="239"/>
      <c r="FGV10" s="239"/>
      <c r="FGW10" s="239"/>
      <c r="FGX10" s="239"/>
      <c r="FGY10" s="239"/>
      <c r="FGZ10" s="239"/>
      <c r="FHA10" s="239"/>
      <c r="FHB10" s="239"/>
      <c r="FHC10" s="239"/>
      <c r="FHD10" s="239"/>
      <c r="FHE10" s="239"/>
      <c r="FHF10" s="239"/>
      <c r="FHG10" s="239"/>
      <c r="FHH10" s="239"/>
      <c r="FHI10" s="239"/>
      <c r="FHJ10" s="239"/>
      <c r="FHK10" s="239"/>
      <c r="FHL10" s="239"/>
      <c r="FHM10" s="239"/>
      <c r="FHN10" s="239"/>
      <c r="FHO10" s="239"/>
      <c r="FHP10" s="239"/>
      <c r="FHQ10" s="239"/>
      <c r="FHR10" s="239"/>
      <c r="FHS10" s="239"/>
      <c r="FHT10" s="239"/>
      <c r="FHU10" s="239"/>
      <c r="FHV10" s="239"/>
      <c r="FHW10" s="239"/>
      <c r="FHX10" s="239"/>
      <c r="FHY10" s="239"/>
      <c r="FHZ10" s="239"/>
      <c r="FIA10" s="239"/>
      <c r="FIB10" s="239"/>
      <c r="FIC10" s="239"/>
      <c r="FID10" s="239"/>
      <c r="FIE10" s="239"/>
      <c r="FIF10" s="239"/>
      <c r="FIG10" s="239"/>
      <c r="FIH10" s="239"/>
      <c r="FII10" s="239"/>
      <c r="FIJ10" s="239"/>
      <c r="FIK10" s="239"/>
      <c r="FIL10" s="239"/>
      <c r="FIM10" s="239"/>
      <c r="FIN10" s="239"/>
      <c r="FIO10" s="239"/>
      <c r="FIP10" s="239"/>
      <c r="FIQ10" s="239"/>
      <c r="FIR10" s="239"/>
      <c r="FIS10" s="239"/>
      <c r="FIT10" s="239"/>
      <c r="FIU10" s="239"/>
      <c r="FIV10" s="239"/>
      <c r="FIW10" s="239"/>
      <c r="FIX10" s="239"/>
      <c r="FIY10" s="239"/>
      <c r="FIZ10" s="239"/>
      <c r="FJA10" s="239"/>
      <c r="FJB10" s="239"/>
      <c r="FJC10" s="239"/>
      <c r="FJD10" s="239"/>
      <c r="FJE10" s="239"/>
      <c r="FJF10" s="239"/>
      <c r="FJG10" s="239"/>
      <c r="FJH10" s="239"/>
      <c r="FJI10" s="239"/>
      <c r="FJJ10" s="239"/>
      <c r="FJK10" s="239"/>
      <c r="FJL10" s="239"/>
      <c r="FJM10" s="239"/>
      <c r="FJN10" s="239"/>
      <c r="FJO10" s="239"/>
      <c r="FJP10" s="239"/>
      <c r="FJQ10" s="239"/>
      <c r="FJR10" s="239"/>
      <c r="FJS10" s="239"/>
      <c r="FJT10" s="239"/>
      <c r="FJU10" s="239"/>
      <c r="FJV10" s="239"/>
      <c r="FJW10" s="239"/>
      <c r="FJX10" s="239"/>
      <c r="FJY10" s="239"/>
      <c r="FJZ10" s="239"/>
      <c r="FKA10" s="239"/>
      <c r="FKB10" s="239"/>
      <c r="FKC10" s="239"/>
      <c r="FKD10" s="239"/>
      <c r="FKE10" s="239"/>
      <c r="FKF10" s="239"/>
      <c r="FKG10" s="239"/>
      <c r="FKH10" s="239"/>
      <c r="FKI10" s="239"/>
      <c r="FKJ10" s="239"/>
      <c r="FKK10" s="239"/>
      <c r="FKL10" s="239"/>
      <c r="FKM10" s="239"/>
      <c r="FKN10" s="239"/>
      <c r="FKO10" s="239"/>
      <c r="FKP10" s="239"/>
      <c r="FKQ10" s="239"/>
      <c r="FKR10" s="239"/>
      <c r="FKS10" s="239"/>
      <c r="FKT10" s="239"/>
      <c r="FKU10" s="239"/>
      <c r="FKV10" s="239"/>
      <c r="FKW10" s="239"/>
      <c r="FKX10" s="239"/>
      <c r="FKY10" s="239"/>
      <c r="FKZ10" s="239"/>
      <c r="FLA10" s="239"/>
      <c r="FLB10" s="239"/>
      <c r="FLC10" s="239"/>
      <c r="FLD10" s="239"/>
      <c r="FLE10" s="239"/>
      <c r="FLF10" s="239"/>
      <c r="FLG10" s="239"/>
      <c r="FLH10" s="239"/>
      <c r="FLI10" s="239"/>
      <c r="FLJ10" s="239"/>
      <c r="FLK10" s="239"/>
      <c r="FLL10" s="239"/>
      <c r="FLM10" s="239"/>
      <c r="FLN10" s="239"/>
      <c r="FLO10" s="239"/>
      <c r="FLP10" s="239"/>
      <c r="FLQ10" s="239"/>
      <c r="FLR10" s="239"/>
      <c r="FLS10" s="239"/>
      <c r="FLT10" s="239"/>
      <c r="FLU10" s="239"/>
      <c r="FLV10" s="239"/>
      <c r="FLW10" s="239"/>
      <c r="FLX10" s="239"/>
      <c r="FLY10" s="239"/>
      <c r="FLZ10" s="239"/>
      <c r="FMA10" s="239"/>
      <c r="FMB10" s="239"/>
      <c r="FMC10" s="239"/>
      <c r="FMD10" s="239"/>
      <c r="FME10" s="239"/>
      <c r="FMF10" s="239"/>
      <c r="FMG10" s="239"/>
      <c r="FMH10" s="239"/>
      <c r="FMI10" s="239"/>
      <c r="FMJ10" s="239"/>
      <c r="FMK10" s="239"/>
      <c r="FML10" s="239"/>
      <c r="FMM10" s="239"/>
      <c r="FMN10" s="239"/>
      <c r="FMO10" s="239"/>
      <c r="FMP10" s="239"/>
      <c r="FMQ10" s="239"/>
      <c r="FMR10" s="239"/>
      <c r="FMS10" s="239"/>
      <c r="FMT10" s="239"/>
      <c r="FMU10" s="239"/>
      <c r="FMV10" s="239"/>
      <c r="FMW10" s="239"/>
      <c r="FMX10" s="239"/>
      <c r="FMY10" s="239"/>
      <c r="FMZ10" s="239"/>
      <c r="FNA10" s="239"/>
      <c r="FNB10" s="239"/>
      <c r="FNC10" s="239"/>
      <c r="FND10" s="239"/>
      <c r="FNE10" s="239"/>
      <c r="FNF10" s="239"/>
      <c r="FNG10" s="239"/>
      <c r="FNH10" s="239"/>
      <c r="FNI10" s="239"/>
      <c r="FNJ10" s="239"/>
      <c r="FNK10" s="239"/>
      <c r="FNL10" s="239"/>
      <c r="FNM10" s="239"/>
      <c r="FNN10" s="239"/>
      <c r="FNO10" s="239"/>
      <c r="FNP10" s="239"/>
      <c r="FNQ10" s="239"/>
      <c r="FNR10" s="239"/>
      <c r="FNS10" s="239"/>
      <c r="FNT10" s="239"/>
      <c r="FNU10" s="239"/>
      <c r="FNV10" s="239"/>
      <c r="FNW10" s="239"/>
      <c r="FNX10" s="239"/>
      <c r="FNY10" s="239"/>
      <c r="FNZ10" s="239"/>
      <c r="FOA10" s="239"/>
      <c r="FOB10" s="239"/>
      <c r="FOC10" s="239"/>
      <c r="FOD10" s="239"/>
      <c r="FOE10" s="239"/>
      <c r="FOF10" s="239"/>
      <c r="FOG10" s="239"/>
      <c r="FOH10" s="239"/>
      <c r="FOI10" s="239"/>
      <c r="FOJ10" s="239"/>
      <c r="FOK10" s="239"/>
      <c r="FOL10" s="239"/>
      <c r="FOM10" s="239"/>
      <c r="FON10" s="239"/>
      <c r="FOO10" s="239"/>
      <c r="FOP10" s="239"/>
      <c r="FOQ10" s="239"/>
      <c r="FOR10" s="239"/>
      <c r="FOS10" s="239"/>
      <c r="FOT10" s="239"/>
      <c r="FOU10" s="239"/>
      <c r="FOV10" s="239"/>
      <c r="FOW10" s="239"/>
      <c r="FOX10" s="239"/>
      <c r="FOY10" s="239"/>
      <c r="FOZ10" s="239"/>
      <c r="FPA10" s="239"/>
      <c r="FPB10" s="239"/>
      <c r="FPC10" s="239"/>
      <c r="FPD10" s="239"/>
      <c r="FPE10" s="239"/>
      <c r="FPF10" s="239"/>
      <c r="FPG10" s="239"/>
      <c r="FPH10" s="239"/>
      <c r="FPI10" s="239"/>
      <c r="FPJ10" s="239"/>
      <c r="FPK10" s="239"/>
      <c r="FPL10" s="239"/>
      <c r="FPM10" s="239"/>
      <c r="FPN10" s="239"/>
      <c r="FPO10" s="239"/>
      <c r="FPP10" s="239"/>
      <c r="FPQ10" s="239"/>
      <c r="FPR10" s="239"/>
      <c r="FPS10" s="239"/>
      <c r="FPT10" s="239"/>
      <c r="FPU10" s="239"/>
      <c r="FPV10" s="239"/>
      <c r="FPW10" s="239"/>
      <c r="FPX10" s="239"/>
      <c r="FPY10" s="239"/>
      <c r="FPZ10" s="239"/>
      <c r="FQA10" s="239"/>
      <c r="FQB10" s="239"/>
      <c r="FQC10" s="239"/>
      <c r="FQD10" s="239"/>
      <c r="FQE10" s="239"/>
      <c r="FQF10" s="239"/>
      <c r="FQG10" s="239"/>
      <c r="FQH10" s="239"/>
      <c r="FQI10" s="239"/>
      <c r="FQJ10" s="239"/>
      <c r="FQK10" s="239"/>
      <c r="FQL10" s="239"/>
      <c r="FQM10" s="239"/>
      <c r="FQN10" s="239"/>
      <c r="FQO10" s="239"/>
      <c r="FQP10" s="239"/>
      <c r="FQQ10" s="239"/>
      <c r="FQR10" s="239"/>
      <c r="FQS10" s="239"/>
      <c r="FQT10" s="239"/>
      <c r="FQU10" s="239"/>
      <c r="FQV10" s="239"/>
      <c r="FQW10" s="239"/>
      <c r="FQX10" s="239"/>
      <c r="FQY10" s="239"/>
      <c r="FQZ10" s="239"/>
      <c r="FRA10" s="239"/>
      <c r="FRB10" s="239"/>
      <c r="FRC10" s="239"/>
      <c r="FRD10" s="239"/>
      <c r="FRE10" s="239"/>
      <c r="FRF10" s="239"/>
      <c r="FRG10" s="239"/>
      <c r="FRH10" s="239"/>
      <c r="FRI10" s="239"/>
      <c r="FRJ10" s="239"/>
      <c r="FRK10" s="239"/>
      <c r="FRL10" s="239"/>
      <c r="FRM10" s="239"/>
      <c r="FRN10" s="239"/>
      <c r="FRO10" s="239"/>
      <c r="FRP10" s="239"/>
      <c r="FRQ10" s="239"/>
      <c r="FRR10" s="239"/>
      <c r="FRS10" s="239"/>
      <c r="FRT10" s="239"/>
      <c r="FRU10" s="239"/>
      <c r="FRV10" s="239"/>
      <c r="FRW10" s="239"/>
      <c r="FRX10" s="239"/>
      <c r="FRY10" s="239"/>
      <c r="FRZ10" s="239"/>
      <c r="FSA10" s="239"/>
      <c r="FSB10" s="239"/>
      <c r="FSC10" s="239"/>
      <c r="FSD10" s="239"/>
      <c r="FSE10" s="239"/>
      <c r="FSF10" s="239"/>
      <c r="FSG10" s="239"/>
      <c r="FSH10" s="239"/>
      <c r="FSI10" s="239"/>
      <c r="FSJ10" s="239"/>
      <c r="FSK10" s="239"/>
      <c r="FSL10" s="239"/>
      <c r="FSM10" s="239"/>
      <c r="FSN10" s="239"/>
      <c r="FSO10" s="239"/>
      <c r="FSP10" s="239"/>
      <c r="FSQ10" s="239"/>
      <c r="FSR10" s="239"/>
      <c r="FSS10" s="239"/>
      <c r="FST10" s="239"/>
      <c r="FSU10" s="239"/>
      <c r="FSV10" s="239"/>
      <c r="FSW10" s="239"/>
      <c r="FSX10" s="239"/>
      <c r="FSY10" s="239"/>
      <c r="FSZ10" s="239"/>
      <c r="FTA10" s="239"/>
      <c r="FTB10" s="239"/>
      <c r="FTC10" s="239"/>
      <c r="FTD10" s="239"/>
      <c r="FTE10" s="239"/>
      <c r="FTF10" s="239"/>
      <c r="FTG10" s="239"/>
      <c r="FTH10" s="239"/>
      <c r="FTI10" s="239"/>
      <c r="FTJ10" s="239"/>
      <c r="FTK10" s="239"/>
      <c r="FTL10" s="239"/>
      <c r="FTM10" s="239"/>
      <c r="FTN10" s="239"/>
      <c r="FTO10" s="239"/>
      <c r="FTP10" s="239"/>
      <c r="FTQ10" s="239"/>
      <c r="FTR10" s="239"/>
      <c r="FTS10" s="239"/>
      <c r="FTT10" s="239"/>
      <c r="FTU10" s="239"/>
      <c r="FTV10" s="239"/>
      <c r="FTW10" s="239"/>
      <c r="FTX10" s="239"/>
      <c r="FTY10" s="239"/>
      <c r="FTZ10" s="239"/>
      <c r="FUA10" s="239"/>
      <c r="FUB10" s="239"/>
      <c r="FUC10" s="239"/>
      <c r="FUD10" s="239"/>
      <c r="FUE10" s="239"/>
      <c r="FUF10" s="239"/>
      <c r="FUG10" s="239"/>
      <c r="FUH10" s="239"/>
      <c r="FUI10" s="239"/>
      <c r="FUJ10" s="239"/>
      <c r="FUK10" s="239"/>
      <c r="FUL10" s="239"/>
      <c r="FUM10" s="239"/>
      <c r="FUN10" s="239"/>
      <c r="FUO10" s="239"/>
      <c r="FUP10" s="239"/>
      <c r="FUQ10" s="239"/>
      <c r="FUR10" s="239"/>
      <c r="FUS10" s="239"/>
      <c r="FUT10" s="239"/>
      <c r="FUU10" s="239"/>
      <c r="FUV10" s="239"/>
      <c r="FUW10" s="239"/>
      <c r="FUX10" s="239"/>
      <c r="FUY10" s="239"/>
      <c r="FUZ10" s="239"/>
      <c r="FVA10" s="239"/>
      <c r="FVB10" s="239"/>
      <c r="FVC10" s="239"/>
      <c r="FVD10" s="239"/>
      <c r="FVE10" s="239"/>
      <c r="FVF10" s="239"/>
      <c r="FVG10" s="239"/>
      <c r="FVH10" s="239"/>
      <c r="FVI10" s="239"/>
      <c r="FVJ10" s="239"/>
      <c r="FVK10" s="239"/>
      <c r="FVL10" s="239"/>
      <c r="FVM10" s="239"/>
      <c r="FVN10" s="239"/>
      <c r="FVO10" s="239"/>
      <c r="FVP10" s="239"/>
      <c r="FVQ10" s="239"/>
      <c r="FVR10" s="239"/>
      <c r="FVS10" s="239"/>
      <c r="FVT10" s="239"/>
      <c r="FVU10" s="239"/>
      <c r="FVV10" s="239"/>
      <c r="FVW10" s="239"/>
      <c r="FVX10" s="239"/>
      <c r="FVY10" s="239"/>
      <c r="FVZ10" s="239"/>
      <c r="FWA10" s="239"/>
      <c r="FWB10" s="239"/>
      <c r="FWC10" s="239"/>
      <c r="FWD10" s="239"/>
      <c r="FWE10" s="239"/>
      <c r="FWF10" s="239"/>
      <c r="FWG10" s="239"/>
      <c r="FWH10" s="239"/>
      <c r="FWI10" s="239"/>
      <c r="FWJ10" s="239"/>
      <c r="FWK10" s="239"/>
      <c r="FWL10" s="239"/>
      <c r="FWM10" s="239"/>
      <c r="FWN10" s="239"/>
      <c r="FWO10" s="239"/>
      <c r="FWP10" s="239"/>
      <c r="FWQ10" s="239"/>
      <c r="FWR10" s="239"/>
      <c r="FWS10" s="239"/>
      <c r="FWT10" s="239"/>
      <c r="FWU10" s="239"/>
      <c r="FWV10" s="239"/>
      <c r="FWW10" s="239"/>
      <c r="FWX10" s="239"/>
      <c r="FWY10" s="239"/>
      <c r="FWZ10" s="239"/>
      <c r="FXA10" s="239"/>
      <c r="FXB10" s="239"/>
      <c r="FXC10" s="239"/>
      <c r="FXD10" s="239"/>
      <c r="FXE10" s="239"/>
      <c r="FXF10" s="239"/>
      <c r="FXG10" s="239"/>
      <c r="FXH10" s="239"/>
      <c r="FXI10" s="239"/>
      <c r="FXJ10" s="239"/>
      <c r="FXK10" s="239"/>
      <c r="FXL10" s="239"/>
      <c r="FXM10" s="239"/>
      <c r="FXN10" s="239"/>
      <c r="FXO10" s="239"/>
      <c r="FXP10" s="239"/>
      <c r="FXQ10" s="239"/>
      <c r="FXR10" s="239"/>
      <c r="FXS10" s="239"/>
      <c r="FXT10" s="239"/>
      <c r="FXU10" s="239"/>
      <c r="FXV10" s="239"/>
      <c r="FXW10" s="239"/>
      <c r="FXX10" s="239"/>
      <c r="FXY10" s="239"/>
      <c r="FXZ10" s="239"/>
      <c r="FYA10" s="239"/>
      <c r="FYB10" s="239"/>
      <c r="FYC10" s="239"/>
      <c r="FYD10" s="239"/>
      <c r="FYE10" s="239"/>
      <c r="FYF10" s="239"/>
      <c r="FYG10" s="239"/>
      <c r="FYH10" s="239"/>
      <c r="FYI10" s="239"/>
      <c r="FYJ10" s="239"/>
      <c r="FYK10" s="239"/>
      <c r="FYL10" s="239"/>
      <c r="FYM10" s="239"/>
      <c r="FYN10" s="239"/>
      <c r="FYO10" s="239"/>
      <c r="FYP10" s="239"/>
      <c r="FYQ10" s="239"/>
      <c r="FYR10" s="239"/>
      <c r="FYS10" s="239"/>
      <c r="FYT10" s="239"/>
      <c r="FYU10" s="239"/>
      <c r="FYV10" s="239"/>
      <c r="FYW10" s="239"/>
      <c r="FYX10" s="239"/>
      <c r="FYY10" s="239"/>
      <c r="FYZ10" s="239"/>
      <c r="FZA10" s="239"/>
      <c r="FZB10" s="239"/>
      <c r="FZC10" s="239"/>
      <c r="FZD10" s="239"/>
      <c r="FZE10" s="239"/>
      <c r="FZF10" s="239"/>
      <c r="FZG10" s="239"/>
      <c r="FZH10" s="239"/>
      <c r="FZI10" s="239"/>
      <c r="FZJ10" s="239"/>
      <c r="FZK10" s="239"/>
      <c r="FZL10" s="239"/>
      <c r="FZM10" s="239"/>
      <c r="FZN10" s="239"/>
      <c r="FZO10" s="239"/>
      <c r="FZP10" s="239"/>
      <c r="FZQ10" s="239"/>
      <c r="FZR10" s="239"/>
      <c r="FZS10" s="239"/>
      <c r="FZT10" s="239"/>
      <c r="FZU10" s="239"/>
      <c r="FZV10" s="239"/>
      <c r="FZW10" s="239"/>
      <c r="FZX10" s="239"/>
      <c r="FZY10" s="239"/>
      <c r="FZZ10" s="239"/>
      <c r="GAA10" s="239"/>
      <c r="GAB10" s="239"/>
      <c r="GAC10" s="239"/>
      <c r="GAD10" s="239"/>
      <c r="GAE10" s="239"/>
      <c r="GAF10" s="239"/>
      <c r="GAG10" s="239"/>
      <c r="GAH10" s="239"/>
      <c r="GAI10" s="239"/>
      <c r="GAJ10" s="239"/>
      <c r="GAK10" s="239"/>
      <c r="GAL10" s="239"/>
      <c r="GAM10" s="239"/>
      <c r="GAN10" s="239"/>
      <c r="GAO10" s="239"/>
      <c r="GAP10" s="239"/>
      <c r="GAQ10" s="239"/>
      <c r="GAR10" s="239"/>
      <c r="GAS10" s="239"/>
      <c r="GAT10" s="239"/>
      <c r="GAU10" s="239"/>
      <c r="GAV10" s="239"/>
      <c r="GAW10" s="239"/>
      <c r="GAX10" s="239"/>
      <c r="GAY10" s="239"/>
      <c r="GAZ10" s="239"/>
      <c r="GBA10" s="239"/>
      <c r="GBB10" s="239"/>
      <c r="GBC10" s="239"/>
      <c r="GBD10" s="239"/>
      <c r="GBE10" s="239"/>
      <c r="GBF10" s="239"/>
      <c r="GBG10" s="239"/>
      <c r="GBH10" s="239"/>
      <c r="GBI10" s="239"/>
      <c r="GBJ10" s="239"/>
      <c r="GBK10" s="239"/>
      <c r="GBL10" s="239"/>
      <c r="GBM10" s="239"/>
      <c r="GBN10" s="239"/>
      <c r="GBO10" s="239"/>
      <c r="GBP10" s="239"/>
      <c r="GBQ10" s="239"/>
      <c r="GBR10" s="239"/>
      <c r="GBS10" s="239"/>
      <c r="GBT10" s="239"/>
      <c r="GBU10" s="239"/>
      <c r="GBV10" s="239"/>
      <c r="GBW10" s="239"/>
      <c r="GBX10" s="239"/>
      <c r="GBY10" s="239"/>
      <c r="GBZ10" s="239"/>
      <c r="GCA10" s="239"/>
      <c r="GCB10" s="239"/>
      <c r="GCC10" s="239"/>
      <c r="GCD10" s="239"/>
      <c r="GCE10" s="239"/>
      <c r="GCF10" s="239"/>
      <c r="GCG10" s="239"/>
      <c r="GCH10" s="239"/>
      <c r="GCI10" s="239"/>
      <c r="GCJ10" s="239"/>
      <c r="GCK10" s="239"/>
      <c r="GCL10" s="239"/>
      <c r="GCM10" s="239"/>
      <c r="GCN10" s="239"/>
      <c r="GCO10" s="239"/>
      <c r="GCP10" s="239"/>
      <c r="GCQ10" s="239"/>
      <c r="GCR10" s="239"/>
      <c r="GCS10" s="239"/>
      <c r="GCT10" s="239"/>
      <c r="GCU10" s="239"/>
      <c r="GCV10" s="239"/>
      <c r="GCW10" s="239"/>
      <c r="GCX10" s="239"/>
      <c r="GCY10" s="239"/>
      <c r="GCZ10" s="239"/>
      <c r="GDA10" s="239"/>
      <c r="GDB10" s="239"/>
      <c r="GDC10" s="239"/>
      <c r="GDD10" s="239"/>
      <c r="GDE10" s="239"/>
      <c r="GDF10" s="239"/>
      <c r="GDG10" s="239"/>
      <c r="GDH10" s="239"/>
      <c r="GDI10" s="239"/>
      <c r="GDJ10" s="239"/>
      <c r="GDK10" s="239"/>
      <c r="GDL10" s="239"/>
      <c r="GDM10" s="239"/>
      <c r="GDN10" s="239"/>
      <c r="GDO10" s="239"/>
      <c r="GDP10" s="239"/>
      <c r="GDQ10" s="239"/>
      <c r="GDR10" s="239"/>
      <c r="GDS10" s="239"/>
      <c r="GDT10" s="239"/>
      <c r="GDU10" s="239"/>
      <c r="GDV10" s="239"/>
      <c r="GDW10" s="239"/>
      <c r="GDX10" s="239"/>
      <c r="GDY10" s="239"/>
      <c r="GDZ10" s="239"/>
      <c r="GEA10" s="239"/>
      <c r="GEB10" s="239"/>
      <c r="GEC10" s="239"/>
      <c r="GED10" s="239"/>
      <c r="GEE10" s="239"/>
      <c r="GEF10" s="239"/>
      <c r="GEG10" s="239"/>
      <c r="GEH10" s="239"/>
      <c r="GEI10" s="239"/>
      <c r="GEJ10" s="239"/>
      <c r="GEK10" s="239"/>
      <c r="GEL10" s="239"/>
      <c r="GEM10" s="239"/>
      <c r="GEN10" s="239"/>
      <c r="GEO10" s="239"/>
      <c r="GEP10" s="239"/>
      <c r="GEQ10" s="239"/>
      <c r="GER10" s="239"/>
      <c r="GES10" s="239"/>
      <c r="GET10" s="239"/>
      <c r="GEU10" s="239"/>
      <c r="GEV10" s="239"/>
      <c r="GEW10" s="239"/>
      <c r="GEX10" s="239"/>
      <c r="GEY10" s="239"/>
      <c r="GEZ10" s="239"/>
      <c r="GFA10" s="239"/>
      <c r="GFB10" s="239"/>
      <c r="GFC10" s="239"/>
      <c r="GFD10" s="239"/>
      <c r="GFE10" s="239"/>
      <c r="GFF10" s="239"/>
      <c r="GFG10" s="239"/>
      <c r="GFH10" s="239"/>
      <c r="GFI10" s="239"/>
      <c r="GFJ10" s="239"/>
      <c r="GFK10" s="239"/>
      <c r="GFL10" s="239"/>
      <c r="GFM10" s="239"/>
      <c r="GFN10" s="239"/>
      <c r="GFO10" s="239"/>
      <c r="GFP10" s="239"/>
      <c r="GFQ10" s="239"/>
      <c r="GFR10" s="239"/>
      <c r="GFS10" s="239"/>
      <c r="GFT10" s="239"/>
      <c r="GFU10" s="239"/>
      <c r="GFV10" s="239"/>
      <c r="GFW10" s="239"/>
      <c r="GFX10" s="239"/>
      <c r="GFY10" s="239"/>
      <c r="GFZ10" s="239"/>
      <c r="GGA10" s="239"/>
      <c r="GGB10" s="239"/>
      <c r="GGC10" s="239"/>
      <c r="GGD10" s="239"/>
      <c r="GGE10" s="239"/>
      <c r="GGF10" s="239"/>
      <c r="GGG10" s="239"/>
      <c r="GGH10" s="239"/>
      <c r="GGI10" s="239"/>
      <c r="GGJ10" s="239"/>
      <c r="GGK10" s="239"/>
      <c r="GGL10" s="239"/>
      <c r="GGM10" s="239"/>
      <c r="GGN10" s="239"/>
      <c r="GGO10" s="239"/>
      <c r="GGP10" s="239"/>
      <c r="GGQ10" s="239"/>
      <c r="GGR10" s="239"/>
      <c r="GGS10" s="239"/>
      <c r="GGT10" s="239"/>
      <c r="GGU10" s="239"/>
      <c r="GGV10" s="239"/>
      <c r="GGW10" s="239"/>
      <c r="GGX10" s="239"/>
      <c r="GGY10" s="239"/>
      <c r="GGZ10" s="239"/>
      <c r="GHA10" s="239"/>
      <c r="GHB10" s="239"/>
      <c r="GHC10" s="239"/>
      <c r="GHD10" s="239"/>
      <c r="GHE10" s="239"/>
      <c r="GHF10" s="239"/>
      <c r="GHG10" s="239"/>
      <c r="GHH10" s="239"/>
      <c r="GHI10" s="239"/>
      <c r="GHJ10" s="239"/>
      <c r="GHK10" s="239"/>
      <c r="GHL10" s="239"/>
      <c r="GHM10" s="239"/>
      <c r="GHN10" s="239"/>
      <c r="GHO10" s="239"/>
      <c r="GHP10" s="239"/>
      <c r="GHQ10" s="239"/>
      <c r="GHR10" s="239"/>
      <c r="GHS10" s="239"/>
      <c r="GHT10" s="239"/>
      <c r="GHU10" s="239"/>
      <c r="GHV10" s="239"/>
      <c r="GHW10" s="239"/>
      <c r="GHX10" s="239"/>
      <c r="GHY10" s="239"/>
      <c r="GHZ10" s="239"/>
      <c r="GIA10" s="239"/>
      <c r="GIB10" s="239"/>
      <c r="GIC10" s="239"/>
      <c r="GID10" s="239"/>
      <c r="GIE10" s="239"/>
      <c r="GIF10" s="239"/>
      <c r="GIG10" s="239"/>
      <c r="GIH10" s="239"/>
      <c r="GII10" s="239"/>
      <c r="GIJ10" s="239"/>
      <c r="GIK10" s="239"/>
      <c r="GIL10" s="239"/>
      <c r="GIM10" s="239"/>
      <c r="GIN10" s="239"/>
      <c r="GIO10" s="239"/>
      <c r="GIP10" s="239"/>
      <c r="GIQ10" s="239"/>
      <c r="GIR10" s="239"/>
      <c r="GIS10" s="239"/>
      <c r="GIT10" s="239"/>
      <c r="GIU10" s="239"/>
      <c r="GIV10" s="239"/>
      <c r="GIW10" s="239"/>
      <c r="GIX10" s="239"/>
      <c r="GIY10" s="239"/>
      <c r="GIZ10" s="239"/>
      <c r="GJA10" s="239"/>
      <c r="GJB10" s="239"/>
      <c r="GJC10" s="239"/>
      <c r="GJD10" s="239"/>
      <c r="GJE10" s="239"/>
      <c r="GJF10" s="239"/>
      <c r="GJG10" s="239"/>
      <c r="GJH10" s="239"/>
      <c r="GJI10" s="239"/>
      <c r="GJJ10" s="239"/>
      <c r="GJK10" s="239"/>
      <c r="GJL10" s="239"/>
      <c r="GJM10" s="239"/>
      <c r="GJN10" s="239"/>
      <c r="GJO10" s="239"/>
      <c r="GJP10" s="239"/>
      <c r="GJQ10" s="239"/>
      <c r="GJR10" s="239"/>
      <c r="GJS10" s="239"/>
      <c r="GJT10" s="239"/>
      <c r="GJU10" s="239"/>
      <c r="GJV10" s="239"/>
      <c r="GJW10" s="239"/>
      <c r="GJX10" s="239"/>
      <c r="GJY10" s="239"/>
      <c r="GJZ10" s="239"/>
      <c r="GKA10" s="239"/>
      <c r="GKB10" s="239"/>
      <c r="GKC10" s="239"/>
      <c r="GKD10" s="239"/>
      <c r="GKE10" s="239"/>
      <c r="GKF10" s="239"/>
      <c r="GKG10" s="239"/>
      <c r="GKH10" s="239"/>
      <c r="GKI10" s="239"/>
      <c r="GKJ10" s="239"/>
      <c r="GKK10" s="239"/>
      <c r="GKL10" s="239"/>
      <c r="GKM10" s="239"/>
      <c r="GKN10" s="239"/>
      <c r="GKO10" s="239"/>
      <c r="GKP10" s="239"/>
      <c r="GKQ10" s="239"/>
      <c r="GKR10" s="239"/>
      <c r="GKS10" s="239"/>
      <c r="GKT10" s="239"/>
      <c r="GKU10" s="239"/>
      <c r="GKV10" s="239"/>
      <c r="GKW10" s="239"/>
      <c r="GKX10" s="239"/>
      <c r="GKY10" s="239"/>
      <c r="GKZ10" s="239"/>
      <c r="GLA10" s="239"/>
      <c r="GLB10" s="239"/>
      <c r="GLC10" s="239"/>
      <c r="GLD10" s="239"/>
      <c r="GLE10" s="239"/>
      <c r="GLF10" s="239"/>
      <c r="GLG10" s="239"/>
      <c r="GLH10" s="239"/>
      <c r="GLI10" s="239"/>
      <c r="GLJ10" s="239"/>
      <c r="GLK10" s="239"/>
      <c r="GLL10" s="239"/>
      <c r="GLM10" s="239"/>
      <c r="GLN10" s="239"/>
      <c r="GLO10" s="239"/>
      <c r="GLP10" s="239"/>
      <c r="GLQ10" s="239"/>
      <c r="GLR10" s="239"/>
      <c r="GLS10" s="239"/>
      <c r="GLT10" s="239"/>
      <c r="GLU10" s="239"/>
      <c r="GLV10" s="239"/>
      <c r="GLW10" s="239"/>
      <c r="GLX10" s="239"/>
      <c r="GLY10" s="239"/>
      <c r="GLZ10" s="239"/>
      <c r="GMA10" s="239"/>
      <c r="GMB10" s="239"/>
      <c r="GMC10" s="239"/>
      <c r="GMD10" s="239"/>
      <c r="GME10" s="239"/>
      <c r="GMF10" s="239"/>
      <c r="GMG10" s="239"/>
      <c r="GMH10" s="239"/>
      <c r="GMI10" s="239"/>
      <c r="GMJ10" s="239"/>
      <c r="GMK10" s="239"/>
      <c r="GML10" s="239"/>
      <c r="GMM10" s="239"/>
      <c r="GMN10" s="239"/>
      <c r="GMO10" s="239"/>
      <c r="GMP10" s="239"/>
      <c r="GMQ10" s="239"/>
      <c r="GMR10" s="239"/>
      <c r="GMS10" s="239"/>
      <c r="GMT10" s="239"/>
      <c r="GMU10" s="239"/>
      <c r="GMV10" s="239"/>
      <c r="GMW10" s="239"/>
      <c r="GMX10" s="239"/>
      <c r="GMY10" s="239"/>
      <c r="GMZ10" s="239"/>
      <c r="GNA10" s="239"/>
      <c r="GNB10" s="239"/>
      <c r="GNC10" s="239"/>
      <c r="GND10" s="239"/>
      <c r="GNE10" s="239"/>
      <c r="GNF10" s="239"/>
      <c r="GNG10" s="239"/>
      <c r="GNH10" s="239"/>
      <c r="GNI10" s="239"/>
      <c r="GNJ10" s="239"/>
      <c r="GNK10" s="239"/>
      <c r="GNL10" s="239"/>
      <c r="GNM10" s="239"/>
      <c r="GNN10" s="239"/>
      <c r="GNO10" s="239"/>
      <c r="GNP10" s="239"/>
      <c r="GNQ10" s="239"/>
      <c r="GNR10" s="239"/>
      <c r="GNS10" s="239"/>
      <c r="GNT10" s="239"/>
      <c r="GNU10" s="239"/>
      <c r="GNV10" s="239"/>
      <c r="GNW10" s="239"/>
      <c r="GNX10" s="239"/>
      <c r="GNY10" s="239"/>
      <c r="GNZ10" s="239"/>
      <c r="GOA10" s="239"/>
      <c r="GOB10" s="239"/>
      <c r="GOC10" s="239"/>
      <c r="GOD10" s="239"/>
      <c r="GOE10" s="239"/>
      <c r="GOF10" s="239"/>
      <c r="GOG10" s="239"/>
      <c r="GOH10" s="239"/>
      <c r="GOI10" s="239"/>
      <c r="GOJ10" s="239"/>
      <c r="GOK10" s="239"/>
      <c r="GOL10" s="239"/>
      <c r="GOM10" s="239"/>
      <c r="GON10" s="239"/>
      <c r="GOO10" s="239"/>
      <c r="GOP10" s="239"/>
      <c r="GOQ10" s="239"/>
      <c r="GOR10" s="239"/>
      <c r="GOS10" s="239"/>
      <c r="GOT10" s="239"/>
      <c r="GOU10" s="239"/>
      <c r="GOV10" s="239"/>
      <c r="GOW10" s="239"/>
      <c r="GOX10" s="239"/>
      <c r="GOY10" s="239"/>
      <c r="GOZ10" s="239"/>
      <c r="GPA10" s="239"/>
      <c r="GPB10" s="239"/>
      <c r="GPC10" s="239"/>
      <c r="GPD10" s="239"/>
      <c r="GPE10" s="239"/>
      <c r="GPF10" s="239"/>
      <c r="GPG10" s="239"/>
      <c r="GPH10" s="239"/>
      <c r="GPI10" s="239"/>
      <c r="GPJ10" s="239"/>
      <c r="GPK10" s="239"/>
      <c r="GPL10" s="239"/>
      <c r="GPM10" s="239"/>
      <c r="GPN10" s="239"/>
      <c r="GPO10" s="239"/>
      <c r="GPP10" s="239"/>
      <c r="GPQ10" s="239"/>
      <c r="GPR10" s="239"/>
      <c r="GPS10" s="239"/>
      <c r="GPT10" s="239"/>
      <c r="GPU10" s="239"/>
      <c r="GPV10" s="239"/>
      <c r="GPW10" s="239"/>
      <c r="GPX10" s="239"/>
      <c r="GPY10" s="239"/>
      <c r="GPZ10" s="239"/>
      <c r="GQA10" s="239"/>
      <c r="GQB10" s="239"/>
      <c r="GQC10" s="239"/>
      <c r="GQD10" s="239"/>
      <c r="GQE10" s="239"/>
      <c r="GQF10" s="239"/>
      <c r="GQG10" s="239"/>
      <c r="GQH10" s="239"/>
      <c r="GQI10" s="239"/>
      <c r="GQJ10" s="239"/>
      <c r="GQK10" s="239"/>
      <c r="GQL10" s="239"/>
      <c r="GQM10" s="239"/>
      <c r="GQN10" s="239"/>
      <c r="GQO10" s="239"/>
      <c r="GQP10" s="239"/>
      <c r="GQQ10" s="239"/>
      <c r="GQR10" s="239"/>
      <c r="GQS10" s="239"/>
      <c r="GQT10" s="239"/>
      <c r="GQU10" s="239"/>
      <c r="GQV10" s="239"/>
      <c r="GQW10" s="239"/>
      <c r="GQX10" s="239"/>
      <c r="GQY10" s="239"/>
      <c r="GQZ10" s="239"/>
      <c r="GRA10" s="239"/>
      <c r="GRB10" s="239"/>
      <c r="GRC10" s="239"/>
      <c r="GRD10" s="239"/>
      <c r="GRE10" s="239"/>
      <c r="GRF10" s="239"/>
      <c r="GRG10" s="239"/>
      <c r="GRH10" s="239"/>
      <c r="GRI10" s="239"/>
      <c r="GRJ10" s="239"/>
      <c r="GRK10" s="239"/>
      <c r="GRL10" s="239"/>
      <c r="GRM10" s="239"/>
      <c r="GRN10" s="239"/>
      <c r="GRO10" s="239"/>
      <c r="GRP10" s="239"/>
      <c r="GRQ10" s="239"/>
      <c r="GRR10" s="239"/>
      <c r="GRS10" s="239"/>
      <c r="GRT10" s="239"/>
      <c r="GRU10" s="239"/>
      <c r="GRV10" s="239"/>
      <c r="GRW10" s="239"/>
      <c r="GRX10" s="239"/>
      <c r="GRY10" s="239"/>
      <c r="GRZ10" s="239"/>
      <c r="GSA10" s="239"/>
      <c r="GSB10" s="239"/>
      <c r="GSC10" s="239"/>
      <c r="GSD10" s="239"/>
      <c r="GSE10" s="239"/>
      <c r="GSF10" s="239"/>
      <c r="GSG10" s="239"/>
      <c r="GSH10" s="239"/>
      <c r="GSI10" s="239"/>
      <c r="GSJ10" s="239"/>
      <c r="GSK10" s="239"/>
      <c r="GSL10" s="239"/>
      <c r="GSM10" s="239"/>
      <c r="GSN10" s="239"/>
      <c r="GSO10" s="239"/>
      <c r="GSP10" s="239"/>
      <c r="GSQ10" s="239"/>
      <c r="GSR10" s="239"/>
      <c r="GSS10" s="239"/>
      <c r="GST10" s="239"/>
      <c r="GSU10" s="239"/>
      <c r="GSV10" s="239"/>
      <c r="GSW10" s="239"/>
      <c r="GSX10" s="239"/>
      <c r="GSY10" s="239"/>
      <c r="GSZ10" s="239"/>
      <c r="GTA10" s="239"/>
      <c r="GTB10" s="239"/>
      <c r="GTC10" s="239"/>
      <c r="GTD10" s="239"/>
      <c r="GTE10" s="239"/>
      <c r="GTF10" s="239"/>
      <c r="GTG10" s="239"/>
      <c r="GTH10" s="239"/>
      <c r="GTI10" s="239"/>
      <c r="GTJ10" s="239"/>
      <c r="GTK10" s="239"/>
      <c r="GTL10" s="239"/>
      <c r="GTM10" s="239"/>
      <c r="GTN10" s="239"/>
      <c r="GTO10" s="239"/>
      <c r="GTP10" s="239"/>
      <c r="GTQ10" s="239"/>
      <c r="GTR10" s="239"/>
      <c r="GTS10" s="239"/>
      <c r="GTT10" s="239"/>
      <c r="GTU10" s="239"/>
      <c r="GTV10" s="239"/>
      <c r="GTW10" s="239"/>
      <c r="GTX10" s="239"/>
      <c r="GTY10" s="239"/>
      <c r="GTZ10" s="239"/>
      <c r="GUA10" s="239"/>
      <c r="GUB10" s="239"/>
      <c r="GUC10" s="239"/>
      <c r="GUD10" s="239"/>
      <c r="GUE10" s="239"/>
      <c r="GUF10" s="239"/>
      <c r="GUG10" s="239"/>
      <c r="GUH10" s="239"/>
      <c r="GUI10" s="239"/>
      <c r="GUJ10" s="239"/>
      <c r="GUK10" s="239"/>
      <c r="GUL10" s="239"/>
      <c r="GUM10" s="239"/>
      <c r="GUN10" s="239"/>
      <c r="GUO10" s="239"/>
      <c r="GUP10" s="239"/>
      <c r="GUQ10" s="239"/>
      <c r="GUR10" s="239"/>
      <c r="GUS10" s="239"/>
      <c r="GUT10" s="239"/>
      <c r="GUU10" s="239"/>
      <c r="GUV10" s="239"/>
      <c r="GUW10" s="239"/>
      <c r="GUX10" s="239"/>
      <c r="GUY10" s="239"/>
      <c r="GUZ10" s="239"/>
      <c r="GVA10" s="239"/>
      <c r="GVB10" s="239"/>
      <c r="GVC10" s="239"/>
      <c r="GVD10" s="239"/>
      <c r="GVE10" s="239"/>
      <c r="GVF10" s="239"/>
      <c r="GVG10" s="239"/>
      <c r="GVH10" s="239"/>
      <c r="GVI10" s="239"/>
      <c r="GVJ10" s="239"/>
      <c r="GVK10" s="239"/>
      <c r="GVL10" s="239"/>
      <c r="GVM10" s="239"/>
      <c r="GVN10" s="239"/>
      <c r="GVO10" s="239"/>
      <c r="GVP10" s="239"/>
      <c r="GVQ10" s="239"/>
      <c r="GVR10" s="239"/>
      <c r="GVS10" s="239"/>
      <c r="GVT10" s="239"/>
      <c r="GVU10" s="239"/>
      <c r="GVV10" s="239"/>
      <c r="GVW10" s="239"/>
      <c r="GVX10" s="239"/>
      <c r="GVY10" s="239"/>
      <c r="GVZ10" s="239"/>
      <c r="GWA10" s="239"/>
      <c r="GWB10" s="239"/>
      <c r="GWC10" s="239"/>
      <c r="GWD10" s="239"/>
      <c r="GWE10" s="239"/>
      <c r="GWF10" s="239"/>
      <c r="GWG10" s="239"/>
      <c r="GWH10" s="239"/>
      <c r="GWI10" s="239"/>
      <c r="GWJ10" s="239"/>
      <c r="GWK10" s="239"/>
      <c r="GWL10" s="239"/>
      <c r="GWM10" s="239"/>
      <c r="GWN10" s="239"/>
      <c r="GWO10" s="239"/>
      <c r="GWP10" s="239"/>
      <c r="GWQ10" s="239"/>
      <c r="GWR10" s="239"/>
      <c r="GWS10" s="239"/>
      <c r="GWT10" s="239"/>
      <c r="GWU10" s="239"/>
      <c r="GWV10" s="239"/>
      <c r="GWW10" s="239"/>
      <c r="GWX10" s="239"/>
      <c r="GWY10" s="239"/>
      <c r="GWZ10" s="239"/>
      <c r="GXA10" s="239"/>
      <c r="GXB10" s="239"/>
      <c r="GXC10" s="239"/>
      <c r="GXD10" s="239"/>
      <c r="GXE10" s="239"/>
      <c r="GXF10" s="239"/>
      <c r="GXG10" s="239"/>
      <c r="GXH10" s="239"/>
      <c r="GXI10" s="239"/>
      <c r="GXJ10" s="239"/>
      <c r="GXK10" s="239"/>
      <c r="GXL10" s="239"/>
      <c r="GXM10" s="239"/>
      <c r="GXN10" s="239"/>
      <c r="GXO10" s="239"/>
      <c r="GXP10" s="239"/>
      <c r="GXQ10" s="239"/>
      <c r="GXR10" s="239"/>
      <c r="GXS10" s="239"/>
      <c r="GXT10" s="239"/>
      <c r="GXU10" s="239"/>
      <c r="GXV10" s="239"/>
      <c r="GXW10" s="239"/>
      <c r="GXX10" s="239"/>
      <c r="GXY10" s="239"/>
      <c r="GXZ10" s="239"/>
      <c r="GYA10" s="239"/>
      <c r="GYB10" s="239"/>
      <c r="GYC10" s="239"/>
      <c r="GYD10" s="239"/>
      <c r="GYE10" s="239"/>
      <c r="GYF10" s="239"/>
      <c r="GYG10" s="239"/>
      <c r="GYH10" s="239"/>
      <c r="GYI10" s="239"/>
      <c r="GYJ10" s="239"/>
      <c r="GYK10" s="239"/>
      <c r="GYL10" s="239"/>
      <c r="GYM10" s="239"/>
      <c r="GYN10" s="239"/>
      <c r="GYO10" s="239"/>
      <c r="GYP10" s="239"/>
      <c r="GYQ10" s="239"/>
      <c r="GYR10" s="239"/>
      <c r="GYS10" s="239"/>
      <c r="GYT10" s="239"/>
      <c r="GYU10" s="239"/>
      <c r="GYV10" s="239"/>
      <c r="GYW10" s="239"/>
      <c r="GYX10" s="239"/>
      <c r="GYY10" s="239"/>
      <c r="GYZ10" s="239"/>
      <c r="GZA10" s="239"/>
      <c r="GZB10" s="239"/>
      <c r="GZC10" s="239"/>
      <c r="GZD10" s="239"/>
      <c r="GZE10" s="239"/>
      <c r="GZF10" s="239"/>
      <c r="GZG10" s="239"/>
      <c r="GZH10" s="239"/>
      <c r="GZI10" s="239"/>
      <c r="GZJ10" s="239"/>
      <c r="GZK10" s="239"/>
      <c r="GZL10" s="239"/>
      <c r="GZM10" s="239"/>
      <c r="GZN10" s="239"/>
      <c r="GZO10" s="239"/>
      <c r="GZP10" s="239"/>
      <c r="GZQ10" s="239"/>
      <c r="GZR10" s="239"/>
      <c r="GZS10" s="239"/>
      <c r="GZT10" s="239"/>
      <c r="GZU10" s="239"/>
      <c r="GZV10" s="239"/>
      <c r="GZW10" s="239"/>
      <c r="GZX10" s="239"/>
      <c r="GZY10" s="239"/>
      <c r="GZZ10" s="239"/>
      <c r="HAA10" s="239"/>
      <c r="HAB10" s="239"/>
      <c r="HAC10" s="239"/>
      <c r="HAD10" s="239"/>
      <c r="HAE10" s="239"/>
      <c r="HAF10" s="239"/>
      <c r="HAG10" s="239"/>
      <c r="HAH10" s="239"/>
      <c r="HAI10" s="239"/>
      <c r="HAJ10" s="239"/>
      <c r="HAK10" s="239"/>
      <c r="HAL10" s="239"/>
      <c r="HAM10" s="239"/>
      <c r="HAN10" s="239"/>
      <c r="HAO10" s="239"/>
      <c r="HAP10" s="239"/>
      <c r="HAQ10" s="239"/>
      <c r="HAR10" s="239"/>
      <c r="HAS10" s="239"/>
      <c r="HAT10" s="239"/>
      <c r="HAU10" s="239"/>
      <c r="HAV10" s="239"/>
      <c r="HAW10" s="239"/>
      <c r="HAX10" s="239"/>
      <c r="HAY10" s="239"/>
      <c r="HAZ10" s="239"/>
      <c r="HBA10" s="239"/>
      <c r="HBB10" s="239"/>
      <c r="HBC10" s="239"/>
      <c r="HBD10" s="239"/>
      <c r="HBE10" s="239"/>
      <c r="HBF10" s="239"/>
      <c r="HBG10" s="239"/>
      <c r="HBH10" s="239"/>
      <c r="HBI10" s="239"/>
      <c r="HBJ10" s="239"/>
      <c r="HBK10" s="239"/>
      <c r="HBL10" s="239"/>
      <c r="HBM10" s="239"/>
      <c r="HBN10" s="239"/>
      <c r="HBO10" s="239"/>
      <c r="HBP10" s="239"/>
      <c r="HBQ10" s="239"/>
      <c r="HBR10" s="239"/>
      <c r="HBS10" s="239"/>
      <c r="HBT10" s="239"/>
      <c r="HBU10" s="239"/>
      <c r="HBV10" s="239"/>
      <c r="HBW10" s="239"/>
      <c r="HBX10" s="239"/>
      <c r="HBY10" s="239"/>
      <c r="HBZ10" s="239"/>
      <c r="HCA10" s="239"/>
      <c r="HCB10" s="239"/>
      <c r="HCC10" s="239"/>
      <c r="HCD10" s="239"/>
      <c r="HCE10" s="239"/>
      <c r="HCF10" s="239"/>
      <c r="HCG10" s="239"/>
      <c r="HCH10" s="239"/>
      <c r="HCI10" s="239"/>
      <c r="HCJ10" s="239"/>
      <c r="HCK10" s="239"/>
      <c r="HCL10" s="239"/>
      <c r="HCM10" s="239"/>
      <c r="HCN10" s="239"/>
      <c r="HCO10" s="239"/>
      <c r="HCP10" s="239"/>
      <c r="HCQ10" s="239"/>
      <c r="HCR10" s="239"/>
      <c r="HCS10" s="239"/>
      <c r="HCT10" s="239"/>
      <c r="HCU10" s="239"/>
      <c r="HCV10" s="239"/>
      <c r="HCW10" s="239"/>
      <c r="HCX10" s="239"/>
      <c r="HCY10" s="239"/>
      <c r="HCZ10" s="239"/>
      <c r="HDA10" s="239"/>
      <c r="HDB10" s="239"/>
      <c r="HDC10" s="239"/>
      <c r="HDD10" s="239"/>
      <c r="HDE10" s="239"/>
      <c r="HDF10" s="239"/>
      <c r="HDG10" s="239"/>
      <c r="HDH10" s="239"/>
      <c r="HDI10" s="239"/>
      <c r="HDJ10" s="239"/>
      <c r="HDK10" s="239"/>
      <c r="HDL10" s="239"/>
      <c r="HDM10" s="239"/>
      <c r="HDN10" s="239"/>
      <c r="HDO10" s="239"/>
      <c r="HDP10" s="239"/>
      <c r="HDQ10" s="239"/>
      <c r="HDR10" s="239"/>
      <c r="HDS10" s="239"/>
      <c r="HDT10" s="239"/>
      <c r="HDU10" s="239"/>
      <c r="HDV10" s="239"/>
      <c r="HDW10" s="239"/>
      <c r="HDX10" s="239"/>
      <c r="HDY10" s="239"/>
      <c r="HDZ10" s="239"/>
      <c r="HEA10" s="239"/>
      <c r="HEB10" s="239"/>
      <c r="HEC10" s="239"/>
      <c r="HED10" s="239"/>
      <c r="HEE10" s="239"/>
      <c r="HEF10" s="239"/>
      <c r="HEG10" s="239"/>
      <c r="HEH10" s="239"/>
      <c r="HEI10" s="239"/>
      <c r="HEJ10" s="239"/>
      <c r="HEK10" s="239"/>
      <c r="HEL10" s="239"/>
      <c r="HEM10" s="239"/>
      <c r="HEN10" s="239"/>
      <c r="HEO10" s="239"/>
      <c r="HEP10" s="239"/>
      <c r="HEQ10" s="239"/>
      <c r="HER10" s="239"/>
      <c r="HES10" s="239"/>
      <c r="HET10" s="239"/>
      <c r="HEU10" s="239"/>
      <c r="HEV10" s="239"/>
      <c r="HEW10" s="239"/>
      <c r="HEX10" s="239"/>
      <c r="HEY10" s="239"/>
      <c r="HEZ10" s="239"/>
      <c r="HFA10" s="239"/>
      <c r="HFB10" s="239"/>
      <c r="HFC10" s="239"/>
      <c r="HFD10" s="239"/>
      <c r="HFE10" s="239"/>
      <c r="HFF10" s="239"/>
      <c r="HFG10" s="239"/>
      <c r="HFH10" s="239"/>
      <c r="HFI10" s="239"/>
      <c r="HFJ10" s="239"/>
      <c r="HFK10" s="239"/>
      <c r="HFL10" s="239"/>
      <c r="HFM10" s="239"/>
      <c r="HFN10" s="239"/>
      <c r="HFO10" s="239"/>
      <c r="HFP10" s="239"/>
      <c r="HFQ10" s="239"/>
      <c r="HFR10" s="239"/>
      <c r="HFS10" s="239"/>
      <c r="HFT10" s="239"/>
      <c r="HFU10" s="239"/>
      <c r="HFV10" s="239"/>
      <c r="HFW10" s="239"/>
      <c r="HFX10" s="239"/>
      <c r="HFY10" s="239"/>
      <c r="HFZ10" s="239"/>
      <c r="HGA10" s="239"/>
      <c r="HGB10" s="239"/>
      <c r="HGC10" s="239"/>
      <c r="HGD10" s="239"/>
      <c r="HGE10" s="239"/>
      <c r="HGF10" s="239"/>
      <c r="HGG10" s="239"/>
      <c r="HGH10" s="239"/>
      <c r="HGI10" s="239"/>
      <c r="HGJ10" s="239"/>
      <c r="HGK10" s="239"/>
      <c r="HGL10" s="239"/>
      <c r="HGM10" s="239"/>
      <c r="HGN10" s="239"/>
      <c r="HGO10" s="239"/>
      <c r="HGP10" s="239"/>
      <c r="HGQ10" s="239"/>
      <c r="HGR10" s="239"/>
      <c r="HGS10" s="239"/>
      <c r="HGT10" s="239"/>
      <c r="HGU10" s="239"/>
      <c r="HGV10" s="239"/>
      <c r="HGW10" s="239"/>
      <c r="HGX10" s="239"/>
      <c r="HGY10" s="239"/>
      <c r="HGZ10" s="239"/>
      <c r="HHA10" s="239"/>
      <c r="HHB10" s="239"/>
      <c r="HHC10" s="239"/>
      <c r="HHD10" s="239"/>
      <c r="HHE10" s="239"/>
      <c r="HHF10" s="239"/>
      <c r="HHG10" s="239"/>
      <c r="HHH10" s="239"/>
      <c r="HHI10" s="239"/>
      <c r="HHJ10" s="239"/>
      <c r="HHK10" s="239"/>
      <c r="HHL10" s="239"/>
      <c r="HHM10" s="239"/>
      <c r="HHN10" s="239"/>
      <c r="HHO10" s="239"/>
      <c r="HHP10" s="239"/>
      <c r="HHQ10" s="239"/>
      <c r="HHR10" s="239"/>
      <c r="HHS10" s="239"/>
      <c r="HHT10" s="239"/>
      <c r="HHU10" s="239"/>
      <c r="HHV10" s="239"/>
      <c r="HHW10" s="239"/>
      <c r="HHX10" s="239"/>
      <c r="HHY10" s="239"/>
      <c r="HHZ10" s="239"/>
      <c r="HIA10" s="239"/>
      <c r="HIB10" s="239"/>
      <c r="HIC10" s="239"/>
      <c r="HID10" s="239"/>
      <c r="HIE10" s="239"/>
      <c r="HIF10" s="239"/>
      <c r="HIG10" s="239"/>
      <c r="HIH10" s="239"/>
      <c r="HII10" s="239"/>
      <c r="HIJ10" s="239"/>
      <c r="HIK10" s="239"/>
      <c r="HIL10" s="239"/>
      <c r="HIM10" s="239"/>
      <c r="HIN10" s="239"/>
      <c r="HIO10" s="239"/>
      <c r="HIP10" s="239"/>
      <c r="HIQ10" s="239"/>
      <c r="HIR10" s="239"/>
      <c r="HIS10" s="239"/>
      <c r="HIT10" s="239"/>
      <c r="HIU10" s="239"/>
      <c r="HIV10" s="239"/>
      <c r="HIW10" s="239"/>
      <c r="HIX10" s="239"/>
      <c r="HIY10" s="239"/>
      <c r="HIZ10" s="239"/>
      <c r="HJA10" s="239"/>
      <c r="HJB10" s="239"/>
      <c r="HJC10" s="239"/>
      <c r="HJD10" s="239"/>
      <c r="HJE10" s="239"/>
      <c r="HJF10" s="239"/>
      <c r="HJG10" s="239"/>
      <c r="HJH10" s="239"/>
      <c r="HJI10" s="239"/>
      <c r="HJJ10" s="239"/>
      <c r="HJK10" s="239"/>
      <c r="HJL10" s="239"/>
      <c r="HJM10" s="239"/>
      <c r="HJN10" s="239"/>
      <c r="HJO10" s="239"/>
      <c r="HJP10" s="239"/>
      <c r="HJQ10" s="239"/>
      <c r="HJR10" s="239"/>
      <c r="HJS10" s="239"/>
      <c r="HJT10" s="239"/>
      <c r="HJU10" s="239"/>
      <c r="HJV10" s="239"/>
      <c r="HJW10" s="239"/>
      <c r="HJX10" s="239"/>
      <c r="HJY10" s="239"/>
      <c r="HJZ10" s="239"/>
      <c r="HKA10" s="239"/>
      <c r="HKB10" s="239"/>
      <c r="HKC10" s="239"/>
      <c r="HKD10" s="239"/>
      <c r="HKE10" s="239"/>
      <c r="HKF10" s="239"/>
      <c r="HKG10" s="239"/>
      <c r="HKH10" s="239"/>
      <c r="HKI10" s="239"/>
      <c r="HKJ10" s="239"/>
      <c r="HKK10" s="239"/>
      <c r="HKL10" s="239"/>
      <c r="HKM10" s="239"/>
      <c r="HKN10" s="239"/>
      <c r="HKO10" s="239"/>
      <c r="HKP10" s="239"/>
      <c r="HKQ10" s="239"/>
      <c r="HKR10" s="239"/>
      <c r="HKS10" s="239"/>
      <c r="HKT10" s="239"/>
      <c r="HKU10" s="239"/>
      <c r="HKV10" s="239"/>
      <c r="HKW10" s="239"/>
      <c r="HKX10" s="239"/>
      <c r="HKY10" s="239"/>
      <c r="HKZ10" s="239"/>
      <c r="HLA10" s="239"/>
      <c r="HLB10" s="239"/>
      <c r="HLC10" s="239"/>
      <c r="HLD10" s="239"/>
      <c r="HLE10" s="239"/>
      <c r="HLF10" s="239"/>
      <c r="HLG10" s="239"/>
      <c r="HLH10" s="239"/>
      <c r="HLI10" s="239"/>
      <c r="HLJ10" s="239"/>
      <c r="HLK10" s="239"/>
      <c r="HLL10" s="239"/>
      <c r="HLM10" s="239"/>
      <c r="HLN10" s="239"/>
      <c r="HLO10" s="239"/>
      <c r="HLP10" s="239"/>
      <c r="HLQ10" s="239"/>
      <c r="HLR10" s="239"/>
      <c r="HLS10" s="239"/>
      <c r="HLT10" s="239"/>
      <c r="HLU10" s="239"/>
      <c r="HLV10" s="239"/>
      <c r="HLW10" s="239"/>
      <c r="HLX10" s="239"/>
      <c r="HLY10" s="239"/>
      <c r="HLZ10" s="239"/>
      <c r="HMA10" s="239"/>
      <c r="HMB10" s="239"/>
      <c r="HMC10" s="239"/>
      <c r="HMD10" s="239"/>
      <c r="HME10" s="239"/>
      <c r="HMF10" s="239"/>
      <c r="HMG10" s="239"/>
      <c r="HMH10" s="239"/>
      <c r="HMI10" s="239"/>
      <c r="HMJ10" s="239"/>
      <c r="HMK10" s="239"/>
      <c r="HML10" s="239"/>
      <c r="HMM10" s="239"/>
      <c r="HMN10" s="239"/>
      <c r="HMO10" s="239"/>
      <c r="HMP10" s="239"/>
      <c r="HMQ10" s="239"/>
      <c r="HMR10" s="239"/>
      <c r="HMS10" s="239"/>
      <c r="HMT10" s="239"/>
      <c r="HMU10" s="239"/>
      <c r="HMV10" s="239"/>
      <c r="HMW10" s="239"/>
      <c r="HMX10" s="239"/>
      <c r="HMY10" s="239"/>
      <c r="HMZ10" s="239"/>
      <c r="HNA10" s="239"/>
      <c r="HNB10" s="239"/>
      <c r="HNC10" s="239"/>
      <c r="HND10" s="239"/>
      <c r="HNE10" s="239"/>
      <c r="HNF10" s="239"/>
      <c r="HNG10" s="239"/>
      <c r="HNH10" s="239"/>
      <c r="HNI10" s="239"/>
      <c r="HNJ10" s="239"/>
      <c r="HNK10" s="239"/>
      <c r="HNL10" s="239"/>
      <c r="HNM10" s="239"/>
      <c r="HNN10" s="239"/>
      <c r="HNO10" s="239"/>
      <c r="HNP10" s="239"/>
      <c r="HNQ10" s="239"/>
      <c r="HNR10" s="239"/>
      <c r="HNS10" s="239"/>
      <c r="HNT10" s="239"/>
      <c r="HNU10" s="239"/>
      <c r="HNV10" s="239"/>
      <c r="HNW10" s="239"/>
      <c r="HNX10" s="239"/>
      <c r="HNY10" s="239"/>
      <c r="HNZ10" s="239"/>
      <c r="HOA10" s="239"/>
      <c r="HOB10" s="239"/>
      <c r="HOC10" s="239"/>
      <c r="HOD10" s="239"/>
      <c r="HOE10" s="239"/>
      <c r="HOF10" s="239"/>
      <c r="HOG10" s="239"/>
      <c r="HOH10" s="239"/>
      <c r="HOI10" s="239"/>
      <c r="HOJ10" s="239"/>
      <c r="HOK10" s="239"/>
      <c r="HOL10" s="239"/>
      <c r="HOM10" s="239"/>
      <c r="HON10" s="239"/>
      <c r="HOO10" s="239"/>
      <c r="HOP10" s="239"/>
      <c r="HOQ10" s="239"/>
      <c r="HOR10" s="239"/>
      <c r="HOS10" s="239"/>
      <c r="HOT10" s="239"/>
      <c r="HOU10" s="239"/>
      <c r="HOV10" s="239"/>
      <c r="HOW10" s="239"/>
      <c r="HOX10" s="239"/>
      <c r="HOY10" s="239"/>
      <c r="HOZ10" s="239"/>
      <c r="HPA10" s="239"/>
      <c r="HPB10" s="239"/>
      <c r="HPC10" s="239"/>
      <c r="HPD10" s="239"/>
      <c r="HPE10" s="239"/>
      <c r="HPF10" s="239"/>
      <c r="HPG10" s="239"/>
      <c r="HPH10" s="239"/>
      <c r="HPI10" s="239"/>
      <c r="HPJ10" s="239"/>
      <c r="HPK10" s="239"/>
      <c r="HPL10" s="239"/>
      <c r="HPM10" s="239"/>
      <c r="HPN10" s="239"/>
      <c r="HPO10" s="239"/>
      <c r="HPP10" s="239"/>
      <c r="HPQ10" s="239"/>
      <c r="HPR10" s="239"/>
      <c r="HPS10" s="239"/>
      <c r="HPT10" s="239"/>
      <c r="HPU10" s="239"/>
      <c r="HPV10" s="239"/>
      <c r="HPW10" s="239"/>
      <c r="HPX10" s="239"/>
      <c r="HPY10" s="239"/>
      <c r="HPZ10" s="239"/>
      <c r="HQA10" s="239"/>
      <c r="HQB10" s="239"/>
      <c r="HQC10" s="239"/>
      <c r="HQD10" s="239"/>
      <c r="HQE10" s="239"/>
      <c r="HQF10" s="239"/>
      <c r="HQG10" s="239"/>
      <c r="HQH10" s="239"/>
      <c r="HQI10" s="239"/>
      <c r="HQJ10" s="239"/>
      <c r="HQK10" s="239"/>
      <c r="HQL10" s="239"/>
      <c r="HQM10" s="239"/>
      <c r="HQN10" s="239"/>
      <c r="HQO10" s="239"/>
      <c r="HQP10" s="239"/>
      <c r="HQQ10" s="239"/>
      <c r="HQR10" s="239"/>
      <c r="HQS10" s="239"/>
      <c r="HQT10" s="239"/>
      <c r="HQU10" s="239"/>
      <c r="HQV10" s="239"/>
      <c r="HQW10" s="239"/>
      <c r="HQX10" s="239"/>
      <c r="HQY10" s="239"/>
      <c r="HQZ10" s="239"/>
      <c r="HRA10" s="239"/>
      <c r="HRB10" s="239"/>
      <c r="HRC10" s="239"/>
      <c r="HRD10" s="239"/>
      <c r="HRE10" s="239"/>
      <c r="HRF10" s="239"/>
      <c r="HRG10" s="239"/>
      <c r="HRH10" s="239"/>
      <c r="HRI10" s="239"/>
      <c r="HRJ10" s="239"/>
      <c r="HRK10" s="239"/>
      <c r="HRL10" s="239"/>
      <c r="HRM10" s="239"/>
      <c r="HRN10" s="239"/>
      <c r="HRO10" s="239"/>
      <c r="HRP10" s="239"/>
      <c r="HRQ10" s="239"/>
      <c r="HRR10" s="239"/>
      <c r="HRS10" s="239"/>
      <c r="HRT10" s="239"/>
      <c r="HRU10" s="239"/>
      <c r="HRV10" s="239"/>
      <c r="HRW10" s="239"/>
      <c r="HRX10" s="239"/>
      <c r="HRY10" s="239"/>
      <c r="HRZ10" s="239"/>
      <c r="HSA10" s="239"/>
      <c r="HSB10" s="239"/>
      <c r="HSC10" s="239"/>
      <c r="HSD10" s="239"/>
      <c r="HSE10" s="239"/>
      <c r="HSF10" s="239"/>
      <c r="HSG10" s="239"/>
      <c r="HSH10" s="239"/>
      <c r="HSI10" s="239"/>
      <c r="HSJ10" s="239"/>
      <c r="HSK10" s="239"/>
      <c r="HSL10" s="239"/>
      <c r="HSM10" s="239"/>
      <c r="HSN10" s="239"/>
      <c r="HSO10" s="239"/>
      <c r="HSP10" s="239"/>
      <c r="HSQ10" s="239"/>
      <c r="HSR10" s="239"/>
      <c r="HSS10" s="239"/>
      <c r="HST10" s="239"/>
      <c r="HSU10" s="239"/>
      <c r="HSV10" s="239"/>
      <c r="HSW10" s="239"/>
      <c r="HSX10" s="239"/>
      <c r="HSY10" s="239"/>
      <c r="HSZ10" s="239"/>
      <c r="HTA10" s="239"/>
      <c r="HTB10" s="239"/>
      <c r="HTC10" s="239"/>
      <c r="HTD10" s="239"/>
      <c r="HTE10" s="239"/>
      <c r="HTF10" s="239"/>
      <c r="HTG10" s="239"/>
      <c r="HTH10" s="239"/>
      <c r="HTI10" s="239"/>
      <c r="HTJ10" s="239"/>
      <c r="HTK10" s="239"/>
      <c r="HTL10" s="239"/>
      <c r="HTM10" s="239"/>
      <c r="HTN10" s="239"/>
      <c r="HTO10" s="239"/>
      <c r="HTP10" s="239"/>
      <c r="HTQ10" s="239"/>
      <c r="HTR10" s="239"/>
      <c r="HTS10" s="239"/>
      <c r="HTT10" s="239"/>
      <c r="HTU10" s="239"/>
      <c r="HTV10" s="239"/>
      <c r="HTW10" s="239"/>
      <c r="HTX10" s="239"/>
      <c r="HTY10" s="239"/>
      <c r="HTZ10" s="239"/>
      <c r="HUA10" s="239"/>
      <c r="HUB10" s="239"/>
      <c r="HUC10" s="239"/>
      <c r="HUD10" s="239"/>
      <c r="HUE10" s="239"/>
      <c r="HUF10" s="239"/>
      <c r="HUG10" s="239"/>
      <c r="HUH10" s="239"/>
      <c r="HUI10" s="239"/>
      <c r="HUJ10" s="239"/>
      <c r="HUK10" s="239"/>
      <c r="HUL10" s="239"/>
      <c r="HUM10" s="239"/>
      <c r="HUN10" s="239"/>
      <c r="HUO10" s="239"/>
      <c r="HUP10" s="239"/>
      <c r="HUQ10" s="239"/>
      <c r="HUR10" s="239"/>
      <c r="HUS10" s="239"/>
      <c r="HUT10" s="239"/>
      <c r="HUU10" s="239"/>
      <c r="HUV10" s="239"/>
      <c r="HUW10" s="239"/>
      <c r="HUX10" s="239"/>
      <c r="HUY10" s="239"/>
      <c r="HUZ10" s="239"/>
      <c r="HVA10" s="239"/>
      <c r="HVB10" s="239"/>
      <c r="HVC10" s="239"/>
      <c r="HVD10" s="239"/>
      <c r="HVE10" s="239"/>
      <c r="HVF10" s="239"/>
      <c r="HVG10" s="239"/>
      <c r="HVH10" s="239"/>
      <c r="HVI10" s="239"/>
      <c r="HVJ10" s="239"/>
      <c r="HVK10" s="239"/>
      <c r="HVL10" s="239"/>
      <c r="HVM10" s="239"/>
      <c r="HVN10" s="239"/>
      <c r="HVO10" s="239"/>
      <c r="HVP10" s="239"/>
      <c r="HVQ10" s="239"/>
      <c r="HVR10" s="239"/>
      <c r="HVS10" s="239"/>
      <c r="HVT10" s="239"/>
      <c r="HVU10" s="239"/>
      <c r="HVV10" s="239"/>
      <c r="HVW10" s="239"/>
      <c r="HVX10" s="239"/>
      <c r="HVY10" s="239"/>
      <c r="HVZ10" s="239"/>
      <c r="HWA10" s="239"/>
      <c r="HWB10" s="239"/>
      <c r="HWC10" s="239"/>
      <c r="HWD10" s="239"/>
      <c r="HWE10" s="239"/>
      <c r="HWF10" s="239"/>
      <c r="HWG10" s="239"/>
      <c r="HWH10" s="239"/>
      <c r="HWI10" s="239"/>
      <c r="HWJ10" s="239"/>
      <c r="HWK10" s="239"/>
      <c r="HWL10" s="239"/>
      <c r="HWM10" s="239"/>
      <c r="HWN10" s="239"/>
      <c r="HWO10" s="239"/>
      <c r="HWP10" s="239"/>
      <c r="HWQ10" s="239"/>
      <c r="HWR10" s="239"/>
      <c r="HWS10" s="239"/>
      <c r="HWT10" s="239"/>
      <c r="HWU10" s="239"/>
      <c r="HWV10" s="239"/>
      <c r="HWW10" s="239"/>
      <c r="HWX10" s="239"/>
      <c r="HWY10" s="239"/>
      <c r="HWZ10" s="239"/>
      <c r="HXA10" s="239"/>
      <c r="HXB10" s="239"/>
      <c r="HXC10" s="239"/>
      <c r="HXD10" s="239"/>
      <c r="HXE10" s="239"/>
      <c r="HXF10" s="239"/>
      <c r="HXG10" s="239"/>
      <c r="HXH10" s="239"/>
      <c r="HXI10" s="239"/>
      <c r="HXJ10" s="239"/>
      <c r="HXK10" s="239"/>
      <c r="HXL10" s="239"/>
      <c r="HXM10" s="239"/>
      <c r="HXN10" s="239"/>
      <c r="HXO10" s="239"/>
      <c r="HXP10" s="239"/>
      <c r="HXQ10" s="239"/>
      <c r="HXR10" s="239"/>
      <c r="HXS10" s="239"/>
      <c r="HXT10" s="239"/>
      <c r="HXU10" s="239"/>
      <c r="HXV10" s="239"/>
      <c r="HXW10" s="239"/>
      <c r="HXX10" s="239"/>
      <c r="HXY10" s="239"/>
      <c r="HXZ10" s="239"/>
      <c r="HYA10" s="239"/>
      <c r="HYB10" s="239"/>
      <c r="HYC10" s="239"/>
      <c r="HYD10" s="239"/>
      <c r="HYE10" s="239"/>
      <c r="HYF10" s="239"/>
      <c r="HYG10" s="239"/>
      <c r="HYH10" s="239"/>
      <c r="HYI10" s="239"/>
      <c r="HYJ10" s="239"/>
      <c r="HYK10" s="239"/>
      <c r="HYL10" s="239"/>
      <c r="HYM10" s="239"/>
      <c r="HYN10" s="239"/>
      <c r="HYO10" s="239"/>
      <c r="HYP10" s="239"/>
      <c r="HYQ10" s="239"/>
      <c r="HYR10" s="239"/>
      <c r="HYS10" s="239"/>
      <c r="HYT10" s="239"/>
      <c r="HYU10" s="239"/>
      <c r="HYV10" s="239"/>
      <c r="HYW10" s="239"/>
      <c r="HYX10" s="239"/>
      <c r="HYY10" s="239"/>
      <c r="HYZ10" s="239"/>
      <c r="HZA10" s="239"/>
      <c r="HZB10" s="239"/>
      <c r="HZC10" s="239"/>
      <c r="HZD10" s="239"/>
      <c r="HZE10" s="239"/>
      <c r="HZF10" s="239"/>
      <c r="HZG10" s="239"/>
      <c r="HZH10" s="239"/>
      <c r="HZI10" s="239"/>
      <c r="HZJ10" s="239"/>
      <c r="HZK10" s="239"/>
      <c r="HZL10" s="239"/>
      <c r="HZM10" s="239"/>
      <c r="HZN10" s="239"/>
      <c r="HZO10" s="239"/>
      <c r="HZP10" s="239"/>
      <c r="HZQ10" s="239"/>
      <c r="HZR10" s="239"/>
      <c r="HZS10" s="239"/>
      <c r="HZT10" s="239"/>
      <c r="HZU10" s="239"/>
      <c r="HZV10" s="239"/>
      <c r="HZW10" s="239"/>
      <c r="HZX10" s="239"/>
      <c r="HZY10" s="239"/>
      <c r="HZZ10" s="239"/>
      <c r="IAA10" s="239"/>
      <c r="IAB10" s="239"/>
      <c r="IAC10" s="239"/>
      <c r="IAD10" s="239"/>
      <c r="IAE10" s="239"/>
      <c r="IAF10" s="239"/>
      <c r="IAG10" s="239"/>
      <c r="IAH10" s="239"/>
      <c r="IAI10" s="239"/>
      <c r="IAJ10" s="239"/>
      <c r="IAK10" s="239"/>
      <c r="IAL10" s="239"/>
      <c r="IAM10" s="239"/>
      <c r="IAN10" s="239"/>
      <c r="IAO10" s="239"/>
      <c r="IAP10" s="239"/>
      <c r="IAQ10" s="239"/>
      <c r="IAR10" s="239"/>
      <c r="IAS10" s="239"/>
      <c r="IAT10" s="239"/>
      <c r="IAU10" s="239"/>
      <c r="IAV10" s="239"/>
      <c r="IAW10" s="239"/>
      <c r="IAX10" s="239"/>
      <c r="IAY10" s="239"/>
      <c r="IAZ10" s="239"/>
      <c r="IBA10" s="239"/>
      <c r="IBB10" s="239"/>
      <c r="IBC10" s="239"/>
      <c r="IBD10" s="239"/>
      <c r="IBE10" s="239"/>
      <c r="IBF10" s="239"/>
      <c r="IBG10" s="239"/>
      <c r="IBH10" s="239"/>
      <c r="IBI10" s="239"/>
      <c r="IBJ10" s="239"/>
      <c r="IBK10" s="239"/>
      <c r="IBL10" s="239"/>
      <c r="IBM10" s="239"/>
      <c r="IBN10" s="239"/>
      <c r="IBO10" s="239"/>
      <c r="IBP10" s="239"/>
      <c r="IBQ10" s="239"/>
      <c r="IBR10" s="239"/>
      <c r="IBS10" s="239"/>
      <c r="IBT10" s="239"/>
      <c r="IBU10" s="239"/>
      <c r="IBV10" s="239"/>
      <c r="IBW10" s="239"/>
      <c r="IBX10" s="239"/>
      <c r="IBY10" s="239"/>
      <c r="IBZ10" s="239"/>
      <c r="ICA10" s="239"/>
      <c r="ICB10" s="239"/>
      <c r="ICC10" s="239"/>
      <c r="ICD10" s="239"/>
      <c r="ICE10" s="239"/>
      <c r="ICF10" s="239"/>
      <c r="ICG10" s="239"/>
      <c r="ICH10" s="239"/>
      <c r="ICI10" s="239"/>
      <c r="ICJ10" s="239"/>
      <c r="ICK10" s="239"/>
      <c r="ICL10" s="239"/>
      <c r="ICM10" s="239"/>
      <c r="ICN10" s="239"/>
      <c r="ICO10" s="239"/>
      <c r="ICP10" s="239"/>
      <c r="ICQ10" s="239"/>
      <c r="ICR10" s="239"/>
      <c r="ICS10" s="239"/>
      <c r="ICT10" s="239"/>
      <c r="ICU10" s="239"/>
      <c r="ICV10" s="239"/>
      <c r="ICW10" s="239"/>
      <c r="ICX10" s="239"/>
      <c r="ICY10" s="239"/>
      <c r="ICZ10" s="239"/>
      <c r="IDA10" s="239"/>
      <c r="IDB10" s="239"/>
      <c r="IDC10" s="239"/>
      <c r="IDD10" s="239"/>
      <c r="IDE10" s="239"/>
      <c r="IDF10" s="239"/>
      <c r="IDG10" s="239"/>
      <c r="IDH10" s="239"/>
      <c r="IDI10" s="239"/>
      <c r="IDJ10" s="239"/>
      <c r="IDK10" s="239"/>
      <c r="IDL10" s="239"/>
      <c r="IDM10" s="239"/>
      <c r="IDN10" s="239"/>
      <c r="IDO10" s="239"/>
      <c r="IDP10" s="239"/>
      <c r="IDQ10" s="239"/>
      <c r="IDR10" s="239"/>
      <c r="IDS10" s="239"/>
      <c r="IDT10" s="239"/>
      <c r="IDU10" s="239"/>
      <c r="IDV10" s="239"/>
      <c r="IDW10" s="239"/>
      <c r="IDX10" s="239"/>
      <c r="IDY10" s="239"/>
      <c r="IDZ10" s="239"/>
      <c r="IEA10" s="239"/>
      <c r="IEB10" s="239"/>
      <c r="IEC10" s="239"/>
      <c r="IED10" s="239"/>
      <c r="IEE10" s="239"/>
      <c r="IEF10" s="239"/>
      <c r="IEG10" s="239"/>
      <c r="IEH10" s="239"/>
      <c r="IEI10" s="239"/>
      <c r="IEJ10" s="239"/>
      <c r="IEK10" s="239"/>
      <c r="IEL10" s="239"/>
      <c r="IEM10" s="239"/>
      <c r="IEN10" s="239"/>
      <c r="IEO10" s="239"/>
      <c r="IEP10" s="239"/>
      <c r="IEQ10" s="239"/>
      <c r="IER10" s="239"/>
      <c r="IES10" s="239"/>
      <c r="IET10" s="239"/>
      <c r="IEU10" s="239"/>
      <c r="IEV10" s="239"/>
      <c r="IEW10" s="239"/>
      <c r="IEX10" s="239"/>
      <c r="IEY10" s="239"/>
      <c r="IEZ10" s="239"/>
      <c r="IFA10" s="239"/>
      <c r="IFB10" s="239"/>
      <c r="IFC10" s="239"/>
      <c r="IFD10" s="239"/>
      <c r="IFE10" s="239"/>
      <c r="IFF10" s="239"/>
      <c r="IFG10" s="239"/>
      <c r="IFH10" s="239"/>
      <c r="IFI10" s="239"/>
      <c r="IFJ10" s="239"/>
      <c r="IFK10" s="239"/>
      <c r="IFL10" s="239"/>
      <c r="IFM10" s="239"/>
      <c r="IFN10" s="239"/>
      <c r="IFO10" s="239"/>
      <c r="IFP10" s="239"/>
      <c r="IFQ10" s="239"/>
      <c r="IFR10" s="239"/>
      <c r="IFS10" s="239"/>
      <c r="IFT10" s="239"/>
      <c r="IFU10" s="239"/>
      <c r="IFV10" s="239"/>
      <c r="IFW10" s="239"/>
      <c r="IFX10" s="239"/>
      <c r="IFY10" s="239"/>
      <c r="IFZ10" s="239"/>
      <c r="IGA10" s="239"/>
      <c r="IGB10" s="239"/>
      <c r="IGC10" s="239"/>
      <c r="IGD10" s="239"/>
      <c r="IGE10" s="239"/>
      <c r="IGF10" s="239"/>
      <c r="IGG10" s="239"/>
      <c r="IGH10" s="239"/>
      <c r="IGI10" s="239"/>
      <c r="IGJ10" s="239"/>
      <c r="IGK10" s="239"/>
      <c r="IGL10" s="239"/>
      <c r="IGM10" s="239"/>
      <c r="IGN10" s="239"/>
      <c r="IGO10" s="239"/>
      <c r="IGP10" s="239"/>
      <c r="IGQ10" s="239"/>
      <c r="IGR10" s="239"/>
      <c r="IGS10" s="239"/>
      <c r="IGT10" s="239"/>
      <c r="IGU10" s="239"/>
      <c r="IGV10" s="239"/>
      <c r="IGW10" s="239"/>
      <c r="IGX10" s="239"/>
      <c r="IGY10" s="239"/>
      <c r="IGZ10" s="239"/>
      <c r="IHA10" s="239"/>
      <c r="IHB10" s="239"/>
      <c r="IHC10" s="239"/>
      <c r="IHD10" s="239"/>
      <c r="IHE10" s="239"/>
      <c r="IHF10" s="239"/>
      <c r="IHG10" s="239"/>
      <c r="IHH10" s="239"/>
      <c r="IHI10" s="239"/>
      <c r="IHJ10" s="239"/>
      <c r="IHK10" s="239"/>
      <c r="IHL10" s="239"/>
      <c r="IHM10" s="239"/>
      <c r="IHN10" s="239"/>
      <c r="IHO10" s="239"/>
      <c r="IHP10" s="239"/>
      <c r="IHQ10" s="239"/>
      <c r="IHR10" s="239"/>
      <c r="IHS10" s="239"/>
      <c r="IHT10" s="239"/>
      <c r="IHU10" s="239"/>
      <c r="IHV10" s="239"/>
      <c r="IHW10" s="239"/>
      <c r="IHX10" s="239"/>
      <c r="IHY10" s="239"/>
      <c r="IHZ10" s="239"/>
      <c r="IIA10" s="239"/>
      <c r="IIB10" s="239"/>
      <c r="IIC10" s="239"/>
      <c r="IID10" s="239"/>
      <c r="IIE10" s="239"/>
      <c r="IIF10" s="239"/>
      <c r="IIG10" s="239"/>
      <c r="IIH10" s="239"/>
      <c r="III10" s="239"/>
      <c r="IIJ10" s="239"/>
      <c r="IIK10" s="239"/>
      <c r="IIL10" s="239"/>
      <c r="IIM10" s="239"/>
      <c r="IIN10" s="239"/>
      <c r="IIO10" s="239"/>
      <c r="IIP10" s="239"/>
      <c r="IIQ10" s="239"/>
      <c r="IIR10" s="239"/>
      <c r="IIS10" s="239"/>
      <c r="IIT10" s="239"/>
      <c r="IIU10" s="239"/>
      <c r="IIV10" s="239"/>
      <c r="IIW10" s="239"/>
      <c r="IIX10" s="239"/>
      <c r="IIY10" s="239"/>
      <c r="IIZ10" s="239"/>
      <c r="IJA10" s="239"/>
      <c r="IJB10" s="239"/>
      <c r="IJC10" s="239"/>
      <c r="IJD10" s="239"/>
      <c r="IJE10" s="239"/>
      <c r="IJF10" s="239"/>
      <c r="IJG10" s="239"/>
      <c r="IJH10" s="239"/>
      <c r="IJI10" s="239"/>
      <c r="IJJ10" s="239"/>
      <c r="IJK10" s="239"/>
      <c r="IJL10" s="239"/>
      <c r="IJM10" s="239"/>
      <c r="IJN10" s="239"/>
      <c r="IJO10" s="239"/>
      <c r="IJP10" s="239"/>
      <c r="IJQ10" s="239"/>
      <c r="IJR10" s="239"/>
      <c r="IJS10" s="239"/>
      <c r="IJT10" s="239"/>
      <c r="IJU10" s="239"/>
      <c r="IJV10" s="239"/>
      <c r="IJW10" s="239"/>
      <c r="IJX10" s="239"/>
      <c r="IJY10" s="239"/>
      <c r="IJZ10" s="239"/>
      <c r="IKA10" s="239"/>
      <c r="IKB10" s="239"/>
      <c r="IKC10" s="239"/>
      <c r="IKD10" s="239"/>
      <c r="IKE10" s="239"/>
      <c r="IKF10" s="239"/>
      <c r="IKG10" s="239"/>
      <c r="IKH10" s="239"/>
      <c r="IKI10" s="239"/>
      <c r="IKJ10" s="239"/>
      <c r="IKK10" s="239"/>
      <c r="IKL10" s="239"/>
      <c r="IKM10" s="239"/>
      <c r="IKN10" s="239"/>
      <c r="IKO10" s="239"/>
      <c r="IKP10" s="239"/>
      <c r="IKQ10" s="239"/>
      <c r="IKR10" s="239"/>
      <c r="IKS10" s="239"/>
      <c r="IKT10" s="239"/>
      <c r="IKU10" s="239"/>
      <c r="IKV10" s="239"/>
      <c r="IKW10" s="239"/>
      <c r="IKX10" s="239"/>
      <c r="IKY10" s="239"/>
      <c r="IKZ10" s="239"/>
      <c r="ILA10" s="239"/>
      <c r="ILB10" s="239"/>
      <c r="ILC10" s="239"/>
      <c r="ILD10" s="239"/>
      <c r="ILE10" s="239"/>
      <c r="ILF10" s="239"/>
      <c r="ILG10" s="239"/>
      <c r="ILH10" s="239"/>
      <c r="ILI10" s="239"/>
      <c r="ILJ10" s="239"/>
      <c r="ILK10" s="239"/>
      <c r="ILL10" s="239"/>
      <c r="ILM10" s="239"/>
      <c r="ILN10" s="239"/>
      <c r="ILO10" s="239"/>
      <c r="ILP10" s="239"/>
      <c r="ILQ10" s="239"/>
      <c r="ILR10" s="239"/>
      <c r="ILS10" s="239"/>
      <c r="ILT10" s="239"/>
      <c r="ILU10" s="239"/>
      <c r="ILV10" s="239"/>
      <c r="ILW10" s="239"/>
      <c r="ILX10" s="239"/>
      <c r="ILY10" s="239"/>
      <c r="ILZ10" s="239"/>
      <c r="IMA10" s="239"/>
      <c r="IMB10" s="239"/>
      <c r="IMC10" s="239"/>
      <c r="IMD10" s="239"/>
      <c r="IME10" s="239"/>
      <c r="IMF10" s="239"/>
      <c r="IMG10" s="239"/>
      <c r="IMH10" s="239"/>
      <c r="IMI10" s="239"/>
      <c r="IMJ10" s="239"/>
      <c r="IMK10" s="239"/>
      <c r="IML10" s="239"/>
      <c r="IMM10" s="239"/>
      <c r="IMN10" s="239"/>
      <c r="IMO10" s="239"/>
      <c r="IMP10" s="239"/>
      <c r="IMQ10" s="239"/>
      <c r="IMR10" s="239"/>
      <c r="IMS10" s="239"/>
      <c r="IMT10" s="239"/>
      <c r="IMU10" s="239"/>
      <c r="IMV10" s="239"/>
      <c r="IMW10" s="239"/>
      <c r="IMX10" s="239"/>
      <c r="IMY10" s="239"/>
      <c r="IMZ10" s="239"/>
      <c r="INA10" s="239"/>
      <c r="INB10" s="239"/>
      <c r="INC10" s="239"/>
      <c r="IND10" s="239"/>
      <c r="INE10" s="239"/>
      <c r="INF10" s="239"/>
      <c r="ING10" s="239"/>
      <c r="INH10" s="239"/>
      <c r="INI10" s="239"/>
      <c r="INJ10" s="239"/>
      <c r="INK10" s="239"/>
      <c r="INL10" s="239"/>
      <c r="INM10" s="239"/>
      <c r="INN10" s="239"/>
      <c r="INO10" s="239"/>
      <c r="INP10" s="239"/>
      <c r="INQ10" s="239"/>
      <c r="INR10" s="239"/>
      <c r="INS10" s="239"/>
      <c r="INT10" s="239"/>
      <c r="INU10" s="239"/>
      <c r="INV10" s="239"/>
      <c r="INW10" s="239"/>
      <c r="INX10" s="239"/>
      <c r="INY10" s="239"/>
      <c r="INZ10" s="239"/>
      <c r="IOA10" s="239"/>
      <c r="IOB10" s="239"/>
      <c r="IOC10" s="239"/>
      <c r="IOD10" s="239"/>
      <c r="IOE10" s="239"/>
      <c r="IOF10" s="239"/>
      <c r="IOG10" s="239"/>
      <c r="IOH10" s="239"/>
      <c r="IOI10" s="239"/>
      <c r="IOJ10" s="239"/>
      <c r="IOK10" s="239"/>
      <c r="IOL10" s="239"/>
      <c r="IOM10" s="239"/>
      <c r="ION10" s="239"/>
      <c r="IOO10" s="239"/>
      <c r="IOP10" s="239"/>
      <c r="IOQ10" s="239"/>
      <c r="IOR10" s="239"/>
      <c r="IOS10" s="239"/>
      <c r="IOT10" s="239"/>
      <c r="IOU10" s="239"/>
      <c r="IOV10" s="239"/>
      <c r="IOW10" s="239"/>
      <c r="IOX10" s="239"/>
      <c r="IOY10" s="239"/>
      <c r="IOZ10" s="239"/>
      <c r="IPA10" s="239"/>
      <c r="IPB10" s="239"/>
      <c r="IPC10" s="239"/>
      <c r="IPD10" s="239"/>
      <c r="IPE10" s="239"/>
      <c r="IPF10" s="239"/>
      <c r="IPG10" s="239"/>
      <c r="IPH10" s="239"/>
      <c r="IPI10" s="239"/>
      <c r="IPJ10" s="239"/>
      <c r="IPK10" s="239"/>
      <c r="IPL10" s="239"/>
      <c r="IPM10" s="239"/>
      <c r="IPN10" s="239"/>
      <c r="IPO10" s="239"/>
      <c r="IPP10" s="239"/>
      <c r="IPQ10" s="239"/>
      <c r="IPR10" s="239"/>
      <c r="IPS10" s="239"/>
      <c r="IPT10" s="239"/>
      <c r="IPU10" s="239"/>
      <c r="IPV10" s="239"/>
      <c r="IPW10" s="239"/>
      <c r="IPX10" s="239"/>
      <c r="IPY10" s="239"/>
      <c r="IPZ10" s="239"/>
      <c r="IQA10" s="239"/>
      <c r="IQB10" s="239"/>
      <c r="IQC10" s="239"/>
      <c r="IQD10" s="239"/>
      <c r="IQE10" s="239"/>
      <c r="IQF10" s="239"/>
      <c r="IQG10" s="239"/>
      <c r="IQH10" s="239"/>
      <c r="IQI10" s="239"/>
      <c r="IQJ10" s="239"/>
      <c r="IQK10" s="239"/>
      <c r="IQL10" s="239"/>
      <c r="IQM10" s="239"/>
      <c r="IQN10" s="239"/>
      <c r="IQO10" s="239"/>
      <c r="IQP10" s="239"/>
      <c r="IQQ10" s="239"/>
      <c r="IQR10" s="239"/>
      <c r="IQS10" s="239"/>
      <c r="IQT10" s="239"/>
      <c r="IQU10" s="239"/>
      <c r="IQV10" s="239"/>
      <c r="IQW10" s="239"/>
      <c r="IQX10" s="239"/>
      <c r="IQY10" s="239"/>
      <c r="IQZ10" s="239"/>
      <c r="IRA10" s="239"/>
      <c r="IRB10" s="239"/>
      <c r="IRC10" s="239"/>
      <c r="IRD10" s="239"/>
      <c r="IRE10" s="239"/>
      <c r="IRF10" s="239"/>
      <c r="IRG10" s="239"/>
      <c r="IRH10" s="239"/>
      <c r="IRI10" s="239"/>
      <c r="IRJ10" s="239"/>
      <c r="IRK10" s="239"/>
      <c r="IRL10" s="239"/>
      <c r="IRM10" s="239"/>
      <c r="IRN10" s="239"/>
      <c r="IRO10" s="239"/>
      <c r="IRP10" s="239"/>
      <c r="IRQ10" s="239"/>
      <c r="IRR10" s="239"/>
      <c r="IRS10" s="239"/>
      <c r="IRT10" s="239"/>
      <c r="IRU10" s="239"/>
      <c r="IRV10" s="239"/>
      <c r="IRW10" s="239"/>
      <c r="IRX10" s="239"/>
      <c r="IRY10" s="239"/>
      <c r="IRZ10" s="239"/>
      <c r="ISA10" s="239"/>
      <c r="ISB10" s="239"/>
      <c r="ISC10" s="239"/>
      <c r="ISD10" s="239"/>
      <c r="ISE10" s="239"/>
      <c r="ISF10" s="239"/>
      <c r="ISG10" s="239"/>
      <c r="ISH10" s="239"/>
      <c r="ISI10" s="239"/>
      <c r="ISJ10" s="239"/>
      <c r="ISK10" s="239"/>
      <c r="ISL10" s="239"/>
      <c r="ISM10" s="239"/>
      <c r="ISN10" s="239"/>
      <c r="ISO10" s="239"/>
      <c r="ISP10" s="239"/>
      <c r="ISQ10" s="239"/>
      <c r="ISR10" s="239"/>
      <c r="ISS10" s="239"/>
      <c r="IST10" s="239"/>
      <c r="ISU10" s="239"/>
      <c r="ISV10" s="239"/>
      <c r="ISW10" s="239"/>
      <c r="ISX10" s="239"/>
      <c r="ISY10" s="239"/>
      <c r="ISZ10" s="239"/>
      <c r="ITA10" s="239"/>
      <c r="ITB10" s="239"/>
      <c r="ITC10" s="239"/>
      <c r="ITD10" s="239"/>
      <c r="ITE10" s="239"/>
      <c r="ITF10" s="239"/>
      <c r="ITG10" s="239"/>
      <c r="ITH10" s="239"/>
      <c r="ITI10" s="239"/>
      <c r="ITJ10" s="239"/>
      <c r="ITK10" s="239"/>
      <c r="ITL10" s="239"/>
      <c r="ITM10" s="239"/>
      <c r="ITN10" s="239"/>
      <c r="ITO10" s="239"/>
      <c r="ITP10" s="239"/>
      <c r="ITQ10" s="239"/>
      <c r="ITR10" s="239"/>
      <c r="ITS10" s="239"/>
      <c r="ITT10" s="239"/>
      <c r="ITU10" s="239"/>
      <c r="ITV10" s="239"/>
      <c r="ITW10" s="239"/>
      <c r="ITX10" s="239"/>
      <c r="ITY10" s="239"/>
      <c r="ITZ10" s="239"/>
      <c r="IUA10" s="239"/>
      <c r="IUB10" s="239"/>
      <c r="IUC10" s="239"/>
      <c r="IUD10" s="239"/>
      <c r="IUE10" s="239"/>
      <c r="IUF10" s="239"/>
      <c r="IUG10" s="239"/>
      <c r="IUH10" s="239"/>
      <c r="IUI10" s="239"/>
      <c r="IUJ10" s="239"/>
      <c r="IUK10" s="239"/>
      <c r="IUL10" s="239"/>
      <c r="IUM10" s="239"/>
      <c r="IUN10" s="239"/>
      <c r="IUO10" s="239"/>
      <c r="IUP10" s="239"/>
      <c r="IUQ10" s="239"/>
      <c r="IUR10" s="239"/>
      <c r="IUS10" s="239"/>
      <c r="IUT10" s="239"/>
      <c r="IUU10" s="239"/>
      <c r="IUV10" s="239"/>
      <c r="IUW10" s="239"/>
      <c r="IUX10" s="239"/>
      <c r="IUY10" s="239"/>
      <c r="IUZ10" s="239"/>
      <c r="IVA10" s="239"/>
      <c r="IVB10" s="239"/>
      <c r="IVC10" s="239"/>
      <c r="IVD10" s="239"/>
      <c r="IVE10" s="239"/>
      <c r="IVF10" s="239"/>
      <c r="IVG10" s="239"/>
      <c r="IVH10" s="239"/>
      <c r="IVI10" s="239"/>
      <c r="IVJ10" s="239"/>
      <c r="IVK10" s="239"/>
      <c r="IVL10" s="239"/>
      <c r="IVM10" s="239"/>
      <c r="IVN10" s="239"/>
      <c r="IVO10" s="239"/>
      <c r="IVP10" s="239"/>
      <c r="IVQ10" s="239"/>
      <c r="IVR10" s="239"/>
      <c r="IVS10" s="239"/>
      <c r="IVT10" s="239"/>
      <c r="IVU10" s="239"/>
      <c r="IVV10" s="239"/>
      <c r="IVW10" s="239"/>
      <c r="IVX10" s="239"/>
      <c r="IVY10" s="239"/>
      <c r="IVZ10" s="239"/>
      <c r="IWA10" s="239"/>
      <c r="IWB10" s="239"/>
      <c r="IWC10" s="239"/>
      <c r="IWD10" s="239"/>
      <c r="IWE10" s="239"/>
      <c r="IWF10" s="239"/>
      <c r="IWG10" s="239"/>
      <c r="IWH10" s="239"/>
      <c r="IWI10" s="239"/>
      <c r="IWJ10" s="239"/>
      <c r="IWK10" s="239"/>
      <c r="IWL10" s="239"/>
      <c r="IWM10" s="239"/>
      <c r="IWN10" s="239"/>
      <c r="IWO10" s="239"/>
      <c r="IWP10" s="239"/>
      <c r="IWQ10" s="239"/>
      <c r="IWR10" s="239"/>
      <c r="IWS10" s="239"/>
      <c r="IWT10" s="239"/>
      <c r="IWU10" s="239"/>
      <c r="IWV10" s="239"/>
      <c r="IWW10" s="239"/>
      <c r="IWX10" s="239"/>
      <c r="IWY10" s="239"/>
      <c r="IWZ10" s="239"/>
      <c r="IXA10" s="239"/>
      <c r="IXB10" s="239"/>
      <c r="IXC10" s="239"/>
      <c r="IXD10" s="239"/>
      <c r="IXE10" s="239"/>
      <c r="IXF10" s="239"/>
      <c r="IXG10" s="239"/>
      <c r="IXH10" s="239"/>
      <c r="IXI10" s="239"/>
      <c r="IXJ10" s="239"/>
      <c r="IXK10" s="239"/>
      <c r="IXL10" s="239"/>
      <c r="IXM10" s="239"/>
      <c r="IXN10" s="239"/>
      <c r="IXO10" s="239"/>
      <c r="IXP10" s="239"/>
      <c r="IXQ10" s="239"/>
      <c r="IXR10" s="239"/>
      <c r="IXS10" s="239"/>
      <c r="IXT10" s="239"/>
      <c r="IXU10" s="239"/>
      <c r="IXV10" s="239"/>
      <c r="IXW10" s="239"/>
      <c r="IXX10" s="239"/>
      <c r="IXY10" s="239"/>
      <c r="IXZ10" s="239"/>
      <c r="IYA10" s="239"/>
      <c r="IYB10" s="239"/>
      <c r="IYC10" s="239"/>
      <c r="IYD10" s="239"/>
      <c r="IYE10" s="239"/>
      <c r="IYF10" s="239"/>
      <c r="IYG10" s="239"/>
      <c r="IYH10" s="239"/>
      <c r="IYI10" s="239"/>
      <c r="IYJ10" s="239"/>
      <c r="IYK10" s="239"/>
      <c r="IYL10" s="239"/>
      <c r="IYM10" s="239"/>
      <c r="IYN10" s="239"/>
      <c r="IYO10" s="239"/>
      <c r="IYP10" s="239"/>
      <c r="IYQ10" s="239"/>
      <c r="IYR10" s="239"/>
      <c r="IYS10" s="239"/>
      <c r="IYT10" s="239"/>
      <c r="IYU10" s="239"/>
      <c r="IYV10" s="239"/>
      <c r="IYW10" s="239"/>
      <c r="IYX10" s="239"/>
      <c r="IYY10" s="239"/>
      <c r="IYZ10" s="239"/>
      <c r="IZA10" s="239"/>
      <c r="IZB10" s="239"/>
      <c r="IZC10" s="239"/>
      <c r="IZD10" s="239"/>
      <c r="IZE10" s="239"/>
      <c r="IZF10" s="239"/>
      <c r="IZG10" s="239"/>
      <c r="IZH10" s="239"/>
      <c r="IZI10" s="239"/>
      <c r="IZJ10" s="239"/>
      <c r="IZK10" s="239"/>
      <c r="IZL10" s="239"/>
      <c r="IZM10" s="239"/>
      <c r="IZN10" s="239"/>
      <c r="IZO10" s="239"/>
      <c r="IZP10" s="239"/>
      <c r="IZQ10" s="239"/>
      <c r="IZR10" s="239"/>
      <c r="IZS10" s="239"/>
      <c r="IZT10" s="239"/>
      <c r="IZU10" s="239"/>
      <c r="IZV10" s="239"/>
      <c r="IZW10" s="239"/>
      <c r="IZX10" s="239"/>
      <c r="IZY10" s="239"/>
      <c r="IZZ10" s="239"/>
      <c r="JAA10" s="239"/>
      <c r="JAB10" s="239"/>
      <c r="JAC10" s="239"/>
      <c r="JAD10" s="239"/>
      <c r="JAE10" s="239"/>
      <c r="JAF10" s="239"/>
      <c r="JAG10" s="239"/>
      <c r="JAH10" s="239"/>
      <c r="JAI10" s="239"/>
      <c r="JAJ10" s="239"/>
      <c r="JAK10" s="239"/>
      <c r="JAL10" s="239"/>
      <c r="JAM10" s="239"/>
      <c r="JAN10" s="239"/>
      <c r="JAO10" s="239"/>
      <c r="JAP10" s="239"/>
      <c r="JAQ10" s="239"/>
      <c r="JAR10" s="239"/>
      <c r="JAS10" s="239"/>
      <c r="JAT10" s="239"/>
      <c r="JAU10" s="239"/>
      <c r="JAV10" s="239"/>
      <c r="JAW10" s="239"/>
      <c r="JAX10" s="239"/>
      <c r="JAY10" s="239"/>
      <c r="JAZ10" s="239"/>
      <c r="JBA10" s="239"/>
      <c r="JBB10" s="239"/>
      <c r="JBC10" s="239"/>
      <c r="JBD10" s="239"/>
      <c r="JBE10" s="239"/>
      <c r="JBF10" s="239"/>
      <c r="JBG10" s="239"/>
      <c r="JBH10" s="239"/>
      <c r="JBI10" s="239"/>
      <c r="JBJ10" s="239"/>
      <c r="JBK10" s="239"/>
      <c r="JBL10" s="239"/>
      <c r="JBM10" s="239"/>
      <c r="JBN10" s="239"/>
      <c r="JBO10" s="239"/>
      <c r="JBP10" s="239"/>
      <c r="JBQ10" s="239"/>
      <c r="JBR10" s="239"/>
      <c r="JBS10" s="239"/>
      <c r="JBT10" s="239"/>
      <c r="JBU10" s="239"/>
      <c r="JBV10" s="239"/>
      <c r="JBW10" s="239"/>
      <c r="JBX10" s="239"/>
      <c r="JBY10" s="239"/>
      <c r="JBZ10" s="239"/>
      <c r="JCA10" s="239"/>
      <c r="JCB10" s="239"/>
      <c r="JCC10" s="239"/>
      <c r="JCD10" s="239"/>
      <c r="JCE10" s="239"/>
      <c r="JCF10" s="239"/>
      <c r="JCG10" s="239"/>
      <c r="JCH10" s="239"/>
      <c r="JCI10" s="239"/>
      <c r="JCJ10" s="239"/>
      <c r="JCK10" s="239"/>
      <c r="JCL10" s="239"/>
      <c r="JCM10" s="239"/>
      <c r="JCN10" s="239"/>
      <c r="JCO10" s="239"/>
      <c r="JCP10" s="239"/>
      <c r="JCQ10" s="239"/>
      <c r="JCR10" s="239"/>
      <c r="JCS10" s="239"/>
      <c r="JCT10" s="239"/>
      <c r="JCU10" s="239"/>
      <c r="JCV10" s="239"/>
      <c r="JCW10" s="239"/>
      <c r="JCX10" s="239"/>
      <c r="JCY10" s="239"/>
      <c r="JCZ10" s="239"/>
      <c r="JDA10" s="239"/>
      <c r="JDB10" s="239"/>
      <c r="JDC10" s="239"/>
      <c r="JDD10" s="239"/>
      <c r="JDE10" s="239"/>
      <c r="JDF10" s="239"/>
      <c r="JDG10" s="239"/>
      <c r="JDH10" s="239"/>
      <c r="JDI10" s="239"/>
      <c r="JDJ10" s="239"/>
      <c r="JDK10" s="239"/>
      <c r="JDL10" s="239"/>
      <c r="JDM10" s="239"/>
      <c r="JDN10" s="239"/>
      <c r="JDO10" s="239"/>
      <c r="JDP10" s="239"/>
      <c r="JDQ10" s="239"/>
      <c r="JDR10" s="239"/>
      <c r="JDS10" s="239"/>
      <c r="JDT10" s="239"/>
      <c r="JDU10" s="239"/>
      <c r="JDV10" s="239"/>
      <c r="JDW10" s="239"/>
      <c r="JDX10" s="239"/>
      <c r="JDY10" s="239"/>
      <c r="JDZ10" s="239"/>
      <c r="JEA10" s="239"/>
      <c r="JEB10" s="239"/>
      <c r="JEC10" s="239"/>
      <c r="JED10" s="239"/>
      <c r="JEE10" s="239"/>
      <c r="JEF10" s="239"/>
      <c r="JEG10" s="239"/>
      <c r="JEH10" s="239"/>
      <c r="JEI10" s="239"/>
      <c r="JEJ10" s="239"/>
      <c r="JEK10" s="239"/>
      <c r="JEL10" s="239"/>
      <c r="JEM10" s="239"/>
      <c r="JEN10" s="239"/>
      <c r="JEO10" s="239"/>
      <c r="JEP10" s="239"/>
      <c r="JEQ10" s="239"/>
      <c r="JER10" s="239"/>
      <c r="JES10" s="239"/>
      <c r="JET10" s="239"/>
      <c r="JEU10" s="239"/>
      <c r="JEV10" s="239"/>
      <c r="JEW10" s="239"/>
      <c r="JEX10" s="239"/>
      <c r="JEY10" s="239"/>
      <c r="JEZ10" s="239"/>
      <c r="JFA10" s="239"/>
      <c r="JFB10" s="239"/>
      <c r="JFC10" s="239"/>
      <c r="JFD10" s="239"/>
      <c r="JFE10" s="239"/>
      <c r="JFF10" s="239"/>
      <c r="JFG10" s="239"/>
      <c r="JFH10" s="239"/>
      <c r="JFI10" s="239"/>
      <c r="JFJ10" s="239"/>
      <c r="JFK10" s="239"/>
      <c r="JFL10" s="239"/>
      <c r="JFM10" s="239"/>
      <c r="JFN10" s="239"/>
      <c r="JFO10" s="239"/>
      <c r="JFP10" s="239"/>
      <c r="JFQ10" s="239"/>
      <c r="JFR10" s="239"/>
      <c r="JFS10" s="239"/>
      <c r="JFT10" s="239"/>
      <c r="JFU10" s="239"/>
      <c r="JFV10" s="239"/>
      <c r="JFW10" s="239"/>
      <c r="JFX10" s="239"/>
      <c r="JFY10" s="239"/>
      <c r="JFZ10" s="239"/>
      <c r="JGA10" s="239"/>
      <c r="JGB10" s="239"/>
      <c r="JGC10" s="239"/>
      <c r="JGD10" s="239"/>
      <c r="JGE10" s="239"/>
      <c r="JGF10" s="239"/>
      <c r="JGG10" s="239"/>
      <c r="JGH10" s="239"/>
      <c r="JGI10" s="239"/>
      <c r="JGJ10" s="239"/>
      <c r="JGK10" s="239"/>
      <c r="JGL10" s="239"/>
      <c r="JGM10" s="239"/>
      <c r="JGN10" s="239"/>
      <c r="JGO10" s="239"/>
      <c r="JGP10" s="239"/>
      <c r="JGQ10" s="239"/>
      <c r="JGR10" s="239"/>
      <c r="JGS10" s="239"/>
      <c r="JGT10" s="239"/>
      <c r="JGU10" s="239"/>
      <c r="JGV10" s="239"/>
      <c r="JGW10" s="239"/>
      <c r="JGX10" s="239"/>
      <c r="JGY10" s="239"/>
      <c r="JGZ10" s="239"/>
      <c r="JHA10" s="239"/>
      <c r="JHB10" s="239"/>
      <c r="JHC10" s="239"/>
      <c r="JHD10" s="239"/>
      <c r="JHE10" s="239"/>
      <c r="JHF10" s="239"/>
      <c r="JHG10" s="239"/>
      <c r="JHH10" s="239"/>
      <c r="JHI10" s="239"/>
      <c r="JHJ10" s="239"/>
      <c r="JHK10" s="239"/>
      <c r="JHL10" s="239"/>
      <c r="JHM10" s="239"/>
      <c r="JHN10" s="239"/>
      <c r="JHO10" s="239"/>
      <c r="JHP10" s="239"/>
      <c r="JHQ10" s="239"/>
      <c r="JHR10" s="239"/>
      <c r="JHS10" s="239"/>
      <c r="JHT10" s="239"/>
      <c r="JHU10" s="239"/>
      <c r="JHV10" s="239"/>
      <c r="JHW10" s="239"/>
      <c r="JHX10" s="239"/>
      <c r="JHY10" s="239"/>
      <c r="JHZ10" s="239"/>
      <c r="JIA10" s="239"/>
      <c r="JIB10" s="239"/>
      <c r="JIC10" s="239"/>
      <c r="JID10" s="239"/>
      <c r="JIE10" s="239"/>
      <c r="JIF10" s="239"/>
      <c r="JIG10" s="239"/>
      <c r="JIH10" s="239"/>
      <c r="JII10" s="239"/>
      <c r="JIJ10" s="239"/>
      <c r="JIK10" s="239"/>
      <c r="JIL10" s="239"/>
      <c r="JIM10" s="239"/>
      <c r="JIN10" s="239"/>
      <c r="JIO10" s="239"/>
      <c r="JIP10" s="239"/>
      <c r="JIQ10" s="239"/>
      <c r="JIR10" s="239"/>
      <c r="JIS10" s="239"/>
      <c r="JIT10" s="239"/>
      <c r="JIU10" s="239"/>
      <c r="JIV10" s="239"/>
      <c r="JIW10" s="239"/>
      <c r="JIX10" s="239"/>
      <c r="JIY10" s="239"/>
      <c r="JIZ10" s="239"/>
      <c r="JJA10" s="239"/>
      <c r="JJB10" s="239"/>
      <c r="JJC10" s="239"/>
      <c r="JJD10" s="239"/>
      <c r="JJE10" s="239"/>
      <c r="JJF10" s="239"/>
      <c r="JJG10" s="239"/>
      <c r="JJH10" s="239"/>
      <c r="JJI10" s="239"/>
      <c r="JJJ10" s="239"/>
      <c r="JJK10" s="239"/>
      <c r="JJL10" s="239"/>
      <c r="JJM10" s="239"/>
      <c r="JJN10" s="239"/>
      <c r="JJO10" s="239"/>
      <c r="JJP10" s="239"/>
      <c r="JJQ10" s="239"/>
      <c r="JJR10" s="239"/>
      <c r="JJS10" s="239"/>
      <c r="JJT10" s="239"/>
      <c r="JJU10" s="239"/>
      <c r="JJV10" s="239"/>
      <c r="JJW10" s="239"/>
      <c r="JJX10" s="239"/>
      <c r="JJY10" s="239"/>
      <c r="JJZ10" s="239"/>
      <c r="JKA10" s="239"/>
      <c r="JKB10" s="239"/>
      <c r="JKC10" s="239"/>
      <c r="JKD10" s="239"/>
      <c r="JKE10" s="239"/>
      <c r="JKF10" s="239"/>
      <c r="JKG10" s="239"/>
      <c r="JKH10" s="239"/>
      <c r="JKI10" s="239"/>
      <c r="JKJ10" s="239"/>
      <c r="JKK10" s="239"/>
      <c r="JKL10" s="239"/>
      <c r="JKM10" s="239"/>
      <c r="JKN10" s="239"/>
      <c r="JKO10" s="239"/>
      <c r="JKP10" s="239"/>
      <c r="JKQ10" s="239"/>
      <c r="JKR10" s="239"/>
      <c r="JKS10" s="239"/>
      <c r="JKT10" s="239"/>
      <c r="JKU10" s="239"/>
      <c r="JKV10" s="239"/>
      <c r="JKW10" s="239"/>
      <c r="JKX10" s="239"/>
      <c r="JKY10" s="239"/>
      <c r="JKZ10" s="239"/>
      <c r="JLA10" s="239"/>
      <c r="JLB10" s="239"/>
      <c r="JLC10" s="239"/>
      <c r="JLD10" s="239"/>
      <c r="JLE10" s="239"/>
      <c r="JLF10" s="239"/>
      <c r="JLG10" s="239"/>
      <c r="JLH10" s="239"/>
      <c r="JLI10" s="239"/>
      <c r="JLJ10" s="239"/>
      <c r="JLK10" s="239"/>
      <c r="JLL10" s="239"/>
      <c r="JLM10" s="239"/>
      <c r="JLN10" s="239"/>
      <c r="JLO10" s="239"/>
      <c r="JLP10" s="239"/>
      <c r="JLQ10" s="239"/>
      <c r="JLR10" s="239"/>
      <c r="JLS10" s="239"/>
      <c r="JLT10" s="239"/>
      <c r="JLU10" s="239"/>
      <c r="JLV10" s="239"/>
      <c r="JLW10" s="239"/>
      <c r="JLX10" s="239"/>
      <c r="JLY10" s="239"/>
      <c r="JLZ10" s="239"/>
      <c r="JMA10" s="239"/>
      <c r="JMB10" s="239"/>
      <c r="JMC10" s="239"/>
      <c r="JMD10" s="239"/>
      <c r="JME10" s="239"/>
      <c r="JMF10" s="239"/>
      <c r="JMG10" s="239"/>
      <c r="JMH10" s="239"/>
      <c r="JMI10" s="239"/>
      <c r="JMJ10" s="239"/>
      <c r="JMK10" s="239"/>
      <c r="JML10" s="239"/>
      <c r="JMM10" s="239"/>
      <c r="JMN10" s="239"/>
      <c r="JMO10" s="239"/>
      <c r="JMP10" s="239"/>
      <c r="JMQ10" s="239"/>
      <c r="JMR10" s="239"/>
      <c r="JMS10" s="239"/>
      <c r="JMT10" s="239"/>
      <c r="JMU10" s="239"/>
      <c r="JMV10" s="239"/>
      <c r="JMW10" s="239"/>
      <c r="JMX10" s="239"/>
      <c r="JMY10" s="239"/>
      <c r="JMZ10" s="239"/>
      <c r="JNA10" s="239"/>
      <c r="JNB10" s="239"/>
      <c r="JNC10" s="239"/>
      <c r="JND10" s="239"/>
      <c r="JNE10" s="239"/>
      <c r="JNF10" s="239"/>
      <c r="JNG10" s="239"/>
      <c r="JNH10" s="239"/>
      <c r="JNI10" s="239"/>
      <c r="JNJ10" s="239"/>
      <c r="JNK10" s="239"/>
      <c r="JNL10" s="239"/>
      <c r="JNM10" s="239"/>
      <c r="JNN10" s="239"/>
      <c r="JNO10" s="239"/>
      <c r="JNP10" s="239"/>
      <c r="JNQ10" s="239"/>
      <c r="JNR10" s="239"/>
      <c r="JNS10" s="239"/>
      <c r="JNT10" s="239"/>
      <c r="JNU10" s="239"/>
      <c r="JNV10" s="239"/>
      <c r="JNW10" s="239"/>
      <c r="JNX10" s="239"/>
      <c r="JNY10" s="239"/>
      <c r="JNZ10" s="239"/>
      <c r="JOA10" s="239"/>
      <c r="JOB10" s="239"/>
      <c r="JOC10" s="239"/>
      <c r="JOD10" s="239"/>
      <c r="JOE10" s="239"/>
      <c r="JOF10" s="239"/>
      <c r="JOG10" s="239"/>
      <c r="JOH10" s="239"/>
      <c r="JOI10" s="239"/>
      <c r="JOJ10" s="239"/>
      <c r="JOK10" s="239"/>
      <c r="JOL10" s="239"/>
      <c r="JOM10" s="239"/>
      <c r="JON10" s="239"/>
      <c r="JOO10" s="239"/>
      <c r="JOP10" s="239"/>
      <c r="JOQ10" s="239"/>
      <c r="JOR10" s="239"/>
      <c r="JOS10" s="239"/>
      <c r="JOT10" s="239"/>
      <c r="JOU10" s="239"/>
      <c r="JOV10" s="239"/>
      <c r="JOW10" s="239"/>
      <c r="JOX10" s="239"/>
      <c r="JOY10" s="239"/>
      <c r="JOZ10" s="239"/>
      <c r="JPA10" s="239"/>
      <c r="JPB10" s="239"/>
      <c r="JPC10" s="239"/>
      <c r="JPD10" s="239"/>
      <c r="JPE10" s="239"/>
      <c r="JPF10" s="239"/>
      <c r="JPG10" s="239"/>
      <c r="JPH10" s="239"/>
      <c r="JPI10" s="239"/>
      <c r="JPJ10" s="239"/>
      <c r="JPK10" s="239"/>
      <c r="JPL10" s="239"/>
      <c r="JPM10" s="239"/>
      <c r="JPN10" s="239"/>
      <c r="JPO10" s="239"/>
      <c r="JPP10" s="239"/>
      <c r="JPQ10" s="239"/>
      <c r="JPR10" s="239"/>
      <c r="JPS10" s="239"/>
      <c r="JPT10" s="239"/>
      <c r="JPU10" s="239"/>
      <c r="JPV10" s="239"/>
      <c r="JPW10" s="239"/>
      <c r="JPX10" s="239"/>
      <c r="JPY10" s="239"/>
      <c r="JPZ10" s="239"/>
      <c r="JQA10" s="239"/>
      <c r="JQB10" s="239"/>
      <c r="JQC10" s="239"/>
      <c r="JQD10" s="239"/>
      <c r="JQE10" s="239"/>
      <c r="JQF10" s="239"/>
      <c r="JQG10" s="239"/>
      <c r="JQH10" s="239"/>
      <c r="JQI10" s="239"/>
      <c r="JQJ10" s="239"/>
      <c r="JQK10" s="239"/>
      <c r="JQL10" s="239"/>
      <c r="JQM10" s="239"/>
      <c r="JQN10" s="239"/>
      <c r="JQO10" s="239"/>
      <c r="JQP10" s="239"/>
      <c r="JQQ10" s="239"/>
      <c r="JQR10" s="239"/>
      <c r="JQS10" s="239"/>
      <c r="JQT10" s="239"/>
      <c r="JQU10" s="239"/>
      <c r="JQV10" s="239"/>
      <c r="JQW10" s="239"/>
      <c r="JQX10" s="239"/>
      <c r="JQY10" s="239"/>
      <c r="JQZ10" s="239"/>
      <c r="JRA10" s="239"/>
      <c r="JRB10" s="239"/>
      <c r="JRC10" s="239"/>
      <c r="JRD10" s="239"/>
      <c r="JRE10" s="239"/>
      <c r="JRF10" s="239"/>
      <c r="JRG10" s="239"/>
      <c r="JRH10" s="239"/>
      <c r="JRI10" s="239"/>
      <c r="JRJ10" s="239"/>
      <c r="JRK10" s="239"/>
      <c r="JRL10" s="239"/>
      <c r="JRM10" s="239"/>
      <c r="JRN10" s="239"/>
      <c r="JRO10" s="239"/>
      <c r="JRP10" s="239"/>
      <c r="JRQ10" s="239"/>
      <c r="JRR10" s="239"/>
      <c r="JRS10" s="239"/>
      <c r="JRT10" s="239"/>
      <c r="JRU10" s="239"/>
      <c r="JRV10" s="239"/>
      <c r="JRW10" s="239"/>
      <c r="JRX10" s="239"/>
      <c r="JRY10" s="239"/>
      <c r="JRZ10" s="239"/>
      <c r="JSA10" s="239"/>
      <c r="JSB10" s="239"/>
      <c r="JSC10" s="239"/>
      <c r="JSD10" s="239"/>
      <c r="JSE10" s="239"/>
      <c r="JSF10" s="239"/>
      <c r="JSG10" s="239"/>
      <c r="JSH10" s="239"/>
      <c r="JSI10" s="239"/>
      <c r="JSJ10" s="239"/>
      <c r="JSK10" s="239"/>
      <c r="JSL10" s="239"/>
      <c r="JSM10" s="239"/>
      <c r="JSN10" s="239"/>
      <c r="JSO10" s="239"/>
      <c r="JSP10" s="239"/>
      <c r="JSQ10" s="239"/>
      <c r="JSR10" s="239"/>
      <c r="JSS10" s="239"/>
      <c r="JST10" s="239"/>
      <c r="JSU10" s="239"/>
      <c r="JSV10" s="239"/>
      <c r="JSW10" s="239"/>
      <c r="JSX10" s="239"/>
      <c r="JSY10" s="239"/>
      <c r="JSZ10" s="239"/>
      <c r="JTA10" s="239"/>
      <c r="JTB10" s="239"/>
      <c r="JTC10" s="239"/>
      <c r="JTD10" s="239"/>
      <c r="JTE10" s="239"/>
      <c r="JTF10" s="239"/>
      <c r="JTG10" s="239"/>
      <c r="JTH10" s="239"/>
      <c r="JTI10" s="239"/>
      <c r="JTJ10" s="239"/>
      <c r="JTK10" s="239"/>
      <c r="JTL10" s="239"/>
      <c r="JTM10" s="239"/>
      <c r="JTN10" s="239"/>
      <c r="JTO10" s="239"/>
      <c r="JTP10" s="239"/>
      <c r="JTQ10" s="239"/>
      <c r="JTR10" s="239"/>
      <c r="JTS10" s="239"/>
      <c r="JTT10" s="239"/>
      <c r="JTU10" s="239"/>
      <c r="JTV10" s="239"/>
      <c r="JTW10" s="239"/>
      <c r="JTX10" s="239"/>
      <c r="JTY10" s="239"/>
      <c r="JTZ10" s="239"/>
      <c r="JUA10" s="239"/>
      <c r="JUB10" s="239"/>
      <c r="JUC10" s="239"/>
      <c r="JUD10" s="239"/>
      <c r="JUE10" s="239"/>
      <c r="JUF10" s="239"/>
      <c r="JUG10" s="239"/>
      <c r="JUH10" s="239"/>
      <c r="JUI10" s="239"/>
      <c r="JUJ10" s="239"/>
      <c r="JUK10" s="239"/>
      <c r="JUL10" s="239"/>
      <c r="JUM10" s="239"/>
      <c r="JUN10" s="239"/>
      <c r="JUO10" s="239"/>
      <c r="JUP10" s="239"/>
      <c r="JUQ10" s="239"/>
      <c r="JUR10" s="239"/>
      <c r="JUS10" s="239"/>
      <c r="JUT10" s="239"/>
      <c r="JUU10" s="239"/>
      <c r="JUV10" s="239"/>
      <c r="JUW10" s="239"/>
      <c r="JUX10" s="239"/>
      <c r="JUY10" s="239"/>
      <c r="JUZ10" s="239"/>
      <c r="JVA10" s="239"/>
      <c r="JVB10" s="239"/>
      <c r="JVC10" s="239"/>
      <c r="JVD10" s="239"/>
      <c r="JVE10" s="239"/>
      <c r="JVF10" s="239"/>
      <c r="JVG10" s="239"/>
      <c r="JVH10" s="239"/>
      <c r="JVI10" s="239"/>
      <c r="JVJ10" s="239"/>
      <c r="JVK10" s="239"/>
      <c r="JVL10" s="239"/>
      <c r="JVM10" s="239"/>
      <c r="JVN10" s="239"/>
      <c r="JVO10" s="239"/>
      <c r="JVP10" s="239"/>
      <c r="JVQ10" s="239"/>
      <c r="JVR10" s="239"/>
      <c r="JVS10" s="239"/>
      <c r="JVT10" s="239"/>
      <c r="JVU10" s="239"/>
      <c r="JVV10" s="239"/>
      <c r="JVW10" s="239"/>
      <c r="JVX10" s="239"/>
      <c r="JVY10" s="239"/>
      <c r="JVZ10" s="239"/>
      <c r="JWA10" s="239"/>
      <c r="JWB10" s="239"/>
      <c r="JWC10" s="239"/>
      <c r="JWD10" s="239"/>
      <c r="JWE10" s="239"/>
      <c r="JWF10" s="239"/>
      <c r="JWG10" s="239"/>
      <c r="JWH10" s="239"/>
      <c r="JWI10" s="239"/>
      <c r="JWJ10" s="239"/>
      <c r="JWK10" s="239"/>
      <c r="JWL10" s="239"/>
      <c r="JWM10" s="239"/>
      <c r="JWN10" s="239"/>
      <c r="JWO10" s="239"/>
      <c r="JWP10" s="239"/>
      <c r="JWQ10" s="239"/>
      <c r="JWR10" s="239"/>
      <c r="JWS10" s="239"/>
      <c r="JWT10" s="239"/>
      <c r="JWU10" s="239"/>
      <c r="JWV10" s="239"/>
      <c r="JWW10" s="239"/>
      <c r="JWX10" s="239"/>
      <c r="JWY10" s="239"/>
      <c r="JWZ10" s="239"/>
      <c r="JXA10" s="239"/>
      <c r="JXB10" s="239"/>
      <c r="JXC10" s="239"/>
      <c r="JXD10" s="239"/>
      <c r="JXE10" s="239"/>
      <c r="JXF10" s="239"/>
      <c r="JXG10" s="239"/>
      <c r="JXH10" s="239"/>
      <c r="JXI10" s="239"/>
      <c r="JXJ10" s="239"/>
      <c r="JXK10" s="239"/>
      <c r="JXL10" s="239"/>
      <c r="JXM10" s="239"/>
      <c r="JXN10" s="239"/>
      <c r="JXO10" s="239"/>
      <c r="JXP10" s="239"/>
      <c r="JXQ10" s="239"/>
      <c r="JXR10" s="239"/>
      <c r="JXS10" s="239"/>
      <c r="JXT10" s="239"/>
      <c r="JXU10" s="239"/>
      <c r="JXV10" s="239"/>
      <c r="JXW10" s="239"/>
      <c r="JXX10" s="239"/>
      <c r="JXY10" s="239"/>
      <c r="JXZ10" s="239"/>
      <c r="JYA10" s="239"/>
      <c r="JYB10" s="239"/>
      <c r="JYC10" s="239"/>
      <c r="JYD10" s="239"/>
      <c r="JYE10" s="239"/>
      <c r="JYF10" s="239"/>
      <c r="JYG10" s="239"/>
      <c r="JYH10" s="239"/>
      <c r="JYI10" s="239"/>
      <c r="JYJ10" s="239"/>
      <c r="JYK10" s="239"/>
      <c r="JYL10" s="239"/>
      <c r="JYM10" s="239"/>
      <c r="JYN10" s="239"/>
      <c r="JYO10" s="239"/>
      <c r="JYP10" s="239"/>
      <c r="JYQ10" s="239"/>
      <c r="JYR10" s="239"/>
      <c r="JYS10" s="239"/>
      <c r="JYT10" s="239"/>
      <c r="JYU10" s="239"/>
      <c r="JYV10" s="239"/>
      <c r="JYW10" s="239"/>
      <c r="JYX10" s="239"/>
      <c r="JYY10" s="239"/>
      <c r="JYZ10" s="239"/>
      <c r="JZA10" s="239"/>
      <c r="JZB10" s="239"/>
      <c r="JZC10" s="239"/>
      <c r="JZD10" s="239"/>
      <c r="JZE10" s="239"/>
      <c r="JZF10" s="239"/>
      <c r="JZG10" s="239"/>
      <c r="JZH10" s="239"/>
      <c r="JZI10" s="239"/>
      <c r="JZJ10" s="239"/>
      <c r="JZK10" s="239"/>
      <c r="JZL10" s="239"/>
      <c r="JZM10" s="239"/>
      <c r="JZN10" s="239"/>
      <c r="JZO10" s="239"/>
      <c r="JZP10" s="239"/>
      <c r="JZQ10" s="239"/>
      <c r="JZR10" s="239"/>
      <c r="JZS10" s="239"/>
      <c r="JZT10" s="239"/>
      <c r="JZU10" s="239"/>
      <c r="JZV10" s="239"/>
      <c r="JZW10" s="239"/>
      <c r="JZX10" s="239"/>
      <c r="JZY10" s="239"/>
      <c r="JZZ10" s="239"/>
      <c r="KAA10" s="239"/>
      <c r="KAB10" s="239"/>
      <c r="KAC10" s="239"/>
      <c r="KAD10" s="239"/>
      <c r="KAE10" s="239"/>
      <c r="KAF10" s="239"/>
      <c r="KAG10" s="239"/>
      <c r="KAH10" s="239"/>
      <c r="KAI10" s="239"/>
      <c r="KAJ10" s="239"/>
      <c r="KAK10" s="239"/>
      <c r="KAL10" s="239"/>
      <c r="KAM10" s="239"/>
      <c r="KAN10" s="239"/>
      <c r="KAO10" s="239"/>
      <c r="KAP10" s="239"/>
      <c r="KAQ10" s="239"/>
      <c r="KAR10" s="239"/>
      <c r="KAS10" s="239"/>
      <c r="KAT10" s="239"/>
      <c r="KAU10" s="239"/>
      <c r="KAV10" s="239"/>
      <c r="KAW10" s="239"/>
      <c r="KAX10" s="239"/>
      <c r="KAY10" s="239"/>
      <c r="KAZ10" s="239"/>
      <c r="KBA10" s="239"/>
      <c r="KBB10" s="239"/>
      <c r="KBC10" s="239"/>
      <c r="KBD10" s="239"/>
      <c r="KBE10" s="239"/>
      <c r="KBF10" s="239"/>
      <c r="KBG10" s="239"/>
      <c r="KBH10" s="239"/>
      <c r="KBI10" s="239"/>
      <c r="KBJ10" s="239"/>
      <c r="KBK10" s="239"/>
      <c r="KBL10" s="239"/>
      <c r="KBM10" s="239"/>
      <c r="KBN10" s="239"/>
      <c r="KBO10" s="239"/>
      <c r="KBP10" s="239"/>
      <c r="KBQ10" s="239"/>
      <c r="KBR10" s="239"/>
      <c r="KBS10" s="239"/>
      <c r="KBT10" s="239"/>
      <c r="KBU10" s="239"/>
      <c r="KBV10" s="239"/>
      <c r="KBW10" s="239"/>
      <c r="KBX10" s="239"/>
      <c r="KBY10" s="239"/>
      <c r="KBZ10" s="239"/>
      <c r="KCA10" s="239"/>
      <c r="KCB10" s="239"/>
      <c r="KCC10" s="239"/>
      <c r="KCD10" s="239"/>
      <c r="KCE10" s="239"/>
      <c r="KCF10" s="239"/>
      <c r="KCG10" s="239"/>
      <c r="KCH10" s="239"/>
      <c r="KCI10" s="239"/>
      <c r="KCJ10" s="239"/>
      <c r="KCK10" s="239"/>
      <c r="KCL10" s="239"/>
      <c r="KCM10" s="239"/>
      <c r="KCN10" s="239"/>
      <c r="KCO10" s="239"/>
      <c r="KCP10" s="239"/>
      <c r="KCQ10" s="239"/>
      <c r="KCR10" s="239"/>
      <c r="KCS10" s="239"/>
      <c r="KCT10" s="239"/>
      <c r="KCU10" s="239"/>
      <c r="KCV10" s="239"/>
      <c r="KCW10" s="239"/>
      <c r="KCX10" s="239"/>
      <c r="KCY10" s="239"/>
      <c r="KCZ10" s="239"/>
      <c r="KDA10" s="239"/>
      <c r="KDB10" s="239"/>
      <c r="KDC10" s="239"/>
      <c r="KDD10" s="239"/>
      <c r="KDE10" s="239"/>
      <c r="KDF10" s="239"/>
      <c r="KDG10" s="239"/>
      <c r="KDH10" s="239"/>
      <c r="KDI10" s="239"/>
      <c r="KDJ10" s="239"/>
      <c r="KDK10" s="239"/>
      <c r="KDL10" s="239"/>
      <c r="KDM10" s="239"/>
      <c r="KDN10" s="239"/>
      <c r="KDO10" s="239"/>
      <c r="KDP10" s="239"/>
      <c r="KDQ10" s="239"/>
      <c r="KDR10" s="239"/>
      <c r="KDS10" s="239"/>
      <c r="KDT10" s="239"/>
      <c r="KDU10" s="239"/>
      <c r="KDV10" s="239"/>
      <c r="KDW10" s="239"/>
      <c r="KDX10" s="239"/>
      <c r="KDY10" s="239"/>
      <c r="KDZ10" s="239"/>
      <c r="KEA10" s="239"/>
      <c r="KEB10" s="239"/>
      <c r="KEC10" s="239"/>
      <c r="KED10" s="239"/>
      <c r="KEE10" s="239"/>
      <c r="KEF10" s="239"/>
      <c r="KEG10" s="239"/>
      <c r="KEH10" s="239"/>
      <c r="KEI10" s="239"/>
      <c r="KEJ10" s="239"/>
      <c r="KEK10" s="239"/>
      <c r="KEL10" s="239"/>
      <c r="KEM10" s="239"/>
      <c r="KEN10" s="239"/>
      <c r="KEO10" s="239"/>
      <c r="KEP10" s="239"/>
      <c r="KEQ10" s="239"/>
      <c r="KER10" s="239"/>
      <c r="KES10" s="239"/>
      <c r="KET10" s="239"/>
      <c r="KEU10" s="239"/>
      <c r="KEV10" s="239"/>
      <c r="KEW10" s="239"/>
      <c r="KEX10" s="239"/>
      <c r="KEY10" s="239"/>
      <c r="KEZ10" s="239"/>
      <c r="KFA10" s="239"/>
      <c r="KFB10" s="239"/>
      <c r="KFC10" s="239"/>
      <c r="KFD10" s="239"/>
      <c r="KFE10" s="239"/>
      <c r="KFF10" s="239"/>
      <c r="KFG10" s="239"/>
      <c r="KFH10" s="239"/>
      <c r="KFI10" s="239"/>
      <c r="KFJ10" s="239"/>
      <c r="KFK10" s="239"/>
      <c r="KFL10" s="239"/>
      <c r="KFM10" s="239"/>
      <c r="KFN10" s="239"/>
      <c r="KFO10" s="239"/>
      <c r="KFP10" s="239"/>
      <c r="KFQ10" s="239"/>
      <c r="KFR10" s="239"/>
      <c r="KFS10" s="239"/>
      <c r="KFT10" s="239"/>
      <c r="KFU10" s="239"/>
      <c r="KFV10" s="239"/>
      <c r="KFW10" s="239"/>
      <c r="KFX10" s="239"/>
      <c r="KFY10" s="239"/>
      <c r="KFZ10" s="239"/>
      <c r="KGA10" s="239"/>
      <c r="KGB10" s="239"/>
      <c r="KGC10" s="239"/>
      <c r="KGD10" s="239"/>
      <c r="KGE10" s="239"/>
      <c r="KGF10" s="239"/>
      <c r="KGG10" s="239"/>
      <c r="KGH10" s="239"/>
      <c r="KGI10" s="239"/>
      <c r="KGJ10" s="239"/>
      <c r="KGK10" s="239"/>
      <c r="KGL10" s="239"/>
      <c r="KGM10" s="239"/>
      <c r="KGN10" s="239"/>
      <c r="KGO10" s="239"/>
      <c r="KGP10" s="239"/>
      <c r="KGQ10" s="239"/>
      <c r="KGR10" s="239"/>
      <c r="KGS10" s="239"/>
      <c r="KGT10" s="239"/>
      <c r="KGU10" s="239"/>
      <c r="KGV10" s="239"/>
      <c r="KGW10" s="239"/>
      <c r="KGX10" s="239"/>
      <c r="KGY10" s="239"/>
      <c r="KGZ10" s="239"/>
      <c r="KHA10" s="239"/>
      <c r="KHB10" s="239"/>
      <c r="KHC10" s="239"/>
      <c r="KHD10" s="239"/>
      <c r="KHE10" s="239"/>
      <c r="KHF10" s="239"/>
      <c r="KHG10" s="239"/>
      <c r="KHH10" s="239"/>
      <c r="KHI10" s="239"/>
      <c r="KHJ10" s="239"/>
      <c r="KHK10" s="239"/>
      <c r="KHL10" s="239"/>
      <c r="KHM10" s="239"/>
      <c r="KHN10" s="239"/>
      <c r="KHO10" s="239"/>
      <c r="KHP10" s="239"/>
      <c r="KHQ10" s="239"/>
      <c r="KHR10" s="239"/>
      <c r="KHS10" s="239"/>
      <c r="KHT10" s="239"/>
      <c r="KHU10" s="239"/>
      <c r="KHV10" s="239"/>
      <c r="KHW10" s="239"/>
      <c r="KHX10" s="239"/>
      <c r="KHY10" s="239"/>
      <c r="KHZ10" s="239"/>
      <c r="KIA10" s="239"/>
      <c r="KIB10" s="239"/>
      <c r="KIC10" s="239"/>
      <c r="KID10" s="239"/>
      <c r="KIE10" s="239"/>
      <c r="KIF10" s="239"/>
      <c r="KIG10" s="239"/>
      <c r="KIH10" s="239"/>
      <c r="KII10" s="239"/>
      <c r="KIJ10" s="239"/>
      <c r="KIK10" s="239"/>
      <c r="KIL10" s="239"/>
      <c r="KIM10" s="239"/>
      <c r="KIN10" s="239"/>
      <c r="KIO10" s="239"/>
      <c r="KIP10" s="239"/>
      <c r="KIQ10" s="239"/>
      <c r="KIR10" s="239"/>
      <c r="KIS10" s="239"/>
      <c r="KIT10" s="239"/>
      <c r="KIU10" s="239"/>
      <c r="KIV10" s="239"/>
      <c r="KIW10" s="239"/>
      <c r="KIX10" s="239"/>
      <c r="KIY10" s="239"/>
      <c r="KIZ10" s="239"/>
      <c r="KJA10" s="239"/>
      <c r="KJB10" s="239"/>
      <c r="KJC10" s="239"/>
      <c r="KJD10" s="239"/>
      <c r="KJE10" s="239"/>
      <c r="KJF10" s="239"/>
      <c r="KJG10" s="239"/>
      <c r="KJH10" s="239"/>
      <c r="KJI10" s="239"/>
      <c r="KJJ10" s="239"/>
      <c r="KJK10" s="239"/>
      <c r="KJL10" s="239"/>
      <c r="KJM10" s="239"/>
      <c r="KJN10" s="239"/>
      <c r="KJO10" s="239"/>
      <c r="KJP10" s="239"/>
      <c r="KJQ10" s="239"/>
      <c r="KJR10" s="239"/>
      <c r="KJS10" s="239"/>
      <c r="KJT10" s="239"/>
      <c r="KJU10" s="239"/>
      <c r="KJV10" s="239"/>
      <c r="KJW10" s="239"/>
      <c r="KJX10" s="239"/>
      <c r="KJY10" s="239"/>
      <c r="KJZ10" s="239"/>
      <c r="KKA10" s="239"/>
      <c r="KKB10" s="239"/>
      <c r="KKC10" s="239"/>
      <c r="KKD10" s="239"/>
      <c r="KKE10" s="239"/>
      <c r="KKF10" s="239"/>
      <c r="KKG10" s="239"/>
      <c r="KKH10" s="239"/>
      <c r="KKI10" s="239"/>
      <c r="KKJ10" s="239"/>
      <c r="KKK10" s="239"/>
      <c r="KKL10" s="239"/>
      <c r="KKM10" s="239"/>
      <c r="KKN10" s="239"/>
      <c r="KKO10" s="239"/>
      <c r="KKP10" s="239"/>
      <c r="KKQ10" s="239"/>
      <c r="KKR10" s="239"/>
      <c r="KKS10" s="239"/>
      <c r="KKT10" s="239"/>
      <c r="KKU10" s="239"/>
      <c r="KKV10" s="239"/>
      <c r="KKW10" s="239"/>
      <c r="KKX10" s="239"/>
      <c r="KKY10" s="239"/>
      <c r="KKZ10" s="239"/>
      <c r="KLA10" s="239"/>
      <c r="KLB10" s="239"/>
      <c r="KLC10" s="239"/>
      <c r="KLD10" s="239"/>
      <c r="KLE10" s="239"/>
      <c r="KLF10" s="239"/>
      <c r="KLG10" s="239"/>
      <c r="KLH10" s="239"/>
      <c r="KLI10" s="239"/>
      <c r="KLJ10" s="239"/>
      <c r="KLK10" s="239"/>
      <c r="KLL10" s="239"/>
      <c r="KLM10" s="239"/>
      <c r="KLN10" s="239"/>
      <c r="KLO10" s="239"/>
      <c r="KLP10" s="239"/>
      <c r="KLQ10" s="239"/>
      <c r="KLR10" s="239"/>
      <c r="KLS10" s="239"/>
      <c r="KLT10" s="239"/>
      <c r="KLU10" s="239"/>
      <c r="KLV10" s="239"/>
      <c r="KLW10" s="239"/>
      <c r="KLX10" s="239"/>
      <c r="KLY10" s="239"/>
      <c r="KLZ10" s="239"/>
      <c r="KMA10" s="239"/>
      <c r="KMB10" s="239"/>
      <c r="KMC10" s="239"/>
      <c r="KMD10" s="239"/>
      <c r="KME10" s="239"/>
      <c r="KMF10" s="239"/>
      <c r="KMG10" s="239"/>
      <c r="KMH10" s="239"/>
      <c r="KMI10" s="239"/>
      <c r="KMJ10" s="239"/>
      <c r="KMK10" s="239"/>
      <c r="KML10" s="239"/>
      <c r="KMM10" s="239"/>
      <c r="KMN10" s="239"/>
      <c r="KMO10" s="239"/>
      <c r="KMP10" s="239"/>
      <c r="KMQ10" s="239"/>
      <c r="KMR10" s="239"/>
      <c r="KMS10" s="239"/>
      <c r="KMT10" s="239"/>
      <c r="KMU10" s="239"/>
      <c r="KMV10" s="239"/>
      <c r="KMW10" s="239"/>
      <c r="KMX10" s="239"/>
      <c r="KMY10" s="239"/>
      <c r="KMZ10" s="239"/>
      <c r="KNA10" s="239"/>
      <c r="KNB10" s="239"/>
      <c r="KNC10" s="239"/>
      <c r="KND10" s="239"/>
      <c r="KNE10" s="239"/>
      <c r="KNF10" s="239"/>
      <c r="KNG10" s="239"/>
      <c r="KNH10" s="239"/>
      <c r="KNI10" s="239"/>
      <c r="KNJ10" s="239"/>
      <c r="KNK10" s="239"/>
      <c r="KNL10" s="239"/>
      <c r="KNM10" s="239"/>
      <c r="KNN10" s="239"/>
      <c r="KNO10" s="239"/>
      <c r="KNP10" s="239"/>
      <c r="KNQ10" s="239"/>
      <c r="KNR10" s="239"/>
      <c r="KNS10" s="239"/>
      <c r="KNT10" s="239"/>
      <c r="KNU10" s="239"/>
      <c r="KNV10" s="239"/>
      <c r="KNW10" s="239"/>
      <c r="KNX10" s="239"/>
      <c r="KNY10" s="239"/>
      <c r="KNZ10" s="239"/>
      <c r="KOA10" s="239"/>
      <c r="KOB10" s="239"/>
      <c r="KOC10" s="239"/>
      <c r="KOD10" s="239"/>
      <c r="KOE10" s="239"/>
      <c r="KOF10" s="239"/>
      <c r="KOG10" s="239"/>
      <c r="KOH10" s="239"/>
      <c r="KOI10" s="239"/>
      <c r="KOJ10" s="239"/>
      <c r="KOK10" s="239"/>
      <c r="KOL10" s="239"/>
      <c r="KOM10" s="239"/>
      <c r="KON10" s="239"/>
      <c r="KOO10" s="239"/>
      <c r="KOP10" s="239"/>
      <c r="KOQ10" s="239"/>
      <c r="KOR10" s="239"/>
      <c r="KOS10" s="239"/>
      <c r="KOT10" s="239"/>
      <c r="KOU10" s="239"/>
      <c r="KOV10" s="239"/>
      <c r="KOW10" s="239"/>
      <c r="KOX10" s="239"/>
      <c r="KOY10" s="239"/>
      <c r="KOZ10" s="239"/>
      <c r="KPA10" s="239"/>
      <c r="KPB10" s="239"/>
      <c r="KPC10" s="239"/>
      <c r="KPD10" s="239"/>
      <c r="KPE10" s="239"/>
      <c r="KPF10" s="239"/>
      <c r="KPG10" s="239"/>
      <c r="KPH10" s="239"/>
      <c r="KPI10" s="239"/>
      <c r="KPJ10" s="239"/>
      <c r="KPK10" s="239"/>
      <c r="KPL10" s="239"/>
      <c r="KPM10" s="239"/>
      <c r="KPN10" s="239"/>
      <c r="KPO10" s="239"/>
      <c r="KPP10" s="239"/>
      <c r="KPQ10" s="239"/>
      <c r="KPR10" s="239"/>
      <c r="KPS10" s="239"/>
      <c r="KPT10" s="239"/>
      <c r="KPU10" s="239"/>
      <c r="KPV10" s="239"/>
      <c r="KPW10" s="239"/>
      <c r="KPX10" s="239"/>
      <c r="KPY10" s="239"/>
      <c r="KPZ10" s="239"/>
      <c r="KQA10" s="239"/>
      <c r="KQB10" s="239"/>
      <c r="KQC10" s="239"/>
      <c r="KQD10" s="239"/>
      <c r="KQE10" s="239"/>
      <c r="KQF10" s="239"/>
      <c r="KQG10" s="239"/>
      <c r="KQH10" s="239"/>
      <c r="KQI10" s="239"/>
      <c r="KQJ10" s="239"/>
      <c r="KQK10" s="239"/>
      <c r="KQL10" s="239"/>
      <c r="KQM10" s="239"/>
      <c r="KQN10" s="239"/>
      <c r="KQO10" s="239"/>
      <c r="KQP10" s="239"/>
      <c r="KQQ10" s="239"/>
      <c r="KQR10" s="239"/>
      <c r="KQS10" s="239"/>
      <c r="KQT10" s="239"/>
      <c r="KQU10" s="239"/>
      <c r="KQV10" s="239"/>
      <c r="KQW10" s="239"/>
      <c r="KQX10" s="239"/>
      <c r="KQY10" s="239"/>
      <c r="KQZ10" s="239"/>
      <c r="KRA10" s="239"/>
      <c r="KRB10" s="239"/>
      <c r="KRC10" s="239"/>
      <c r="KRD10" s="239"/>
      <c r="KRE10" s="239"/>
      <c r="KRF10" s="239"/>
      <c r="KRG10" s="239"/>
      <c r="KRH10" s="239"/>
      <c r="KRI10" s="239"/>
      <c r="KRJ10" s="239"/>
      <c r="KRK10" s="239"/>
      <c r="KRL10" s="239"/>
      <c r="KRM10" s="239"/>
      <c r="KRN10" s="239"/>
      <c r="KRO10" s="239"/>
      <c r="KRP10" s="239"/>
      <c r="KRQ10" s="239"/>
      <c r="KRR10" s="239"/>
      <c r="KRS10" s="239"/>
      <c r="KRT10" s="239"/>
      <c r="KRU10" s="239"/>
      <c r="KRV10" s="239"/>
      <c r="KRW10" s="239"/>
      <c r="KRX10" s="239"/>
      <c r="KRY10" s="239"/>
      <c r="KRZ10" s="239"/>
      <c r="KSA10" s="239"/>
      <c r="KSB10" s="239"/>
      <c r="KSC10" s="239"/>
      <c r="KSD10" s="239"/>
      <c r="KSE10" s="239"/>
      <c r="KSF10" s="239"/>
      <c r="KSG10" s="239"/>
      <c r="KSH10" s="239"/>
      <c r="KSI10" s="239"/>
      <c r="KSJ10" s="239"/>
      <c r="KSK10" s="239"/>
      <c r="KSL10" s="239"/>
      <c r="KSM10" s="239"/>
      <c r="KSN10" s="239"/>
      <c r="KSO10" s="239"/>
      <c r="KSP10" s="239"/>
      <c r="KSQ10" s="239"/>
      <c r="KSR10" s="239"/>
      <c r="KSS10" s="239"/>
      <c r="KST10" s="239"/>
      <c r="KSU10" s="239"/>
      <c r="KSV10" s="239"/>
      <c r="KSW10" s="239"/>
      <c r="KSX10" s="239"/>
      <c r="KSY10" s="239"/>
      <c r="KSZ10" s="239"/>
      <c r="KTA10" s="239"/>
      <c r="KTB10" s="239"/>
      <c r="KTC10" s="239"/>
      <c r="KTD10" s="239"/>
      <c r="KTE10" s="239"/>
      <c r="KTF10" s="239"/>
      <c r="KTG10" s="239"/>
      <c r="KTH10" s="239"/>
      <c r="KTI10" s="239"/>
      <c r="KTJ10" s="239"/>
      <c r="KTK10" s="239"/>
      <c r="KTL10" s="239"/>
      <c r="KTM10" s="239"/>
      <c r="KTN10" s="239"/>
      <c r="KTO10" s="239"/>
      <c r="KTP10" s="239"/>
      <c r="KTQ10" s="239"/>
      <c r="KTR10" s="239"/>
      <c r="KTS10" s="239"/>
      <c r="KTT10" s="239"/>
      <c r="KTU10" s="239"/>
      <c r="KTV10" s="239"/>
      <c r="KTW10" s="239"/>
      <c r="KTX10" s="239"/>
      <c r="KTY10" s="239"/>
      <c r="KTZ10" s="239"/>
      <c r="KUA10" s="239"/>
      <c r="KUB10" s="239"/>
      <c r="KUC10" s="239"/>
      <c r="KUD10" s="239"/>
      <c r="KUE10" s="239"/>
      <c r="KUF10" s="239"/>
      <c r="KUG10" s="239"/>
      <c r="KUH10" s="239"/>
      <c r="KUI10" s="239"/>
      <c r="KUJ10" s="239"/>
      <c r="KUK10" s="239"/>
      <c r="KUL10" s="239"/>
      <c r="KUM10" s="239"/>
      <c r="KUN10" s="239"/>
      <c r="KUO10" s="239"/>
      <c r="KUP10" s="239"/>
      <c r="KUQ10" s="239"/>
      <c r="KUR10" s="239"/>
      <c r="KUS10" s="239"/>
      <c r="KUT10" s="239"/>
      <c r="KUU10" s="239"/>
      <c r="KUV10" s="239"/>
      <c r="KUW10" s="239"/>
      <c r="KUX10" s="239"/>
      <c r="KUY10" s="239"/>
      <c r="KUZ10" s="239"/>
      <c r="KVA10" s="239"/>
      <c r="KVB10" s="239"/>
      <c r="KVC10" s="239"/>
      <c r="KVD10" s="239"/>
      <c r="KVE10" s="239"/>
      <c r="KVF10" s="239"/>
      <c r="KVG10" s="239"/>
      <c r="KVH10" s="239"/>
      <c r="KVI10" s="239"/>
      <c r="KVJ10" s="239"/>
      <c r="KVK10" s="239"/>
      <c r="KVL10" s="239"/>
      <c r="KVM10" s="239"/>
      <c r="KVN10" s="239"/>
      <c r="KVO10" s="239"/>
      <c r="KVP10" s="239"/>
      <c r="KVQ10" s="239"/>
      <c r="KVR10" s="239"/>
      <c r="KVS10" s="239"/>
      <c r="KVT10" s="239"/>
      <c r="KVU10" s="239"/>
      <c r="KVV10" s="239"/>
      <c r="KVW10" s="239"/>
      <c r="KVX10" s="239"/>
      <c r="KVY10" s="239"/>
      <c r="KVZ10" s="239"/>
      <c r="KWA10" s="239"/>
      <c r="KWB10" s="239"/>
      <c r="KWC10" s="239"/>
      <c r="KWD10" s="239"/>
      <c r="KWE10" s="239"/>
      <c r="KWF10" s="239"/>
      <c r="KWG10" s="239"/>
      <c r="KWH10" s="239"/>
      <c r="KWI10" s="239"/>
      <c r="KWJ10" s="239"/>
      <c r="KWK10" s="239"/>
      <c r="KWL10" s="239"/>
      <c r="KWM10" s="239"/>
      <c r="KWN10" s="239"/>
      <c r="KWO10" s="239"/>
      <c r="KWP10" s="239"/>
      <c r="KWQ10" s="239"/>
      <c r="KWR10" s="239"/>
      <c r="KWS10" s="239"/>
      <c r="KWT10" s="239"/>
      <c r="KWU10" s="239"/>
      <c r="KWV10" s="239"/>
      <c r="KWW10" s="239"/>
      <c r="KWX10" s="239"/>
      <c r="KWY10" s="239"/>
      <c r="KWZ10" s="239"/>
      <c r="KXA10" s="239"/>
      <c r="KXB10" s="239"/>
      <c r="KXC10" s="239"/>
      <c r="KXD10" s="239"/>
      <c r="KXE10" s="239"/>
      <c r="KXF10" s="239"/>
      <c r="KXG10" s="239"/>
      <c r="KXH10" s="239"/>
      <c r="KXI10" s="239"/>
      <c r="KXJ10" s="239"/>
      <c r="KXK10" s="239"/>
      <c r="KXL10" s="239"/>
      <c r="KXM10" s="239"/>
      <c r="KXN10" s="239"/>
      <c r="KXO10" s="239"/>
      <c r="KXP10" s="239"/>
      <c r="KXQ10" s="239"/>
      <c r="KXR10" s="239"/>
      <c r="KXS10" s="239"/>
      <c r="KXT10" s="239"/>
      <c r="KXU10" s="239"/>
      <c r="KXV10" s="239"/>
      <c r="KXW10" s="239"/>
      <c r="KXX10" s="239"/>
      <c r="KXY10" s="239"/>
      <c r="KXZ10" s="239"/>
      <c r="KYA10" s="239"/>
      <c r="KYB10" s="239"/>
      <c r="KYC10" s="239"/>
      <c r="KYD10" s="239"/>
      <c r="KYE10" s="239"/>
      <c r="KYF10" s="239"/>
      <c r="KYG10" s="239"/>
      <c r="KYH10" s="239"/>
      <c r="KYI10" s="239"/>
      <c r="KYJ10" s="239"/>
      <c r="KYK10" s="239"/>
      <c r="KYL10" s="239"/>
      <c r="KYM10" s="239"/>
      <c r="KYN10" s="239"/>
      <c r="KYO10" s="239"/>
      <c r="KYP10" s="239"/>
      <c r="KYQ10" s="239"/>
      <c r="KYR10" s="239"/>
      <c r="KYS10" s="239"/>
      <c r="KYT10" s="239"/>
      <c r="KYU10" s="239"/>
      <c r="KYV10" s="239"/>
      <c r="KYW10" s="239"/>
      <c r="KYX10" s="239"/>
      <c r="KYY10" s="239"/>
      <c r="KYZ10" s="239"/>
      <c r="KZA10" s="239"/>
      <c r="KZB10" s="239"/>
      <c r="KZC10" s="239"/>
      <c r="KZD10" s="239"/>
      <c r="KZE10" s="239"/>
      <c r="KZF10" s="239"/>
      <c r="KZG10" s="239"/>
      <c r="KZH10" s="239"/>
      <c r="KZI10" s="239"/>
      <c r="KZJ10" s="239"/>
      <c r="KZK10" s="239"/>
      <c r="KZL10" s="239"/>
      <c r="KZM10" s="239"/>
      <c r="KZN10" s="239"/>
      <c r="KZO10" s="239"/>
      <c r="KZP10" s="239"/>
      <c r="KZQ10" s="239"/>
      <c r="KZR10" s="239"/>
      <c r="KZS10" s="239"/>
      <c r="KZT10" s="239"/>
      <c r="KZU10" s="239"/>
      <c r="KZV10" s="239"/>
      <c r="KZW10" s="239"/>
      <c r="KZX10" s="239"/>
      <c r="KZY10" s="239"/>
      <c r="KZZ10" s="239"/>
      <c r="LAA10" s="239"/>
      <c r="LAB10" s="239"/>
      <c r="LAC10" s="239"/>
      <c r="LAD10" s="239"/>
      <c r="LAE10" s="239"/>
      <c r="LAF10" s="239"/>
      <c r="LAG10" s="239"/>
      <c r="LAH10" s="239"/>
      <c r="LAI10" s="239"/>
      <c r="LAJ10" s="239"/>
      <c r="LAK10" s="239"/>
      <c r="LAL10" s="239"/>
      <c r="LAM10" s="239"/>
      <c r="LAN10" s="239"/>
      <c r="LAO10" s="239"/>
      <c r="LAP10" s="239"/>
      <c r="LAQ10" s="239"/>
      <c r="LAR10" s="239"/>
      <c r="LAS10" s="239"/>
      <c r="LAT10" s="239"/>
      <c r="LAU10" s="239"/>
      <c r="LAV10" s="239"/>
      <c r="LAW10" s="239"/>
      <c r="LAX10" s="239"/>
      <c r="LAY10" s="239"/>
      <c r="LAZ10" s="239"/>
      <c r="LBA10" s="239"/>
      <c r="LBB10" s="239"/>
      <c r="LBC10" s="239"/>
      <c r="LBD10" s="239"/>
      <c r="LBE10" s="239"/>
      <c r="LBF10" s="239"/>
      <c r="LBG10" s="239"/>
      <c r="LBH10" s="239"/>
      <c r="LBI10" s="239"/>
      <c r="LBJ10" s="239"/>
      <c r="LBK10" s="239"/>
      <c r="LBL10" s="239"/>
      <c r="LBM10" s="239"/>
      <c r="LBN10" s="239"/>
      <c r="LBO10" s="239"/>
      <c r="LBP10" s="239"/>
      <c r="LBQ10" s="239"/>
      <c r="LBR10" s="239"/>
      <c r="LBS10" s="239"/>
      <c r="LBT10" s="239"/>
      <c r="LBU10" s="239"/>
      <c r="LBV10" s="239"/>
      <c r="LBW10" s="239"/>
      <c r="LBX10" s="239"/>
      <c r="LBY10" s="239"/>
      <c r="LBZ10" s="239"/>
      <c r="LCA10" s="239"/>
      <c r="LCB10" s="239"/>
      <c r="LCC10" s="239"/>
      <c r="LCD10" s="239"/>
      <c r="LCE10" s="239"/>
      <c r="LCF10" s="239"/>
      <c r="LCG10" s="239"/>
      <c r="LCH10" s="239"/>
      <c r="LCI10" s="239"/>
      <c r="LCJ10" s="239"/>
      <c r="LCK10" s="239"/>
      <c r="LCL10" s="239"/>
      <c r="LCM10" s="239"/>
      <c r="LCN10" s="239"/>
      <c r="LCO10" s="239"/>
      <c r="LCP10" s="239"/>
      <c r="LCQ10" s="239"/>
      <c r="LCR10" s="239"/>
      <c r="LCS10" s="239"/>
      <c r="LCT10" s="239"/>
      <c r="LCU10" s="239"/>
      <c r="LCV10" s="239"/>
      <c r="LCW10" s="239"/>
      <c r="LCX10" s="239"/>
      <c r="LCY10" s="239"/>
      <c r="LCZ10" s="239"/>
      <c r="LDA10" s="239"/>
      <c r="LDB10" s="239"/>
      <c r="LDC10" s="239"/>
      <c r="LDD10" s="239"/>
      <c r="LDE10" s="239"/>
      <c r="LDF10" s="239"/>
      <c r="LDG10" s="239"/>
      <c r="LDH10" s="239"/>
      <c r="LDI10" s="239"/>
      <c r="LDJ10" s="239"/>
      <c r="LDK10" s="239"/>
      <c r="LDL10" s="239"/>
      <c r="LDM10" s="239"/>
      <c r="LDN10" s="239"/>
      <c r="LDO10" s="239"/>
      <c r="LDP10" s="239"/>
      <c r="LDQ10" s="239"/>
      <c r="LDR10" s="239"/>
      <c r="LDS10" s="239"/>
      <c r="LDT10" s="239"/>
      <c r="LDU10" s="239"/>
      <c r="LDV10" s="239"/>
      <c r="LDW10" s="239"/>
      <c r="LDX10" s="239"/>
      <c r="LDY10" s="239"/>
      <c r="LDZ10" s="239"/>
      <c r="LEA10" s="239"/>
      <c r="LEB10" s="239"/>
      <c r="LEC10" s="239"/>
      <c r="LED10" s="239"/>
      <c r="LEE10" s="239"/>
      <c r="LEF10" s="239"/>
      <c r="LEG10" s="239"/>
      <c r="LEH10" s="239"/>
      <c r="LEI10" s="239"/>
      <c r="LEJ10" s="239"/>
      <c r="LEK10" s="239"/>
      <c r="LEL10" s="239"/>
      <c r="LEM10" s="239"/>
      <c r="LEN10" s="239"/>
      <c r="LEO10" s="239"/>
      <c r="LEP10" s="239"/>
      <c r="LEQ10" s="239"/>
      <c r="LER10" s="239"/>
      <c r="LES10" s="239"/>
      <c r="LET10" s="239"/>
      <c r="LEU10" s="239"/>
      <c r="LEV10" s="239"/>
      <c r="LEW10" s="239"/>
      <c r="LEX10" s="239"/>
      <c r="LEY10" s="239"/>
      <c r="LEZ10" s="239"/>
      <c r="LFA10" s="239"/>
      <c r="LFB10" s="239"/>
      <c r="LFC10" s="239"/>
      <c r="LFD10" s="239"/>
      <c r="LFE10" s="239"/>
      <c r="LFF10" s="239"/>
      <c r="LFG10" s="239"/>
      <c r="LFH10" s="239"/>
      <c r="LFI10" s="239"/>
      <c r="LFJ10" s="239"/>
      <c r="LFK10" s="239"/>
      <c r="LFL10" s="239"/>
      <c r="LFM10" s="239"/>
      <c r="LFN10" s="239"/>
      <c r="LFO10" s="239"/>
      <c r="LFP10" s="239"/>
      <c r="LFQ10" s="239"/>
      <c r="LFR10" s="239"/>
      <c r="LFS10" s="239"/>
      <c r="LFT10" s="239"/>
      <c r="LFU10" s="239"/>
      <c r="LFV10" s="239"/>
      <c r="LFW10" s="239"/>
      <c r="LFX10" s="239"/>
      <c r="LFY10" s="239"/>
      <c r="LFZ10" s="239"/>
      <c r="LGA10" s="239"/>
      <c r="LGB10" s="239"/>
      <c r="LGC10" s="239"/>
      <c r="LGD10" s="239"/>
      <c r="LGE10" s="239"/>
      <c r="LGF10" s="239"/>
      <c r="LGG10" s="239"/>
      <c r="LGH10" s="239"/>
      <c r="LGI10" s="239"/>
      <c r="LGJ10" s="239"/>
      <c r="LGK10" s="239"/>
      <c r="LGL10" s="239"/>
      <c r="LGM10" s="239"/>
      <c r="LGN10" s="239"/>
      <c r="LGO10" s="239"/>
      <c r="LGP10" s="239"/>
      <c r="LGQ10" s="239"/>
      <c r="LGR10" s="239"/>
      <c r="LGS10" s="239"/>
      <c r="LGT10" s="239"/>
      <c r="LGU10" s="239"/>
      <c r="LGV10" s="239"/>
      <c r="LGW10" s="239"/>
      <c r="LGX10" s="239"/>
      <c r="LGY10" s="239"/>
      <c r="LGZ10" s="239"/>
      <c r="LHA10" s="239"/>
      <c r="LHB10" s="239"/>
      <c r="LHC10" s="239"/>
      <c r="LHD10" s="239"/>
      <c r="LHE10" s="239"/>
      <c r="LHF10" s="239"/>
      <c r="LHG10" s="239"/>
      <c r="LHH10" s="239"/>
      <c r="LHI10" s="239"/>
      <c r="LHJ10" s="239"/>
      <c r="LHK10" s="239"/>
      <c r="LHL10" s="239"/>
      <c r="LHM10" s="239"/>
      <c r="LHN10" s="239"/>
      <c r="LHO10" s="239"/>
      <c r="LHP10" s="239"/>
      <c r="LHQ10" s="239"/>
      <c r="LHR10" s="239"/>
      <c r="LHS10" s="239"/>
      <c r="LHT10" s="239"/>
      <c r="LHU10" s="239"/>
      <c r="LHV10" s="239"/>
      <c r="LHW10" s="239"/>
      <c r="LHX10" s="239"/>
      <c r="LHY10" s="239"/>
      <c r="LHZ10" s="239"/>
      <c r="LIA10" s="239"/>
      <c r="LIB10" s="239"/>
      <c r="LIC10" s="239"/>
      <c r="LID10" s="239"/>
      <c r="LIE10" s="239"/>
      <c r="LIF10" s="239"/>
      <c r="LIG10" s="239"/>
      <c r="LIH10" s="239"/>
      <c r="LII10" s="239"/>
      <c r="LIJ10" s="239"/>
      <c r="LIK10" s="239"/>
      <c r="LIL10" s="239"/>
      <c r="LIM10" s="239"/>
      <c r="LIN10" s="239"/>
      <c r="LIO10" s="239"/>
      <c r="LIP10" s="239"/>
      <c r="LIQ10" s="239"/>
      <c r="LIR10" s="239"/>
      <c r="LIS10" s="239"/>
      <c r="LIT10" s="239"/>
      <c r="LIU10" s="239"/>
      <c r="LIV10" s="239"/>
      <c r="LIW10" s="239"/>
      <c r="LIX10" s="239"/>
      <c r="LIY10" s="239"/>
      <c r="LIZ10" s="239"/>
      <c r="LJA10" s="239"/>
      <c r="LJB10" s="239"/>
      <c r="LJC10" s="239"/>
      <c r="LJD10" s="239"/>
      <c r="LJE10" s="239"/>
      <c r="LJF10" s="239"/>
      <c r="LJG10" s="239"/>
      <c r="LJH10" s="239"/>
      <c r="LJI10" s="239"/>
      <c r="LJJ10" s="239"/>
      <c r="LJK10" s="239"/>
      <c r="LJL10" s="239"/>
      <c r="LJM10" s="239"/>
      <c r="LJN10" s="239"/>
      <c r="LJO10" s="239"/>
      <c r="LJP10" s="239"/>
      <c r="LJQ10" s="239"/>
      <c r="LJR10" s="239"/>
      <c r="LJS10" s="239"/>
      <c r="LJT10" s="239"/>
      <c r="LJU10" s="239"/>
      <c r="LJV10" s="239"/>
      <c r="LJW10" s="239"/>
      <c r="LJX10" s="239"/>
      <c r="LJY10" s="239"/>
      <c r="LJZ10" s="239"/>
      <c r="LKA10" s="239"/>
      <c r="LKB10" s="239"/>
      <c r="LKC10" s="239"/>
      <c r="LKD10" s="239"/>
      <c r="LKE10" s="239"/>
      <c r="LKF10" s="239"/>
      <c r="LKG10" s="239"/>
      <c r="LKH10" s="239"/>
      <c r="LKI10" s="239"/>
      <c r="LKJ10" s="239"/>
      <c r="LKK10" s="239"/>
      <c r="LKL10" s="239"/>
      <c r="LKM10" s="239"/>
      <c r="LKN10" s="239"/>
      <c r="LKO10" s="239"/>
      <c r="LKP10" s="239"/>
      <c r="LKQ10" s="239"/>
      <c r="LKR10" s="239"/>
      <c r="LKS10" s="239"/>
      <c r="LKT10" s="239"/>
      <c r="LKU10" s="239"/>
      <c r="LKV10" s="239"/>
      <c r="LKW10" s="239"/>
      <c r="LKX10" s="239"/>
      <c r="LKY10" s="239"/>
      <c r="LKZ10" s="239"/>
      <c r="LLA10" s="239"/>
      <c r="LLB10" s="239"/>
      <c r="LLC10" s="239"/>
      <c r="LLD10" s="239"/>
      <c r="LLE10" s="239"/>
      <c r="LLF10" s="239"/>
      <c r="LLG10" s="239"/>
      <c r="LLH10" s="239"/>
      <c r="LLI10" s="239"/>
      <c r="LLJ10" s="239"/>
      <c r="LLK10" s="239"/>
      <c r="LLL10" s="239"/>
      <c r="LLM10" s="239"/>
      <c r="LLN10" s="239"/>
      <c r="LLO10" s="239"/>
      <c r="LLP10" s="239"/>
      <c r="LLQ10" s="239"/>
      <c r="LLR10" s="239"/>
      <c r="LLS10" s="239"/>
      <c r="LLT10" s="239"/>
      <c r="LLU10" s="239"/>
      <c r="LLV10" s="239"/>
      <c r="LLW10" s="239"/>
      <c r="LLX10" s="239"/>
      <c r="LLY10" s="239"/>
      <c r="LLZ10" s="239"/>
      <c r="LMA10" s="239"/>
      <c r="LMB10" s="239"/>
      <c r="LMC10" s="239"/>
      <c r="LMD10" s="239"/>
      <c r="LME10" s="239"/>
      <c r="LMF10" s="239"/>
      <c r="LMG10" s="239"/>
      <c r="LMH10" s="239"/>
      <c r="LMI10" s="239"/>
      <c r="LMJ10" s="239"/>
      <c r="LMK10" s="239"/>
      <c r="LML10" s="239"/>
      <c r="LMM10" s="239"/>
      <c r="LMN10" s="239"/>
      <c r="LMO10" s="239"/>
      <c r="LMP10" s="239"/>
      <c r="LMQ10" s="239"/>
      <c r="LMR10" s="239"/>
      <c r="LMS10" s="239"/>
      <c r="LMT10" s="239"/>
      <c r="LMU10" s="239"/>
      <c r="LMV10" s="239"/>
      <c r="LMW10" s="239"/>
      <c r="LMX10" s="239"/>
      <c r="LMY10" s="239"/>
      <c r="LMZ10" s="239"/>
      <c r="LNA10" s="239"/>
      <c r="LNB10" s="239"/>
      <c r="LNC10" s="239"/>
      <c r="LND10" s="239"/>
      <c r="LNE10" s="239"/>
      <c r="LNF10" s="239"/>
      <c r="LNG10" s="239"/>
      <c r="LNH10" s="239"/>
      <c r="LNI10" s="239"/>
      <c r="LNJ10" s="239"/>
      <c r="LNK10" s="239"/>
      <c r="LNL10" s="239"/>
      <c r="LNM10" s="239"/>
      <c r="LNN10" s="239"/>
      <c r="LNO10" s="239"/>
      <c r="LNP10" s="239"/>
      <c r="LNQ10" s="239"/>
      <c r="LNR10" s="239"/>
      <c r="LNS10" s="239"/>
      <c r="LNT10" s="239"/>
      <c r="LNU10" s="239"/>
      <c r="LNV10" s="239"/>
      <c r="LNW10" s="239"/>
      <c r="LNX10" s="239"/>
      <c r="LNY10" s="239"/>
      <c r="LNZ10" s="239"/>
      <c r="LOA10" s="239"/>
      <c r="LOB10" s="239"/>
      <c r="LOC10" s="239"/>
      <c r="LOD10" s="239"/>
      <c r="LOE10" s="239"/>
      <c r="LOF10" s="239"/>
      <c r="LOG10" s="239"/>
      <c r="LOH10" s="239"/>
      <c r="LOI10" s="239"/>
      <c r="LOJ10" s="239"/>
      <c r="LOK10" s="239"/>
      <c r="LOL10" s="239"/>
      <c r="LOM10" s="239"/>
      <c r="LON10" s="239"/>
      <c r="LOO10" s="239"/>
      <c r="LOP10" s="239"/>
      <c r="LOQ10" s="239"/>
      <c r="LOR10" s="239"/>
      <c r="LOS10" s="239"/>
      <c r="LOT10" s="239"/>
      <c r="LOU10" s="239"/>
      <c r="LOV10" s="239"/>
      <c r="LOW10" s="239"/>
      <c r="LOX10" s="239"/>
      <c r="LOY10" s="239"/>
      <c r="LOZ10" s="239"/>
      <c r="LPA10" s="239"/>
      <c r="LPB10" s="239"/>
      <c r="LPC10" s="239"/>
      <c r="LPD10" s="239"/>
      <c r="LPE10" s="239"/>
      <c r="LPF10" s="239"/>
      <c r="LPG10" s="239"/>
      <c r="LPH10" s="239"/>
      <c r="LPI10" s="239"/>
      <c r="LPJ10" s="239"/>
      <c r="LPK10" s="239"/>
      <c r="LPL10" s="239"/>
      <c r="LPM10" s="239"/>
      <c r="LPN10" s="239"/>
      <c r="LPO10" s="239"/>
      <c r="LPP10" s="239"/>
      <c r="LPQ10" s="239"/>
      <c r="LPR10" s="239"/>
      <c r="LPS10" s="239"/>
      <c r="LPT10" s="239"/>
      <c r="LPU10" s="239"/>
      <c r="LPV10" s="239"/>
      <c r="LPW10" s="239"/>
      <c r="LPX10" s="239"/>
      <c r="LPY10" s="239"/>
      <c r="LPZ10" s="239"/>
      <c r="LQA10" s="239"/>
      <c r="LQB10" s="239"/>
      <c r="LQC10" s="239"/>
      <c r="LQD10" s="239"/>
      <c r="LQE10" s="239"/>
      <c r="LQF10" s="239"/>
      <c r="LQG10" s="239"/>
      <c r="LQH10" s="239"/>
      <c r="LQI10" s="239"/>
      <c r="LQJ10" s="239"/>
      <c r="LQK10" s="239"/>
      <c r="LQL10" s="239"/>
      <c r="LQM10" s="239"/>
      <c r="LQN10" s="239"/>
      <c r="LQO10" s="239"/>
      <c r="LQP10" s="239"/>
      <c r="LQQ10" s="239"/>
      <c r="LQR10" s="239"/>
      <c r="LQS10" s="239"/>
      <c r="LQT10" s="239"/>
      <c r="LQU10" s="239"/>
      <c r="LQV10" s="239"/>
      <c r="LQW10" s="239"/>
      <c r="LQX10" s="239"/>
      <c r="LQY10" s="239"/>
      <c r="LQZ10" s="239"/>
      <c r="LRA10" s="239"/>
      <c r="LRB10" s="239"/>
      <c r="LRC10" s="239"/>
      <c r="LRD10" s="239"/>
      <c r="LRE10" s="239"/>
      <c r="LRF10" s="239"/>
      <c r="LRG10" s="239"/>
      <c r="LRH10" s="239"/>
      <c r="LRI10" s="239"/>
      <c r="LRJ10" s="239"/>
      <c r="LRK10" s="239"/>
      <c r="LRL10" s="239"/>
      <c r="LRM10" s="239"/>
      <c r="LRN10" s="239"/>
      <c r="LRO10" s="239"/>
      <c r="LRP10" s="239"/>
      <c r="LRQ10" s="239"/>
      <c r="LRR10" s="239"/>
      <c r="LRS10" s="239"/>
      <c r="LRT10" s="239"/>
      <c r="LRU10" s="239"/>
      <c r="LRV10" s="239"/>
      <c r="LRW10" s="239"/>
      <c r="LRX10" s="239"/>
      <c r="LRY10" s="239"/>
      <c r="LRZ10" s="239"/>
      <c r="LSA10" s="239"/>
      <c r="LSB10" s="239"/>
      <c r="LSC10" s="239"/>
      <c r="LSD10" s="239"/>
      <c r="LSE10" s="239"/>
      <c r="LSF10" s="239"/>
      <c r="LSG10" s="239"/>
      <c r="LSH10" s="239"/>
      <c r="LSI10" s="239"/>
      <c r="LSJ10" s="239"/>
      <c r="LSK10" s="239"/>
      <c r="LSL10" s="239"/>
      <c r="LSM10" s="239"/>
      <c r="LSN10" s="239"/>
      <c r="LSO10" s="239"/>
      <c r="LSP10" s="239"/>
      <c r="LSQ10" s="239"/>
      <c r="LSR10" s="239"/>
      <c r="LSS10" s="239"/>
      <c r="LST10" s="239"/>
      <c r="LSU10" s="239"/>
      <c r="LSV10" s="239"/>
      <c r="LSW10" s="239"/>
      <c r="LSX10" s="239"/>
      <c r="LSY10" s="239"/>
      <c r="LSZ10" s="239"/>
      <c r="LTA10" s="239"/>
      <c r="LTB10" s="239"/>
      <c r="LTC10" s="239"/>
      <c r="LTD10" s="239"/>
      <c r="LTE10" s="239"/>
      <c r="LTF10" s="239"/>
      <c r="LTG10" s="239"/>
      <c r="LTH10" s="239"/>
      <c r="LTI10" s="239"/>
      <c r="LTJ10" s="239"/>
      <c r="LTK10" s="239"/>
      <c r="LTL10" s="239"/>
      <c r="LTM10" s="239"/>
      <c r="LTN10" s="239"/>
      <c r="LTO10" s="239"/>
      <c r="LTP10" s="239"/>
      <c r="LTQ10" s="239"/>
      <c r="LTR10" s="239"/>
      <c r="LTS10" s="239"/>
      <c r="LTT10" s="239"/>
      <c r="LTU10" s="239"/>
      <c r="LTV10" s="239"/>
      <c r="LTW10" s="239"/>
      <c r="LTX10" s="239"/>
      <c r="LTY10" s="239"/>
      <c r="LTZ10" s="239"/>
      <c r="LUA10" s="239"/>
      <c r="LUB10" s="239"/>
      <c r="LUC10" s="239"/>
      <c r="LUD10" s="239"/>
      <c r="LUE10" s="239"/>
      <c r="LUF10" s="239"/>
      <c r="LUG10" s="239"/>
      <c r="LUH10" s="239"/>
      <c r="LUI10" s="239"/>
      <c r="LUJ10" s="239"/>
      <c r="LUK10" s="239"/>
      <c r="LUL10" s="239"/>
      <c r="LUM10" s="239"/>
      <c r="LUN10" s="239"/>
      <c r="LUO10" s="239"/>
      <c r="LUP10" s="239"/>
      <c r="LUQ10" s="239"/>
      <c r="LUR10" s="239"/>
      <c r="LUS10" s="239"/>
      <c r="LUT10" s="239"/>
      <c r="LUU10" s="239"/>
      <c r="LUV10" s="239"/>
      <c r="LUW10" s="239"/>
      <c r="LUX10" s="239"/>
      <c r="LUY10" s="239"/>
      <c r="LUZ10" s="239"/>
      <c r="LVA10" s="239"/>
      <c r="LVB10" s="239"/>
      <c r="LVC10" s="239"/>
      <c r="LVD10" s="239"/>
      <c r="LVE10" s="239"/>
      <c r="LVF10" s="239"/>
      <c r="LVG10" s="239"/>
      <c r="LVH10" s="239"/>
      <c r="LVI10" s="239"/>
      <c r="LVJ10" s="239"/>
      <c r="LVK10" s="239"/>
      <c r="LVL10" s="239"/>
      <c r="LVM10" s="239"/>
      <c r="LVN10" s="239"/>
      <c r="LVO10" s="239"/>
      <c r="LVP10" s="239"/>
      <c r="LVQ10" s="239"/>
      <c r="LVR10" s="239"/>
      <c r="LVS10" s="239"/>
      <c r="LVT10" s="239"/>
      <c r="LVU10" s="239"/>
      <c r="LVV10" s="239"/>
      <c r="LVW10" s="239"/>
      <c r="LVX10" s="239"/>
      <c r="LVY10" s="239"/>
      <c r="LVZ10" s="239"/>
      <c r="LWA10" s="239"/>
      <c r="LWB10" s="239"/>
      <c r="LWC10" s="239"/>
      <c r="LWD10" s="239"/>
      <c r="LWE10" s="239"/>
      <c r="LWF10" s="239"/>
      <c r="LWG10" s="239"/>
      <c r="LWH10" s="239"/>
      <c r="LWI10" s="239"/>
      <c r="LWJ10" s="239"/>
      <c r="LWK10" s="239"/>
      <c r="LWL10" s="239"/>
      <c r="LWM10" s="239"/>
      <c r="LWN10" s="239"/>
      <c r="LWO10" s="239"/>
      <c r="LWP10" s="239"/>
      <c r="LWQ10" s="239"/>
      <c r="LWR10" s="239"/>
      <c r="LWS10" s="239"/>
      <c r="LWT10" s="239"/>
      <c r="LWU10" s="239"/>
      <c r="LWV10" s="239"/>
      <c r="LWW10" s="239"/>
      <c r="LWX10" s="239"/>
      <c r="LWY10" s="239"/>
      <c r="LWZ10" s="239"/>
      <c r="LXA10" s="239"/>
      <c r="LXB10" s="239"/>
      <c r="LXC10" s="239"/>
      <c r="LXD10" s="239"/>
      <c r="LXE10" s="239"/>
      <c r="LXF10" s="239"/>
      <c r="LXG10" s="239"/>
      <c r="LXH10" s="239"/>
      <c r="LXI10" s="239"/>
      <c r="LXJ10" s="239"/>
      <c r="LXK10" s="239"/>
      <c r="LXL10" s="239"/>
      <c r="LXM10" s="239"/>
      <c r="LXN10" s="239"/>
      <c r="LXO10" s="239"/>
      <c r="LXP10" s="239"/>
      <c r="LXQ10" s="239"/>
      <c r="LXR10" s="239"/>
      <c r="LXS10" s="239"/>
      <c r="LXT10" s="239"/>
      <c r="LXU10" s="239"/>
      <c r="LXV10" s="239"/>
      <c r="LXW10" s="239"/>
      <c r="LXX10" s="239"/>
      <c r="LXY10" s="239"/>
      <c r="LXZ10" s="239"/>
      <c r="LYA10" s="239"/>
      <c r="LYB10" s="239"/>
      <c r="LYC10" s="239"/>
      <c r="LYD10" s="239"/>
      <c r="LYE10" s="239"/>
      <c r="LYF10" s="239"/>
      <c r="LYG10" s="239"/>
      <c r="LYH10" s="239"/>
      <c r="LYI10" s="239"/>
      <c r="LYJ10" s="239"/>
      <c r="LYK10" s="239"/>
      <c r="LYL10" s="239"/>
      <c r="LYM10" s="239"/>
      <c r="LYN10" s="239"/>
      <c r="LYO10" s="239"/>
      <c r="LYP10" s="239"/>
      <c r="LYQ10" s="239"/>
      <c r="LYR10" s="239"/>
      <c r="LYS10" s="239"/>
      <c r="LYT10" s="239"/>
      <c r="LYU10" s="239"/>
      <c r="LYV10" s="239"/>
      <c r="LYW10" s="239"/>
      <c r="LYX10" s="239"/>
      <c r="LYY10" s="239"/>
      <c r="LYZ10" s="239"/>
      <c r="LZA10" s="239"/>
      <c r="LZB10" s="239"/>
      <c r="LZC10" s="239"/>
      <c r="LZD10" s="239"/>
      <c r="LZE10" s="239"/>
      <c r="LZF10" s="239"/>
      <c r="LZG10" s="239"/>
      <c r="LZH10" s="239"/>
      <c r="LZI10" s="239"/>
      <c r="LZJ10" s="239"/>
      <c r="LZK10" s="239"/>
      <c r="LZL10" s="239"/>
      <c r="LZM10" s="239"/>
      <c r="LZN10" s="239"/>
      <c r="LZO10" s="239"/>
      <c r="LZP10" s="239"/>
      <c r="LZQ10" s="239"/>
      <c r="LZR10" s="239"/>
      <c r="LZS10" s="239"/>
      <c r="LZT10" s="239"/>
      <c r="LZU10" s="239"/>
      <c r="LZV10" s="239"/>
      <c r="LZW10" s="239"/>
      <c r="LZX10" s="239"/>
      <c r="LZY10" s="239"/>
      <c r="LZZ10" s="239"/>
      <c r="MAA10" s="239"/>
      <c r="MAB10" s="239"/>
      <c r="MAC10" s="239"/>
      <c r="MAD10" s="239"/>
      <c r="MAE10" s="239"/>
      <c r="MAF10" s="239"/>
      <c r="MAG10" s="239"/>
      <c r="MAH10" s="239"/>
      <c r="MAI10" s="239"/>
      <c r="MAJ10" s="239"/>
      <c r="MAK10" s="239"/>
      <c r="MAL10" s="239"/>
      <c r="MAM10" s="239"/>
      <c r="MAN10" s="239"/>
      <c r="MAO10" s="239"/>
      <c r="MAP10" s="239"/>
      <c r="MAQ10" s="239"/>
      <c r="MAR10" s="239"/>
      <c r="MAS10" s="239"/>
      <c r="MAT10" s="239"/>
      <c r="MAU10" s="239"/>
      <c r="MAV10" s="239"/>
      <c r="MAW10" s="239"/>
      <c r="MAX10" s="239"/>
      <c r="MAY10" s="239"/>
      <c r="MAZ10" s="239"/>
      <c r="MBA10" s="239"/>
      <c r="MBB10" s="239"/>
      <c r="MBC10" s="239"/>
      <c r="MBD10" s="239"/>
      <c r="MBE10" s="239"/>
      <c r="MBF10" s="239"/>
      <c r="MBG10" s="239"/>
      <c r="MBH10" s="239"/>
      <c r="MBI10" s="239"/>
      <c r="MBJ10" s="239"/>
      <c r="MBK10" s="239"/>
      <c r="MBL10" s="239"/>
      <c r="MBM10" s="239"/>
      <c r="MBN10" s="239"/>
      <c r="MBO10" s="239"/>
      <c r="MBP10" s="239"/>
      <c r="MBQ10" s="239"/>
      <c r="MBR10" s="239"/>
      <c r="MBS10" s="239"/>
      <c r="MBT10" s="239"/>
      <c r="MBU10" s="239"/>
      <c r="MBV10" s="239"/>
      <c r="MBW10" s="239"/>
      <c r="MBX10" s="239"/>
      <c r="MBY10" s="239"/>
      <c r="MBZ10" s="239"/>
      <c r="MCA10" s="239"/>
      <c r="MCB10" s="239"/>
      <c r="MCC10" s="239"/>
      <c r="MCD10" s="239"/>
      <c r="MCE10" s="239"/>
      <c r="MCF10" s="239"/>
      <c r="MCG10" s="239"/>
      <c r="MCH10" s="239"/>
      <c r="MCI10" s="239"/>
      <c r="MCJ10" s="239"/>
      <c r="MCK10" s="239"/>
      <c r="MCL10" s="239"/>
      <c r="MCM10" s="239"/>
      <c r="MCN10" s="239"/>
      <c r="MCO10" s="239"/>
      <c r="MCP10" s="239"/>
      <c r="MCQ10" s="239"/>
      <c r="MCR10" s="239"/>
      <c r="MCS10" s="239"/>
      <c r="MCT10" s="239"/>
      <c r="MCU10" s="239"/>
      <c r="MCV10" s="239"/>
      <c r="MCW10" s="239"/>
      <c r="MCX10" s="239"/>
      <c r="MCY10" s="239"/>
      <c r="MCZ10" s="239"/>
      <c r="MDA10" s="239"/>
      <c r="MDB10" s="239"/>
      <c r="MDC10" s="239"/>
      <c r="MDD10" s="239"/>
      <c r="MDE10" s="239"/>
      <c r="MDF10" s="239"/>
      <c r="MDG10" s="239"/>
      <c r="MDH10" s="239"/>
      <c r="MDI10" s="239"/>
      <c r="MDJ10" s="239"/>
      <c r="MDK10" s="239"/>
      <c r="MDL10" s="239"/>
      <c r="MDM10" s="239"/>
      <c r="MDN10" s="239"/>
      <c r="MDO10" s="239"/>
      <c r="MDP10" s="239"/>
      <c r="MDQ10" s="239"/>
      <c r="MDR10" s="239"/>
      <c r="MDS10" s="239"/>
      <c r="MDT10" s="239"/>
      <c r="MDU10" s="239"/>
      <c r="MDV10" s="239"/>
      <c r="MDW10" s="239"/>
    </row>
    <row r="11" spans="1:8915" s="47" customFormat="1" hidden="1">
      <c r="A11" s="52"/>
      <c r="B11" s="101">
        <v>45754</v>
      </c>
      <c r="C11" s="101" t="s">
        <v>192</v>
      </c>
      <c r="D11" s="119">
        <v>2277.3055999998551</v>
      </c>
      <c r="E11" s="119">
        <v>5116.8191999998671</v>
      </c>
      <c r="F11" s="119">
        <v>598.12000000011176</v>
      </c>
      <c r="G11" s="119">
        <v>707.44999999995343</v>
      </c>
      <c r="H11" s="119">
        <v>978.8400000000147</v>
      </c>
      <c r="I11" s="119">
        <v>682.57999999999811</v>
      </c>
      <c r="J11" s="119">
        <v>1549.3283999998855</v>
      </c>
      <c r="K11" s="119">
        <v>2022.7342999998505</v>
      </c>
      <c r="L11" s="119">
        <v>10113.350000000188</v>
      </c>
      <c r="M11" s="119">
        <v>917</v>
      </c>
      <c r="N11" s="120">
        <v>493.44</v>
      </c>
      <c r="O11" s="120">
        <v>2649.6875000006503</v>
      </c>
      <c r="P11" s="141">
        <f t="shared" si="0"/>
        <v>28106.655000000374</v>
      </c>
      <c r="Q11" s="119">
        <v>13881.439999999977</v>
      </c>
      <c r="R11" s="119">
        <v>23109.179999999851</v>
      </c>
      <c r="S11" s="119">
        <v>1123.357199999906</v>
      </c>
      <c r="T11" s="119">
        <v>1061.7200999999307</v>
      </c>
      <c r="U11" s="119">
        <v>2763.1052000000809</v>
      </c>
      <c r="V11" s="141">
        <f t="shared" si="1"/>
        <v>70045.45750000012</v>
      </c>
      <c r="W11" s="81"/>
      <c r="X11" s="262">
        <f>Summary!K11</f>
        <v>70045.457500000106</v>
      </c>
      <c r="Y11" s="239"/>
      <c r="Z11" s="281">
        <f t="shared" si="2"/>
        <v>0</v>
      </c>
      <c r="AA11" s="239"/>
      <c r="AB11" s="239"/>
      <c r="AC11" s="239"/>
      <c r="AD11" s="239"/>
      <c r="AE11" s="239"/>
      <c r="AF11" s="239"/>
      <c r="AG11" s="239"/>
      <c r="AH11" s="239"/>
      <c r="AI11" s="239"/>
      <c r="AJ11" s="239"/>
      <c r="AK11" s="239"/>
      <c r="AL11" s="239"/>
      <c r="AM11" s="239"/>
      <c r="AN11" s="239"/>
      <c r="AO11" s="239"/>
      <c r="AP11" s="239"/>
      <c r="AQ11" s="239"/>
      <c r="AR11" s="239"/>
      <c r="AS11" s="239"/>
      <c r="AT11" s="239"/>
      <c r="AU11" s="239"/>
      <c r="AV11" s="239"/>
      <c r="AW11" s="239"/>
      <c r="AX11" s="239"/>
      <c r="AY11" s="239"/>
      <c r="AZ11" s="239"/>
      <c r="BA11" s="239"/>
      <c r="BB11" s="239"/>
      <c r="BC11" s="239"/>
      <c r="BD11" s="239"/>
      <c r="BE11" s="239"/>
      <c r="BF11" s="239"/>
      <c r="BG11" s="239"/>
      <c r="BH11" s="239"/>
      <c r="BI11" s="239"/>
      <c r="BJ11" s="239"/>
      <c r="BK11" s="239"/>
      <c r="BL11" s="239"/>
      <c r="BM11" s="239"/>
      <c r="BN11" s="239"/>
      <c r="BO11" s="239"/>
      <c r="BP11" s="239"/>
      <c r="BQ11" s="239"/>
      <c r="BR11" s="239"/>
      <c r="BS11" s="239"/>
      <c r="BT11" s="239"/>
      <c r="BU11" s="239"/>
      <c r="BV11" s="239"/>
      <c r="BW11" s="239"/>
      <c r="BX11" s="239"/>
      <c r="BY11" s="239"/>
      <c r="BZ11" s="239"/>
      <c r="CA11" s="239"/>
      <c r="CB11" s="239"/>
      <c r="CC11" s="239"/>
      <c r="CD11" s="239"/>
      <c r="CE11" s="239"/>
      <c r="CF11" s="239"/>
      <c r="CG11" s="239"/>
      <c r="CH11" s="239"/>
      <c r="CI11" s="239"/>
      <c r="CJ11" s="239"/>
      <c r="CK11" s="239"/>
      <c r="CL11" s="239"/>
      <c r="CM11" s="239"/>
      <c r="CN11" s="239"/>
      <c r="CO11" s="239"/>
      <c r="CP11" s="239"/>
      <c r="CQ11" s="239"/>
      <c r="CR11" s="239"/>
      <c r="CS11" s="239"/>
      <c r="CT11" s="239"/>
      <c r="CU11" s="239"/>
      <c r="CV11" s="239"/>
      <c r="CW11" s="239"/>
      <c r="CX11" s="239"/>
      <c r="CY11" s="239"/>
      <c r="CZ11" s="239"/>
      <c r="DA11" s="239"/>
      <c r="DB11" s="239"/>
      <c r="DC11" s="239"/>
      <c r="DD11" s="239"/>
      <c r="DE11" s="239"/>
      <c r="DF11" s="239"/>
      <c r="DG11" s="239"/>
      <c r="DH11" s="239"/>
      <c r="DI11" s="239"/>
      <c r="DJ11" s="239"/>
      <c r="DK11" s="239"/>
      <c r="DL11" s="239"/>
      <c r="DM11" s="239"/>
      <c r="DN11" s="239"/>
      <c r="DO11" s="239"/>
      <c r="DP11" s="239"/>
      <c r="DQ11" s="239"/>
      <c r="DR11" s="239"/>
      <c r="DS11" s="239"/>
      <c r="DT11" s="239"/>
      <c r="DU11" s="239"/>
      <c r="DV11" s="239"/>
      <c r="DW11" s="239"/>
      <c r="DX11" s="239"/>
      <c r="DY11" s="239"/>
      <c r="DZ11" s="239"/>
      <c r="EA11" s="239"/>
      <c r="EB11" s="239"/>
      <c r="EC11" s="239"/>
      <c r="ED11" s="239"/>
      <c r="EE11" s="239"/>
      <c r="EF11" s="239"/>
      <c r="EG11" s="239"/>
      <c r="EH11" s="239"/>
      <c r="EI11" s="239"/>
      <c r="EJ11" s="239"/>
      <c r="EK11" s="239"/>
      <c r="EL11" s="239"/>
      <c r="EM11" s="239"/>
      <c r="EN11" s="239"/>
      <c r="EO11" s="239"/>
      <c r="EP11" s="239"/>
      <c r="EQ11" s="239"/>
      <c r="ER11" s="239"/>
      <c r="ES11" s="239"/>
      <c r="ET11" s="239"/>
      <c r="EU11" s="239"/>
      <c r="EV11" s="239"/>
      <c r="EW11" s="239"/>
      <c r="EX11" s="239"/>
      <c r="EY11" s="239"/>
      <c r="EZ11" s="239"/>
      <c r="FA11" s="239"/>
      <c r="FB11" s="239"/>
      <c r="FC11" s="239"/>
      <c r="FD11" s="239"/>
      <c r="FE11" s="239"/>
      <c r="FF11" s="239"/>
      <c r="FG11" s="239"/>
      <c r="FH11" s="239"/>
      <c r="FI11" s="239"/>
      <c r="FJ11" s="239"/>
      <c r="FK11" s="239"/>
      <c r="FL11" s="239"/>
      <c r="FM11" s="239"/>
      <c r="FN11" s="239"/>
      <c r="FO11" s="239"/>
      <c r="FP11" s="239"/>
      <c r="FQ11" s="239"/>
      <c r="FR11" s="239"/>
      <c r="FS11" s="239"/>
      <c r="FT11" s="239"/>
      <c r="FU11" s="239"/>
      <c r="FV11" s="239"/>
      <c r="FW11" s="239"/>
      <c r="FX11" s="239"/>
      <c r="FY11" s="239"/>
      <c r="FZ11" s="239"/>
      <c r="GA11" s="239"/>
      <c r="GB11" s="239"/>
      <c r="GC11" s="239"/>
      <c r="GD11" s="239"/>
      <c r="GE11" s="239"/>
      <c r="GF11" s="239"/>
      <c r="GG11" s="239"/>
      <c r="GH11" s="239"/>
      <c r="GI11" s="239"/>
      <c r="GJ11" s="239"/>
      <c r="GK11" s="239"/>
      <c r="GL11" s="239"/>
      <c r="GM11" s="239"/>
      <c r="GN11" s="239"/>
      <c r="GO11" s="239"/>
      <c r="GP11" s="239"/>
      <c r="GQ11" s="239"/>
      <c r="GR11" s="239"/>
      <c r="GS11" s="239"/>
      <c r="GT11" s="239"/>
      <c r="GU11" s="239"/>
      <c r="GV11" s="239"/>
      <c r="GW11" s="239"/>
      <c r="GX11" s="239"/>
      <c r="GY11" s="239"/>
      <c r="GZ11" s="239"/>
      <c r="HA11" s="239"/>
      <c r="HB11" s="239"/>
      <c r="HC11" s="239"/>
      <c r="HD11" s="239"/>
      <c r="HE11" s="239"/>
      <c r="HF11" s="239"/>
      <c r="HG11" s="239"/>
      <c r="HH11" s="239"/>
      <c r="HI11" s="239"/>
      <c r="HJ11" s="239"/>
      <c r="HK11" s="239"/>
      <c r="HL11" s="239"/>
      <c r="HM11" s="239"/>
      <c r="HN11" s="239"/>
      <c r="HO11" s="239"/>
      <c r="HP11" s="239"/>
      <c r="HQ11" s="239"/>
      <c r="HR11" s="239"/>
      <c r="HS11" s="239"/>
      <c r="HT11" s="239"/>
      <c r="HU11" s="239"/>
      <c r="HV11" s="239"/>
      <c r="HW11" s="239"/>
      <c r="HX11" s="239"/>
      <c r="HY11" s="239"/>
      <c r="HZ11" s="239"/>
      <c r="IA11" s="239"/>
      <c r="IB11" s="239"/>
      <c r="IC11" s="239"/>
      <c r="ID11" s="239"/>
      <c r="IE11" s="239"/>
      <c r="IF11" s="239"/>
      <c r="IG11" s="239"/>
      <c r="IH11" s="239"/>
      <c r="II11" s="239"/>
      <c r="IJ11" s="239"/>
      <c r="IK11" s="239"/>
      <c r="IL11" s="239"/>
      <c r="IM11" s="239"/>
      <c r="IN11" s="239"/>
      <c r="IO11" s="239"/>
      <c r="IP11" s="239"/>
      <c r="IQ11" s="239"/>
      <c r="IR11" s="239"/>
      <c r="IS11" s="239"/>
      <c r="IT11" s="239"/>
      <c r="IU11" s="239"/>
      <c r="IV11" s="239"/>
      <c r="IW11" s="239"/>
      <c r="IX11" s="239"/>
      <c r="IY11" s="239"/>
      <c r="IZ11" s="239"/>
      <c r="JA11" s="239"/>
      <c r="JB11" s="239"/>
      <c r="JC11" s="239"/>
      <c r="JD11" s="239"/>
      <c r="JE11" s="239"/>
      <c r="JF11" s="239"/>
      <c r="JG11" s="239"/>
      <c r="JH11" s="239"/>
      <c r="JI11" s="239"/>
      <c r="JJ11" s="239"/>
      <c r="JK11" s="239"/>
      <c r="JL11" s="239"/>
      <c r="JM11" s="239"/>
      <c r="JN11" s="239"/>
      <c r="JO11" s="239"/>
      <c r="JP11" s="239"/>
      <c r="JQ11" s="239"/>
      <c r="JR11" s="239"/>
      <c r="JS11" s="239"/>
      <c r="JT11" s="239"/>
      <c r="JU11" s="239"/>
      <c r="JV11" s="239"/>
      <c r="JW11" s="239"/>
      <c r="JX11" s="239"/>
      <c r="JY11" s="239"/>
      <c r="JZ11" s="239"/>
      <c r="KA11" s="239"/>
      <c r="KB11" s="239"/>
      <c r="KC11" s="239"/>
      <c r="KD11" s="239"/>
      <c r="KE11" s="239"/>
      <c r="KF11" s="239"/>
      <c r="KG11" s="239"/>
      <c r="KH11" s="239"/>
      <c r="KI11" s="239"/>
      <c r="KJ11" s="239"/>
      <c r="KK11" s="239"/>
      <c r="KL11" s="239"/>
      <c r="KM11" s="239"/>
      <c r="KN11" s="239"/>
      <c r="KO11" s="239"/>
      <c r="KP11" s="239"/>
      <c r="KQ11" s="239"/>
      <c r="KR11" s="239"/>
      <c r="KS11" s="239"/>
      <c r="KT11" s="239"/>
      <c r="KU11" s="239"/>
      <c r="KV11" s="239"/>
      <c r="KW11" s="239"/>
      <c r="KX11" s="239"/>
      <c r="KY11" s="239"/>
      <c r="KZ11" s="239"/>
      <c r="LA11" s="239"/>
      <c r="LB11" s="239"/>
      <c r="LC11" s="239"/>
      <c r="LD11" s="239"/>
      <c r="LE11" s="239"/>
      <c r="LF11" s="239"/>
      <c r="LG11" s="239"/>
      <c r="LH11" s="239"/>
      <c r="LI11" s="239"/>
      <c r="LJ11" s="239"/>
      <c r="LK11" s="239"/>
      <c r="LL11" s="239"/>
      <c r="LM11" s="239"/>
      <c r="LN11" s="239"/>
      <c r="LO11" s="239"/>
      <c r="LP11" s="239"/>
      <c r="LQ11" s="239"/>
      <c r="LR11" s="239"/>
      <c r="LS11" s="239"/>
      <c r="LT11" s="239"/>
      <c r="LU11" s="239"/>
      <c r="LV11" s="239"/>
      <c r="LW11" s="239"/>
      <c r="LX11" s="239"/>
      <c r="LY11" s="239"/>
      <c r="LZ11" s="239"/>
      <c r="MA11" s="239"/>
      <c r="MB11" s="239"/>
      <c r="MC11" s="239"/>
      <c r="MD11" s="239"/>
      <c r="ME11" s="239"/>
      <c r="MF11" s="239"/>
      <c r="MG11" s="239"/>
      <c r="MH11" s="239"/>
      <c r="MI11" s="239"/>
      <c r="MJ11" s="239"/>
      <c r="MK11" s="239"/>
      <c r="ML11" s="239"/>
      <c r="MM11" s="239"/>
      <c r="MN11" s="239"/>
      <c r="MO11" s="239"/>
      <c r="MP11" s="239"/>
      <c r="MQ11" s="239"/>
      <c r="MR11" s="239"/>
      <c r="MS11" s="239"/>
      <c r="MT11" s="239"/>
      <c r="MU11" s="239"/>
      <c r="MV11" s="239"/>
      <c r="MW11" s="239"/>
      <c r="MX11" s="239"/>
      <c r="MY11" s="239"/>
      <c r="MZ11" s="239"/>
      <c r="NA11" s="239"/>
      <c r="NB11" s="239"/>
      <c r="NC11" s="239"/>
      <c r="ND11" s="239"/>
      <c r="NE11" s="239"/>
      <c r="NF11" s="239"/>
      <c r="NG11" s="239"/>
      <c r="NH11" s="239"/>
      <c r="NI11" s="239"/>
      <c r="NJ11" s="239"/>
      <c r="NK11" s="239"/>
      <c r="NL11" s="239"/>
      <c r="NM11" s="239"/>
      <c r="NN11" s="239"/>
      <c r="NO11" s="239"/>
      <c r="NP11" s="239"/>
      <c r="NQ11" s="239"/>
      <c r="NR11" s="239"/>
      <c r="NS11" s="239"/>
      <c r="NT11" s="239"/>
      <c r="NU11" s="239"/>
      <c r="NV11" s="239"/>
      <c r="NW11" s="239"/>
      <c r="NX11" s="239"/>
      <c r="NY11" s="239"/>
      <c r="NZ11" s="239"/>
      <c r="OA11" s="239"/>
      <c r="OB11" s="239"/>
      <c r="OC11" s="239"/>
      <c r="OD11" s="239"/>
      <c r="OE11" s="239"/>
      <c r="OF11" s="239"/>
      <c r="OG11" s="239"/>
      <c r="OH11" s="239"/>
      <c r="OI11" s="239"/>
      <c r="OJ11" s="239"/>
      <c r="OK11" s="239"/>
      <c r="OL11" s="239"/>
      <c r="OM11" s="239"/>
      <c r="ON11" s="239"/>
      <c r="OO11" s="239"/>
      <c r="OP11" s="239"/>
      <c r="OQ11" s="239"/>
      <c r="OR11" s="239"/>
      <c r="OS11" s="239"/>
      <c r="OT11" s="239"/>
      <c r="OU11" s="239"/>
      <c r="OV11" s="239"/>
      <c r="OW11" s="239"/>
      <c r="OX11" s="239"/>
      <c r="OY11" s="239"/>
      <c r="OZ11" s="239"/>
      <c r="PA11" s="239"/>
      <c r="PB11" s="239"/>
      <c r="PC11" s="239"/>
      <c r="PD11" s="239"/>
      <c r="PE11" s="239"/>
      <c r="PF11" s="239"/>
      <c r="PG11" s="239"/>
      <c r="PH11" s="239"/>
      <c r="PI11" s="239"/>
      <c r="PJ11" s="239"/>
      <c r="PK11" s="239"/>
      <c r="PL11" s="239"/>
      <c r="PM11" s="239"/>
      <c r="PN11" s="239"/>
      <c r="PO11" s="239"/>
      <c r="PP11" s="239"/>
      <c r="PQ11" s="239"/>
      <c r="PR11" s="239"/>
      <c r="PS11" s="239"/>
      <c r="PT11" s="239"/>
      <c r="PU11" s="239"/>
      <c r="PV11" s="239"/>
      <c r="PW11" s="239"/>
      <c r="PX11" s="239"/>
      <c r="PY11" s="239"/>
      <c r="PZ11" s="239"/>
      <c r="QA11" s="239"/>
      <c r="QB11" s="239"/>
      <c r="QC11" s="239"/>
      <c r="QD11" s="239"/>
      <c r="QE11" s="239"/>
      <c r="QF11" s="239"/>
      <c r="QG11" s="239"/>
      <c r="QH11" s="239"/>
      <c r="QI11" s="239"/>
      <c r="QJ11" s="239"/>
      <c r="QK11" s="239"/>
      <c r="QL11" s="239"/>
      <c r="QM11" s="239"/>
      <c r="QN11" s="239"/>
      <c r="QO11" s="239"/>
      <c r="QP11" s="239"/>
      <c r="QQ11" s="239"/>
      <c r="QR11" s="239"/>
      <c r="QS11" s="239"/>
      <c r="QT11" s="239"/>
      <c r="QU11" s="239"/>
      <c r="QV11" s="239"/>
      <c r="QW11" s="239"/>
      <c r="QX11" s="239"/>
      <c r="QY11" s="239"/>
      <c r="QZ11" s="239"/>
      <c r="RA11" s="239"/>
      <c r="RB11" s="239"/>
      <c r="RC11" s="239"/>
      <c r="RD11" s="239"/>
      <c r="RE11" s="239"/>
      <c r="RF11" s="239"/>
      <c r="RG11" s="239"/>
      <c r="RH11" s="239"/>
      <c r="RI11" s="239"/>
      <c r="RJ11" s="239"/>
      <c r="RK11" s="239"/>
      <c r="RL11" s="239"/>
      <c r="RM11" s="239"/>
      <c r="RN11" s="239"/>
      <c r="RO11" s="239"/>
      <c r="RP11" s="239"/>
      <c r="RQ11" s="239"/>
      <c r="RR11" s="239"/>
      <c r="RS11" s="239"/>
      <c r="RT11" s="239"/>
      <c r="RU11" s="239"/>
      <c r="RV11" s="239"/>
      <c r="RW11" s="239"/>
      <c r="RX11" s="239"/>
      <c r="RY11" s="239"/>
      <c r="RZ11" s="239"/>
      <c r="SA11" s="239"/>
      <c r="SB11" s="239"/>
      <c r="SC11" s="239"/>
      <c r="SD11" s="239"/>
      <c r="SE11" s="239"/>
      <c r="SF11" s="239"/>
      <c r="SG11" s="239"/>
      <c r="SH11" s="239"/>
      <c r="SI11" s="239"/>
      <c r="SJ11" s="239"/>
      <c r="SK11" s="239"/>
      <c r="SL11" s="239"/>
      <c r="SM11" s="239"/>
      <c r="SN11" s="239"/>
      <c r="SO11" s="239"/>
      <c r="SP11" s="239"/>
      <c r="SQ11" s="239"/>
      <c r="SR11" s="239"/>
      <c r="SS11" s="239"/>
      <c r="ST11" s="239"/>
      <c r="SU11" s="239"/>
      <c r="SV11" s="239"/>
      <c r="SW11" s="239"/>
      <c r="SX11" s="239"/>
      <c r="SY11" s="239"/>
      <c r="SZ11" s="239"/>
      <c r="TA11" s="239"/>
      <c r="TB11" s="239"/>
      <c r="TC11" s="239"/>
      <c r="TD11" s="239"/>
      <c r="TE11" s="239"/>
      <c r="TF11" s="239"/>
      <c r="TG11" s="239"/>
      <c r="TH11" s="239"/>
      <c r="TI11" s="239"/>
      <c r="TJ11" s="239"/>
      <c r="TK11" s="239"/>
      <c r="TL11" s="239"/>
      <c r="TM11" s="239"/>
      <c r="TN11" s="239"/>
      <c r="TO11" s="239"/>
      <c r="TP11" s="239"/>
      <c r="TQ11" s="239"/>
      <c r="TR11" s="239"/>
      <c r="TS11" s="239"/>
      <c r="TT11" s="239"/>
      <c r="TU11" s="239"/>
      <c r="TV11" s="239"/>
      <c r="TW11" s="239"/>
      <c r="TX11" s="239"/>
      <c r="TY11" s="239"/>
      <c r="TZ11" s="239"/>
      <c r="UA11" s="239"/>
      <c r="UB11" s="239"/>
      <c r="UC11" s="239"/>
      <c r="UD11" s="239"/>
      <c r="UE11" s="239"/>
      <c r="UF11" s="239"/>
      <c r="UG11" s="239"/>
      <c r="UH11" s="239"/>
      <c r="UI11" s="239"/>
      <c r="UJ11" s="239"/>
      <c r="UK11" s="239"/>
      <c r="UL11" s="239"/>
      <c r="UM11" s="239"/>
      <c r="UN11" s="239"/>
      <c r="UO11" s="239"/>
      <c r="UP11" s="239"/>
      <c r="UQ11" s="239"/>
      <c r="UR11" s="239"/>
      <c r="US11" s="239"/>
      <c r="UT11" s="239"/>
      <c r="UU11" s="239"/>
      <c r="UV11" s="239"/>
      <c r="UW11" s="239"/>
      <c r="UX11" s="239"/>
      <c r="UY11" s="239"/>
      <c r="UZ11" s="239"/>
      <c r="VA11" s="239"/>
      <c r="VB11" s="239"/>
      <c r="VC11" s="239"/>
      <c r="VD11" s="239"/>
      <c r="VE11" s="239"/>
      <c r="VF11" s="239"/>
      <c r="VG11" s="239"/>
      <c r="VH11" s="239"/>
      <c r="VI11" s="239"/>
      <c r="VJ11" s="239"/>
      <c r="VK11" s="239"/>
      <c r="VL11" s="239"/>
      <c r="VM11" s="239"/>
      <c r="VN11" s="239"/>
      <c r="VO11" s="239"/>
      <c r="VP11" s="239"/>
      <c r="VQ11" s="239"/>
      <c r="VR11" s="239"/>
      <c r="VS11" s="239"/>
      <c r="VT11" s="239"/>
      <c r="VU11" s="239"/>
      <c r="VV11" s="239"/>
      <c r="VW11" s="239"/>
      <c r="VX11" s="239"/>
      <c r="VY11" s="239"/>
      <c r="VZ11" s="239"/>
      <c r="WA11" s="239"/>
      <c r="WB11" s="239"/>
      <c r="WC11" s="239"/>
      <c r="WD11" s="239"/>
      <c r="WE11" s="239"/>
      <c r="WF11" s="239"/>
      <c r="WG11" s="239"/>
      <c r="WH11" s="239"/>
      <c r="WI11" s="239"/>
      <c r="WJ11" s="239"/>
      <c r="WK11" s="239"/>
      <c r="WL11" s="239"/>
      <c r="WM11" s="239"/>
      <c r="WN11" s="239"/>
      <c r="WO11" s="239"/>
      <c r="WP11" s="239"/>
      <c r="WQ11" s="239"/>
      <c r="WR11" s="239"/>
      <c r="WS11" s="239"/>
      <c r="WT11" s="239"/>
      <c r="WU11" s="239"/>
      <c r="WV11" s="239"/>
      <c r="WW11" s="239"/>
      <c r="WX11" s="239"/>
      <c r="WY11" s="239"/>
      <c r="WZ11" s="239"/>
      <c r="XA11" s="239"/>
      <c r="XB11" s="239"/>
      <c r="XC11" s="239"/>
      <c r="XD11" s="239"/>
      <c r="XE11" s="239"/>
      <c r="XF11" s="239"/>
      <c r="XG11" s="239"/>
      <c r="XH11" s="239"/>
      <c r="XI11" s="239"/>
      <c r="XJ11" s="239"/>
      <c r="XK11" s="239"/>
      <c r="XL11" s="239"/>
      <c r="XM11" s="239"/>
      <c r="XN11" s="239"/>
      <c r="XO11" s="239"/>
      <c r="XP11" s="239"/>
      <c r="XQ11" s="239"/>
      <c r="XR11" s="239"/>
      <c r="XS11" s="239"/>
      <c r="XT11" s="239"/>
      <c r="XU11" s="239"/>
      <c r="XV11" s="239"/>
      <c r="XW11" s="239"/>
      <c r="XX11" s="239"/>
      <c r="XY11" s="239"/>
      <c r="XZ11" s="239"/>
      <c r="YA11" s="239"/>
      <c r="YB11" s="239"/>
      <c r="YC11" s="239"/>
      <c r="YD11" s="239"/>
      <c r="YE11" s="239"/>
      <c r="YF11" s="239"/>
      <c r="YG11" s="239"/>
      <c r="YH11" s="239"/>
      <c r="YI11" s="239"/>
      <c r="YJ11" s="239"/>
      <c r="YK11" s="239"/>
      <c r="YL11" s="239"/>
      <c r="YM11" s="239"/>
      <c r="YN11" s="239"/>
      <c r="YO11" s="239"/>
      <c r="YP11" s="239"/>
      <c r="YQ11" s="239"/>
      <c r="YR11" s="239"/>
      <c r="YS11" s="239"/>
      <c r="YT11" s="239"/>
      <c r="YU11" s="239"/>
      <c r="YV11" s="239"/>
      <c r="YW11" s="239"/>
      <c r="YX11" s="239"/>
      <c r="YY11" s="239"/>
      <c r="YZ11" s="239"/>
      <c r="ZA11" s="239"/>
      <c r="ZB11" s="239"/>
      <c r="ZC11" s="239"/>
      <c r="ZD11" s="239"/>
      <c r="ZE11" s="239"/>
      <c r="ZF11" s="239"/>
      <c r="ZG11" s="239"/>
      <c r="ZH11" s="239"/>
      <c r="ZI11" s="239"/>
      <c r="ZJ11" s="239"/>
      <c r="ZK11" s="239"/>
      <c r="ZL11" s="239"/>
      <c r="ZM11" s="239"/>
      <c r="ZN11" s="239"/>
      <c r="ZO11" s="239"/>
      <c r="ZP11" s="239"/>
      <c r="ZQ11" s="239"/>
      <c r="ZR11" s="239"/>
      <c r="ZS11" s="239"/>
      <c r="ZT11" s="239"/>
      <c r="ZU11" s="239"/>
      <c r="ZV11" s="239"/>
      <c r="ZW11" s="239"/>
      <c r="ZX11" s="239"/>
      <c r="ZY11" s="239"/>
      <c r="ZZ11" s="239"/>
      <c r="AAA11" s="239"/>
      <c r="AAB11" s="239"/>
      <c r="AAC11" s="239"/>
      <c r="AAD11" s="239"/>
      <c r="AAE11" s="239"/>
      <c r="AAF11" s="239"/>
      <c r="AAG11" s="239"/>
      <c r="AAH11" s="239"/>
      <c r="AAI11" s="239"/>
      <c r="AAJ11" s="239"/>
      <c r="AAK11" s="239"/>
      <c r="AAL11" s="239"/>
      <c r="AAM11" s="239"/>
      <c r="AAN11" s="239"/>
      <c r="AAO11" s="239"/>
      <c r="AAP11" s="239"/>
      <c r="AAQ11" s="239"/>
      <c r="AAR11" s="239"/>
      <c r="AAS11" s="239"/>
      <c r="AAT11" s="239"/>
      <c r="AAU11" s="239"/>
      <c r="AAV11" s="239"/>
      <c r="AAW11" s="239"/>
      <c r="AAX11" s="239"/>
      <c r="AAY11" s="239"/>
      <c r="AAZ11" s="239"/>
      <c r="ABA11" s="239"/>
      <c r="ABB11" s="239"/>
      <c r="ABC11" s="239"/>
      <c r="ABD11" s="239"/>
      <c r="ABE11" s="239"/>
      <c r="ABF11" s="239"/>
      <c r="ABG11" s="239"/>
      <c r="ABH11" s="239"/>
      <c r="ABI11" s="239"/>
      <c r="ABJ11" s="239"/>
      <c r="ABK11" s="239"/>
      <c r="ABL11" s="239"/>
      <c r="ABM11" s="239"/>
      <c r="ABN11" s="239"/>
      <c r="ABO11" s="239"/>
      <c r="ABP11" s="239"/>
      <c r="ABQ11" s="239"/>
      <c r="ABR11" s="239"/>
      <c r="ABS11" s="239"/>
      <c r="ABT11" s="239"/>
      <c r="ABU11" s="239"/>
      <c r="ABV11" s="239"/>
      <c r="ABW11" s="239"/>
      <c r="ABX11" s="239"/>
      <c r="ABY11" s="239"/>
      <c r="ABZ11" s="239"/>
      <c r="ACA11" s="239"/>
      <c r="ACB11" s="239"/>
      <c r="ACC11" s="239"/>
      <c r="ACD11" s="239"/>
      <c r="ACE11" s="239"/>
      <c r="ACF11" s="239"/>
      <c r="ACG11" s="239"/>
      <c r="ACH11" s="239"/>
      <c r="ACI11" s="239"/>
      <c r="ACJ11" s="239"/>
      <c r="ACK11" s="239"/>
      <c r="ACL11" s="239"/>
      <c r="ACM11" s="239"/>
      <c r="ACN11" s="239"/>
      <c r="ACO11" s="239"/>
      <c r="ACP11" s="239"/>
      <c r="ACQ11" s="239"/>
      <c r="ACR11" s="239"/>
      <c r="ACS11" s="239"/>
      <c r="ACT11" s="239"/>
      <c r="ACU11" s="239"/>
      <c r="ACV11" s="239"/>
      <c r="ACW11" s="239"/>
      <c r="ACX11" s="239"/>
      <c r="ACY11" s="239"/>
      <c r="ACZ11" s="239"/>
      <c r="ADA11" s="239"/>
      <c r="ADB11" s="239"/>
      <c r="ADC11" s="239"/>
      <c r="ADD11" s="239"/>
      <c r="ADE11" s="239"/>
      <c r="ADF11" s="239"/>
      <c r="ADG11" s="239"/>
      <c r="ADH11" s="239"/>
      <c r="ADI11" s="239"/>
      <c r="ADJ11" s="239"/>
      <c r="ADK11" s="239"/>
      <c r="ADL11" s="239"/>
      <c r="ADM11" s="239"/>
      <c r="ADN11" s="239"/>
      <c r="ADO11" s="239"/>
      <c r="ADP11" s="239"/>
      <c r="ADQ11" s="239"/>
      <c r="ADR11" s="239"/>
      <c r="ADS11" s="239"/>
      <c r="ADT11" s="239"/>
      <c r="ADU11" s="239"/>
      <c r="ADV11" s="239"/>
      <c r="ADW11" s="239"/>
      <c r="ADX11" s="239"/>
      <c r="ADY11" s="239"/>
      <c r="ADZ11" s="239"/>
      <c r="AEA11" s="239"/>
      <c r="AEB11" s="239"/>
      <c r="AEC11" s="239"/>
      <c r="AED11" s="239"/>
      <c r="AEE11" s="239"/>
      <c r="AEF11" s="239"/>
      <c r="AEG11" s="239"/>
      <c r="AEH11" s="239"/>
      <c r="AEI11" s="239"/>
      <c r="AEJ11" s="239"/>
      <c r="AEK11" s="239"/>
      <c r="AEL11" s="239"/>
      <c r="AEM11" s="239"/>
      <c r="AEN11" s="239"/>
      <c r="AEO11" s="239"/>
      <c r="AEP11" s="239"/>
      <c r="AEQ11" s="239"/>
      <c r="AER11" s="239"/>
      <c r="AES11" s="239"/>
      <c r="AET11" s="239"/>
      <c r="AEU11" s="239"/>
      <c r="AEV11" s="239"/>
      <c r="AEW11" s="239"/>
      <c r="AEX11" s="239"/>
      <c r="AEY11" s="239"/>
      <c r="AEZ11" s="239"/>
      <c r="AFA11" s="239"/>
      <c r="AFB11" s="239"/>
      <c r="AFC11" s="239"/>
      <c r="AFD11" s="239"/>
      <c r="AFE11" s="239"/>
      <c r="AFF11" s="239"/>
      <c r="AFG11" s="239"/>
      <c r="AFH11" s="239"/>
      <c r="AFI11" s="239"/>
      <c r="AFJ11" s="239"/>
      <c r="AFK11" s="239"/>
      <c r="AFL11" s="239"/>
      <c r="AFM11" s="239"/>
      <c r="AFN11" s="239"/>
      <c r="AFO11" s="239"/>
      <c r="AFP11" s="239"/>
      <c r="AFQ11" s="239"/>
      <c r="AFR11" s="239"/>
      <c r="AFS11" s="239"/>
      <c r="AFT11" s="239"/>
      <c r="AFU11" s="239"/>
      <c r="AFV11" s="239"/>
      <c r="AFW11" s="239"/>
      <c r="AFX11" s="239"/>
      <c r="AFY11" s="239"/>
      <c r="AFZ11" s="239"/>
      <c r="AGA11" s="239"/>
      <c r="AGB11" s="239"/>
      <c r="AGC11" s="239"/>
      <c r="AGD11" s="239"/>
      <c r="AGE11" s="239"/>
      <c r="AGF11" s="239"/>
      <c r="AGG11" s="239"/>
      <c r="AGH11" s="239"/>
      <c r="AGI11" s="239"/>
      <c r="AGJ11" s="239"/>
      <c r="AGK11" s="239"/>
      <c r="AGL11" s="239"/>
      <c r="AGM11" s="239"/>
      <c r="AGN11" s="239"/>
      <c r="AGO11" s="239"/>
      <c r="AGP11" s="239"/>
      <c r="AGQ11" s="239"/>
      <c r="AGR11" s="239"/>
      <c r="AGS11" s="239"/>
      <c r="AGT11" s="239"/>
      <c r="AGU11" s="239"/>
      <c r="AGV11" s="239"/>
      <c r="AGW11" s="239"/>
      <c r="AGX11" s="239"/>
      <c r="AGY11" s="239"/>
      <c r="AGZ11" s="239"/>
      <c r="AHA11" s="239"/>
      <c r="AHB11" s="239"/>
      <c r="AHC11" s="239"/>
      <c r="AHD11" s="239"/>
      <c r="AHE11" s="239"/>
      <c r="AHF11" s="239"/>
      <c r="AHG11" s="239"/>
      <c r="AHH11" s="239"/>
      <c r="AHI11" s="239"/>
      <c r="AHJ11" s="239"/>
      <c r="AHK11" s="239"/>
      <c r="AHL11" s="239"/>
      <c r="AHM11" s="239"/>
      <c r="AHN11" s="239"/>
      <c r="AHO11" s="239"/>
      <c r="AHP11" s="239"/>
      <c r="AHQ11" s="239"/>
      <c r="AHR11" s="239"/>
      <c r="AHS11" s="239"/>
      <c r="AHT11" s="239"/>
      <c r="AHU11" s="239"/>
      <c r="AHV11" s="239"/>
      <c r="AHW11" s="239"/>
      <c r="AHX11" s="239"/>
      <c r="AHY11" s="239"/>
      <c r="AHZ11" s="239"/>
      <c r="AIA11" s="239"/>
      <c r="AIB11" s="239"/>
      <c r="AIC11" s="239"/>
      <c r="AID11" s="239"/>
      <c r="AIE11" s="239"/>
      <c r="AIF11" s="239"/>
      <c r="AIG11" s="239"/>
      <c r="AIH11" s="239"/>
      <c r="AII11" s="239"/>
      <c r="AIJ11" s="239"/>
      <c r="AIK11" s="239"/>
      <c r="AIL11" s="239"/>
      <c r="AIM11" s="239"/>
      <c r="AIN11" s="239"/>
      <c r="AIO11" s="239"/>
      <c r="AIP11" s="239"/>
      <c r="AIQ11" s="239"/>
      <c r="AIR11" s="239"/>
      <c r="AIS11" s="239"/>
      <c r="AIT11" s="239"/>
      <c r="AIU11" s="239"/>
      <c r="AIV11" s="239"/>
      <c r="AIW11" s="239"/>
      <c r="AIX11" s="239"/>
      <c r="AIY11" s="239"/>
      <c r="AIZ11" s="239"/>
      <c r="AJA11" s="239"/>
      <c r="AJB11" s="239"/>
      <c r="AJC11" s="239"/>
      <c r="AJD11" s="239"/>
      <c r="AJE11" s="239"/>
      <c r="AJF11" s="239"/>
      <c r="AJG11" s="239"/>
      <c r="AJH11" s="239"/>
      <c r="AJI11" s="239"/>
      <c r="AJJ11" s="239"/>
      <c r="AJK11" s="239"/>
      <c r="AJL11" s="239"/>
      <c r="AJM11" s="239"/>
      <c r="AJN11" s="239"/>
      <c r="AJO11" s="239"/>
      <c r="AJP11" s="239"/>
      <c r="AJQ11" s="239"/>
      <c r="AJR11" s="239"/>
      <c r="AJS11" s="239"/>
      <c r="AJT11" s="239"/>
      <c r="AJU11" s="239"/>
      <c r="AJV11" s="239"/>
      <c r="AJW11" s="239"/>
      <c r="AJX11" s="239"/>
      <c r="AJY11" s="239"/>
      <c r="AJZ11" s="239"/>
      <c r="AKA11" s="239"/>
      <c r="AKB11" s="239"/>
      <c r="AKC11" s="239"/>
      <c r="AKD11" s="239"/>
      <c r="AKE11" s="239"/>
      <c r="AKF11" s="239"/>
      <c r="AKG11" s="239"/>
      <c r="AKH11" s="239"/>
      <c r="AKI11" s="239"/>
      <c r="AKJ11" s="239"/>
      <c r="AKK11" s="239"/>
      <c r="AKL11" s="239"/>
      <c r="AKM11" s="239"/>
      <c r="AKN11" s="239"/>
      <c r="AKO11" s="239"/>
      <c r="AKP11" s="239"/>
      <c r="AKQ11" s="239"/>
      <c r="AKR11" s="239"/>
      <c r="AKS11" s="239"/>
      <c r="AKT11" s="239"/>
      <c r="AKU11" s="239"/>
      <c r="AKV11" s="239"/>
      <c r="AKW11" s="239"/>
      <c r="AKX11" s="239"/>
      <c r="AKY11" s="239"/>
      <c r="AKZ11" s="239"/>
      <c r="ALA11" s="239"/>
      <c r="ALB11" s="239"/>
      <c r="ALC11" s="239"/>
      <c r="ALD11" s="239"/>
      <c r="ALE11" s="239"/>
      <c r="ALF11" s="239"/>
      <c r="ALG11" s="239"/>
      <c r="ALH11" s="239"/>
      <c r="ALI11" s="239"/>
      <c r="ALJ11" s="239"/>
      <c r="ALK11" s="239"/>
      <c r="ALL11" s="239"/>
      <c r="ALM11" s="239"/>
      <c r="ALN11" s="239"/>
      <c r="ALO11" s="239"/>
      <c r="ALP11" s="239"/>
      <c r="ALQ11" s="239"/>
      <c r="ALR11" s="239"/>
      <c r="ALS11" s="239"/>
      <c r="ALT11" s="239"/>
      <c r="ALU11" s="239"/>
      <c r="ALV11" s="239"/>
      <c r="ALW11" s="239"/>
      <c r="ALX11" s="239"/>
      <c r="ALY11" s="239"/>
      <c r="ALZ11" s="239"/>
      <c r="AMA11" s="239"/>
      <c r="AMB11" s="239"/>
      <c r="AMC11" s="239"/>
      <c r="AMD11" s="239"/>
      <c r="AME11" s="239"/>
      <c r="AMF11" s="239"/>
      <c r="AMG11" s="239"/>
      <c r="AMH11" s="239"/>
      <c r="AMI11" s="239"/>
      <c r="AMJ11" s="239"/>
      <c r="AMK11" s="239"/>
      <c r="AML11" s="239"/>
      <c r="AMM11" s="239"/>
      <c r="AMN11" s="239"/>
      <c r="AMO11" s="239"/>
      <c r="AMP11" s="239"/>
      <c r="AMQ11" s="239"/>
      <c r="AMR11" s="239"/>
      <c r="AMS11" s="239"/>
      <c r="AMT11" s="239"/>
      <c r="AMU11" s="239"/>
      <c r="AMV11" s="239"/>
      <c r="AMW11" s="239"/>
      <c r="AMX11" s="239"/>
      <c r="AMY11" s="239"/>
      <c r="AMZ11" s="239"/>
      <c r="ANA11" s="239"/>
      <c r="ANB11" s="239"/>
      <c r="ANC11" s="239"/>
      <c r="AND11" s="239"/>
      <c r="ANE11" s="239"/>
      <c r="ANF11" s="239"/>
      <c r="ANG11" s="239"/>
      <c r="ANH11" s="239"/>
      <c r="ANI11" s="239"/>
      <c r="ANJ11" s="239"/>
      <c r="ANK11" s="239"/>
      <c r="ANL11" s="239"/>
      <c r="ANM11" s="239"/>
      <c r="ANN11" s="239"/>
      <c r="ANO11" s="239"/>
      <c r="ANP11" s="239"/>
      <c r="ANQ11" s="239"/>
      <c r="ANR11" s="239"/>
      <c r="ANS11" s="239"/>
      <c r="ANT11" s="239"/>
      <c r="ANU11" s="239"/>
      <c r="ANV11" s="239"/>
      <c r="ANW11" s="239"/>
      <c r="ANX11" s="239"/>
      <c r="ANY11" s="239"/>
      <c r="ANZ11" s="239"/>
      <c r="AOA11" s="239"/>
      <c r="AOB11" s="239"/>
      <c r="AOC11" s="239"/>
      <c r="AOD11" s="239"/>
      <c r="AOE11" s="239"/>
      <c r="AOF11" s="239"/>
      <c r="AOG11" s="239"/>
      <c r="AOH11" s="239"/>
      <c r="AOI11" s="239"/>
      <c r="AOJ11" s="239"/>
      <c r="AOK11" s="239"/>
      <c r="AOL11" s="239"/>
      <c r="AOM11" s="239"/>
      <c r="AON11" s="239"/>
      <c r="AOO11" s="239"/>
      <c r="AOP11" s="239"/>
      <c r="AOQ11" s="239"/>
      <c r="AOR11" s="239"/>
      <c r="AOS11" s="239"/>
      <c r="AOT11" s="239"/>
      <c r="AOU11" s="239"/>
      <c r="AOV11" s="239"/>
      <c r="AOW11" s="239"/>
      <c r="AOX11" s="239"/>
      <c r="AOY11" s="239"/>
      <c r="AOZ11" s="239"/>
      <c r="APA11" s="239"/>
      <c r="APB11" s="239"/>
      <c r="APC11" s="239"/>
      <c r="APD11" s="239"/>
      <c r="APE11" s="239"/>
      <c r="APF11" s="239"/>
      <c r="APG11" s="239"/>
      <c r="APH11" s="239"/>
      <c r="API11" s="239"/>
      <c r="APJ11" s="239"/>
      <c r="APK11" s="239"/>
      <c r="APL11" s="239"/>
      <c r="APM11" s="239"/>
      <c r="APN11" s="239"/>
      <c r="APO11" s="239"/>
      <c r="APP11" s="239"/>
      <c r="APQ11" s="239"/>
      <c r="APR11" s="239"/>
      <c r="APS11" s="239"/>
      <c r="APT11" s="239"/>
      <c r="APU11" s="239"/>
      <c r="APV11" s="239"/>
      <c r="APW11" s="239"/>
      <c r="APX11" s="239"/>
      <c r="APY11" s="239"/>
      <c r="APZ11" s="239"/>
      <c r="AQA11" s="239"/>
      <c r="AQB11" s="239"/>
      <c r="AQC11" s="239"/>
      <c r="AQD11" s="239"/>
      <c r="AQE11" s="239"/>
      <c r="AQF11" s="239"/>
      <c r="AQG11" s="239"/>
      <c r="AQH11" s="239"/>
      <c r="AQI11" s="239"/>
      <c r="AQJ11" s="239"/>
      <c r="AQK11" s="239"/>
      <c r="AQL11" s="239"/>
      <c r="AQM11" s="239"/>
      <c r="AQN11" s="239"/>
      <c r="AQO11" s="239"/>
      <c r="AQP11" s="239"/>
      <c r="AQQ11" s="239"/>
      <c r="AQR11" s="239"/>
      <c r="AQS11" s="239"/>
      <c r="AQT11" s="239"/>
      <c r="AQU11" s="239"/>
      <c r="AQV11" s="239"/>
      <c r="AQW11" s="239"/>
      <c r="AQX11" s="239"/>
      <c r="AQY11" s="239"/>
      <c r="AQZ11" s="239"/>
      <c r="ARA11" s="239"/>
      <c r="ARB11" s="239"/>
      <c r="ARC11" s="239"/>
      <c r="ARD11" s="239"/>
      <c r="ARE11" s="239"/>
      <c r="ARF11" s="239"/>
      <c r="ARG11" s="239"/>
      <c r="ARH11" s="239"/>
      <c r="ARI11" s="239"/>
      <c r="ARJ11" s="239"/>
      <c r="ARK11" s="239"/>
      <c r="ARL11" s="239"/>
      <c r="ARM11" s="239"/>
      <c r="ARN11" s="239"/>
      <c r="ARO11" s="239"/>
      <c r="ARP11" s="239"/>
      <c r="ARQ11" s="239"/>
      <c r="ARR11" s="239"/>
      <c r="ARS11" s="239"/>
      <c r="ART11" s="239"/>
      <c r="ARU11" s="239"/>
      <c r="ARV11" s="239"/>
      <c r="ARW11" s="239"/>
      <c r="ARX11" s="239"/>
      <c r="ARY11" s="239"/>
      <c r="ARZ11" s="239"/>
      <c r="ASA11" s="239"/>
      <c r="ASB11" s="239"/>
      <c r="ASC11" s="239"/>
      <c r="ASD11" s="239"/>
      <c r="ASE11" s="239"/>
      <c r="ASF11" s="239"/>
      <c r="ASG11" s="239"/>
      <c r="ASH11" s="239"/>
      <c r="ASI11" s="239"/>
      <c r="ASJ11" s="239"/>
      <c r="ASK11" s="239"/>
      <c r="ASL11" s="239"/>
      <c r="ASM11" s="239"/>
      <c r="ASN11" s="239"/>
      <c r="ASO11" s="239"/>
      <c r="ASP11" s="239"/>
      <c r="ASQ11" s="239"/>
      <c r="ASR11" s="239"/>
      <c r="ASS11" s="239"/>
      <c r="AST11" s="239"/>
      <c r="ASU11" s="239"/>
      <c r="ASV11" s="239"/>
      <c r="ASW11" s="239"/>
      <c r="ASX11" s="239"/>
      <c r="ASY11" s="239"/>
      <c r="ASZ11" s="239"/>
      <c r="ATA11" s="239"/>
      <c r="ATB11" s="239"/>
      <c r="ATC11" s="239"/>
      <c r="ATD11" s="239"/>
      <c r="ATE11" s="239"/>
      <c r="ATF11" s="239"/>
      <c r="ATG11" s="239"/>
      <c r="ATH11" s="239"/>
      <c r="ATI11" s="239"/>
      <c r="ATJ11" s="239"/>
      <c r="ATK11" s="239"/>
      <c r="ATL11" s="239"/>
      <c r="ATM11" s="239"/>
      <c r="ATN11" s="239"/>
      <c r="ATO11" s="239"/>
      <c r="ATP11" s="239"/>
      <c r="ATQ11" s="239"/>
      <c r="ATR11" s="239"/>
      <c r="ATS11" s="239"/>
      <c r="ATT11" s="239"/>
      <c r="ATU11" s="239"/>
      <c r="ATV11" s="239"/>
      <c r="ATW11" s="239"/>
      <c r="ATX11" s="239"/>
      <c r="ATY11" s="239"/>
      <c r="ATZ11" s="239"/>
      <c r="AUA11" s="239"/>
      <c r="AUB11" s="239"/>
      <c r="AUC11" s="239"/>
      <c r="AUD11" s="239"/>
      <c r="AUE11" s="239"/>
      <c r="AUF11" s="239"/>
      <c r="AUG11" s="239"/>
      <c r="AUH11" s="239"/>
      <c r="AUI11" s="239"/>
      <c r="AUJ11" s="239"/>
      <c r="AUK11" s="239"/>
      <c r="AUL11" s="239"/>
      <c r="AUM11" s="239"/>
      <c r="AUN11" s="239"/>
      <c r="AUO11" s="239"/>
      <c r="AUP11" s="239"/>
      <c r="AUQ11" s="239"/>
      <c r="AUR11" s="239"/>
      <c r="AUS11" s="239"/>
      <c r="AUT11" s="239"/>
      <c r="AUU11" s="239"/>
      <c r="AUV11" s="239"/>
      <c r="AUW11" s="239"/>
      <c r="AUX11" s="239"/>
      <c r="AUY11" s="239"/>
      <c r="AUZ11" s="239"/>
      <c r="AVA11" s="239"/>
      <c r="AVB11" s="239"/>
      <c r="AVC11" s="239"/>
      <c r="AVD11" s="239"/>
      <c r="AVE11" s="239"/>
      <c r="AVF11" s="239"/>
      <c r="AVG11" s="239"/>
      <c r="AVH11" s="239"/>
      <c r="AVI11" s="239"/>
      <c r="AVJ11" s="239"/>
      <c r="AVK11" s="239"/>
      <c r="AVL11" s="239"/>
      <c r="AVM11" s="239"/>
      <c r="AVN11" s="239"/>
      <c r="AVO11" s="239"/>
      <c r="AVP11" s="239"/>
      <c r="AVQ11" s="239"/>
      <c r="AVR11" s="239"/>
      <c r="AVS11" s="239"/>
      <c r="AVT11" s="239"/>
      <c r="AVU11" s="239"/>
      <c r="AVV11" s="239"/>
      <c r="AVW11" s="239"/>
      <c r="AVX11" s="239"/>
      <c r="AVY11" s="239"/>
      <c r="AVZ11" s="239"/>
      <c r="AWA11" s="239"/>
      <c r="AWB11" s="239"/>
      <c r="AWC11" s="239"/>
      <c r="AWD11" s="239"/>
      <c r="AWE11" s="239"/>
      <c r="AWF11" s="239"/>
      <c r="AWG11" s="239"/>
      <c r="AWH11" s="239"/>
      <c r="AWI11" s="239"/>
      <c r="AWJ11" s="239"/>
      <c r="AWK11" s="239"/>
      <c r="AWL11" s="239"/>
      <c r="AWM11" s="239"/>
      <c r="AWN11" s="239"/>
      <c r="AWO11" s="239"/>
      <c r="AWP11" s="239"/>
      <c r="AWQ11" s="239"/>
      <c r="AWR11" s="239"/>
      <c r="AWS11" s="239"/>
      <c r="AWT11" s="239"/>
      <c r="AWU11" s="239"/>
      <c r="AWV11" s="239"/>
      <c r="AWW11" s="239"/>
      <c r="AWX11" s="239"/>
      <c r="AWY11" s="239"/>
      <c r="AWZ11" s="239"/>
      <c r="AXA11" s="239"/>
      <c r="AXB11" s="239"/>
      <c r="AXC11" s="239"/>
      <c r="AXD11" s="239"/>
      <c r="AXE11" s="239"/>
      <c r="AXF11" s="239"/>
      <c r="AXG11" s="239"/>
      <c r="AXH11" s="239"/>
      <c r="AXI11" s="239"/>
      <c r="AXJ11" s="239"/>
      <c r="AXK11" s="239"/>
      <c r="AXL11" s="239"/>
      <c r="AXM11" s="239"/>
      <c r="AXN11" s="239"/>
      <c r="AXO11" s="239"/>
      <c r="AXP11" s="239"/>
      <c r="AXQ11" s="239"/>
      <c r="AXR11" s="239"/>
      <c r="AXS11" s="239"/>
      <c r="AXT11" s="239"/>
      <c r="AXU11" s="239"/>
      <c r="AXV11" s="239"/>
      <c r="AXW11" s="239"/>
      <c r="AXX11" s="239"/>
      <c r="AXY11" s="239"/>
      <c r="AXZ11" s="239"/>
      <c r="AYA11" s="239"/>
      <c r="AYB11" s="239"/>
      <c r="AYC11" s="239"/>
      <c r="AYD11" s="239"/>
      <c r="AYE11" s="239"/>
      <c r="AYF11" s="239"/>
      <c r="AYG11" s="239"/>
      <c r="AYH11" s="239"/>
      <c r="AYI11" s="239"/>
      <c r="AYJ11" s="239"/>
      <c r="AYK11" s="239"/>
      <c r="AYL11" s="239"/>
      <c r="AYM11" s="239"/>
      <c r="AYN11" s="239"/>
      <c r="AYO11" s="239"/>
      <c r="AYP11" s="239"/>
      <c r="AYQ11" s="239"/>
      <c r="AYR11" s="239"/>
      <c r="AYS11" s="239"/>
      <c r="AYT11" s="239"/>
      <c r="AYU11" s="239"/>
      <c r="AYV11" s="239"/>
      <c r="AYW11" s="239"/>
      <c r="AYX11" s="239"/>
      <c r="AYY11" s="239"/>
      <c r="AYZ11" s="239"/>
      <c r="AZA11" s="239"/>
      <c r="AZB11" s="239"/>
      <c r="AZC11" s="239"/>
      <c r="AZD11" s="239"/>
      <c r="AZE11" s="239"/>
      <c r="AZF11" s="239"/>
      <c r="AZG11" s="239"/>
      <c r="AZH11" s="239"/>
      <c r="AZI11" s="239"/>
      <c r="AZJ11" s="239"/>
      <c r="AZK11" s="239"/>
      <c r="AZL11" s="239"/>
      <c r="AZM11" s="239"/>
      <c r="AZN11" s="239"/>
      <c r="AZO11" s="239"/>
      <c r="AZP11" s="239"/>
      <c r="AZQ11" s="239"/>
      <c r="AZR11" s="239"/>
      <c r="AZS11" s="239"/>
      <c r="AZT11" s="239"/>
      <c r="AZU11" s="239"/>
      <c r="AZV11" s="239"/>
      <c r="AZW11" s="239"/>
      <c r="AZX11" s="239"/>
      <c r="AZY11" s="239"/>
      <c r="AZZ11" s="239"/>
      <c r="BAA11" s="239"/>
      <c r="BAB11" s="239"/>
      <c r="BAC11" s="239"/>
      <c r="BAD11" s="239"/>
      <c r="BAE11" s="239"/>
      <c r="BAF11" s="239"/>
      <c r="BAG11" s="239"/>
      <c r="BAH11" s="239"/>
      <c r="BAI11" s="239"/>
      <c r="BAJ11" s="239"/>
      <c r="BAK11" s="239"/>
      <c r="BAL11" s="239"/>
      <c r="BAM11" s="239"/>
      <c r="BAN11" s="239"/>
      <c r="BAO11" s="239"/>
      <c r="BAP11" s="239"/>
      <c r="BAQ11" s="239"/>
      <c r="BAR11" s="239"/>
      <c r="BAS11" s="239"/>
      <c r="BAT11" s="239"/>
      <c r="BAU11" s="239"/>
      <c r="BAV11" s="239"/>
      <c r="BAW11" s="239"/>
      <c r="BAX11" s="239"/>
      <c r="BAY11" s="239"/>
      <c r="BAZ11" s="239"/>
      <c r="BBA11" s="239"/>
      <c r="BBB11" s="239"/>
      <c r="BBC11" s="239"/>
      <c r="BBD11" s="239"/>
      <c r="BBE11" s="239"/>
      <c r="BBF11" s="239"/>
      <c r="BBG11" s="239"/>
      <c r="BBH11" s="239"/>
      <c r="BBI11" s="239"/>
      <c r="BBJ11" s="239"/>
      <c r="BBK11" s="239"/>
      <c r="BBL11" s="239"/>
      <c r="BBM11" s="239"/>
      <c r="BBN11" s="239"/>
      <c r="BBO11" s="239"/>
      <c r="BBP11" s="239"/>
      <c r="BBQ11" s="239"/>
      <c r="BBR11" s="239"/>
      <c r="BBS11" s="239"/>
      <c r="BBT11" s="239"/>
      <c r="BBU11" s="239"/>
      <c r="BBV11" s="239"/>
      <c r="BBW11" s="239"/>
      <c r="BBX11" s="239"/>
      <c r="BBY11" s="239"/>
      <c r="BBZ11" s="239"/>
      <c r="BCA11" s="239"/>
      <c r="BCB11" s="239"/>
      <c r="BCC11" s="239"/>
      <c r="BCD11" s="239"/>
      <c r="BCE11" s="239"/>
      <c r="BCF11" s="239"/>
      <c r="BCG11" s="239"/>
      <c r="BCH11" s="239"/>
      <c r="BCI11" s="239"/>
      <c r="BCJ11" s="239"/>
      <c r="BCK11" s="239"/>
      <c r="BCL11" s="239"/>
      <c r="BCM11" s="239"/>
      <c r="BCN11" s="239"/>
      <c r="BCO11" s="239"/>
      <c r="BCP11" s="239"/>
      <c r="BCQ11" s="239"/>
      <c r="BCR11" s="239"/>
      <c r="BCS11" s="239"/>
      <c r="BCT11" s="239"/>
      <c r="BCU11" s="239"/>
      <c r="BCV11" s="239"/>
      <c r="BCW11" s="239"/>
      <c r="BCX11" s="239"/>
      <c r="BCY11" s="239"/>
      <c r="BCZ11" s="239"/>
      <c r="BDA11" s="239"/>
      <c r="BDB11" s="239"/>
      <c r="BDC11" s="239"/>
      <c r="BDD11" s="239"/>
      <c r="BDE11" s="239"/>
      <c r="BDF11" s="239"/>
      <c r="BDG11" s="239"/>
      <c r="BDH11" s="239"/>
      <c r="BDI11" s="239"/>
      <c r="BDJ11" s="239"/>
      <c r="BDK11" s="239"/>
      <c r="BDL11" s="239"/>
      <c r="BDM11" s="239"/>
      <c r="BDN11" s="239"/>
      <c r="BDO11" s="239"/>
      <c r="BDP11" s="239"/>
      <c r="BDQ11" s="239"/>
      <c r="BDR11" s="239"/>
      <c r="BDS11" s="239"/>
      <c r="BDT11" s="239"/>
      <c r="BDU11" s="239"/>
      <c r="BDV11" s="239"/>
      <c r="BDW11" s="239"/>
      <c r="BDX11" s="239"/>
      <c r="BDY11" s="239"/>
      <c r="BDZ11" s="239"/>
      <c r="BEA11" s="239"/>
      <c r="BEB11" s="239"/>
      <c r="BEC11" s="239"/>
      <c r="BED11" s="239"/>
      <c r="BEE11" s="239"/>
      <c r="BEF11" s="239"/>
      <c r="BEG11" s="239"/>
      <c r="BEH11" s="239"/>
      <c r="BEI11" s="239"/>
      <c r="BEJ11" s="239"/>
      <c r="BEK11" s="239"/>
      <c r="BEL11" s="239"/>
      <c r="BEM11" s="239"/>
      <c r="BEN11" s="239"/>
      <c r="BEO11" s="239"/>
      <c r="BEP11" s="239"/>
      <c r="BEQ11" s="239"/>
      <c r="BER11" s="239"/>
      <c r="BES11" s="239"/>
      <c r="BET11" s="239"/>
      <c r="BEU11" s="239"/>
      <c r="BEV11" s="239"/>
      <c r="BEW11" s="239"/>
      <c r="BEX11" s="239"/>
      <c r="BEY11" s="239"/>
      <c r="BEZ11" s="239"/>
      <c r="BFA11" s="239"/>
      <c r="BFB11" s="239"/>
      <c r="BFC11" s="239"/>
      <c r="BFD11" s="239"/>
      <c r="BFE11" s="239"/>
      <c r="BFF11" s="239"/>
      <c r="BFG11" s="239"/>
      <c r="BFH11" s="239"/>
      <c r="BFI11" s="239"/>
      <c r="BFJ11" s="239"/>
      <c r="BFK11" s="239"/>
      <c r="BFL11" s="239"/>
      <c r="BFM11" s="239"/>
      <c r="BFN11" s="239"/>
      <c r="BFO11" s="239"/>
      <c r="BFP11" s="239"/>
      <c r="BFQ11" s="239"/>
      <c r="BFR11" s="239"/>
      <c r="BFS11" s="239"/>
      <c r="BFT11" s="239"/>
      <c r="BFU11" s="239"/>
      <c r="BFV11" s="239"/>
      <c r="BFW11" s="239"/>
      <c r="BFX11" s="239"/>
      <c r="BFY11" s="239"/>
      <c r="BFZ11" s="239"/>
      <c r="BGA11" s="239"/>
      <c r="BGB11" s="239"/>
      <c r="BGC11" s="239"/>
      <c r="BGD11" s="239"/>
      <c r="BGE11" s="239"/>
      <c r="BGF11" s="239"/>
      <c r="BGG11" s="239"/>
      <c r="BGH11" s="239"/>
      <c r="BGI11" s="239"/>
      <c r="BGJ11" s="239"/>
      <c r="BGK11" s="239"/>
      <c r="BGL11" s="239"/>
      <c r="BGM11" s="239"/>
      <c r="BGN11" s="239"/>
      <c r="BGO11" s="239"/>
      <c r="BGP11" s="239"/>
      <c r="BGQ11" s="239"/>
      <c r="BGR11" s="239"/>
      <c r="BGS11" s="239"/>
      <c r="BGT11" s="239"/>
      <c r="BGU11" s="239"/>
      <c r="BGV11" s="239"/>
      <c r="BGW11" s="239"/>
      <c r="BGX11" s="239"/>
      <c r="BGY11" s="239"/>
      <c r="BGZ11" s="239"/>
      <c r="BHA11" s="239"/>
      <c r="BHB11" s="239"/>
      <c r="BHC11" s="239"/>
      <c r="BHD11" s="239"/>
      <c r="BHE11" s="239"/>
      <c r="BHF11" s="239"/>
      <c r="BHG11" s="239"/>
      <c r="BHH11" s="239"/>
      <c r="BHI11" s="239"/>
      <c r="BHJ11" s="239"/>
      <c r="BHK11" s="239"/>
      <c r="BHL11" s="239"/>
      <c r="BHM11" s="239"/>
      <c r="BHN11" s="239"/>
      <c r="BHO11" s="239"/>
      <c r="BHP11" s="239"/>
      <c r="BHQ11" s="239"/>
      <c r="BHR11" s="239"/>
      <c r="BHS11" s="239"/>
      <c r="BHT11" s="239"/>
      <c r="BHU11" s="239"/>
      <c r="BHV11" s="239"/>
      <c r="BHW11" s="239"/>
      <c r="BHX11" s="239"/>
      <c r="BHY11" s="239"/>
      <c r="BHZ11" s="239"/>
      <c r="BIA11" s="239"/>
      <c r="BIB11" s="239"/>
      <c r="BIC11" s="239"/>
      <c r="BID11" s="239"/>
      <c r="BIE11" s="239"/>
      <c r="BIF11" s="239"/>
      <c r="BIG11" s="239"/>
      <c r="BIH11" s="239"/>
      <c r="BII11" s="239"/>
      <c r="BIJ11" s="239"/>
      <c r="BIK11" s="239"/>
      <c r="BIL11" s="239"/>
      <c r="BIM11" s="239"/>
      <c r="BIN11" s="239"/>
      <c r="BIO11" s="239"/>
      <c r="BIP11" s="239"/>
      <c r="BIQ11" s="239"/>
      <c r="BIR11" s="239"/>
      <c r="BIS11" s="239"/>
      <c r="BIT11" s="239"/>
      <c r="BIU11" s="239"/>
      <c r="BIV11" s="239"/>
      <c r="BIW11" s="239"/>
      <c r="BIX11" s="239"/>
      <c r="BIY11" s="239"/>
      <c r="BIZ11" s="239"/>
      <c r="BJA11" s="239"/>
      <c r="BJB11" s="239"/>
      <c r="BJC11" s="239"/>
      <c r="BJD11" s="239"/>
      <c r="BJE11" s="239"/>
      <c r="BJF11" s="239"/>
      <c r="BJG11" s="239"/>
      <c r="BJH11" s="239"/>
      <c r="BJI11" s="239"/>
      <c r="BJJ11" s="239"/>
      <c r="BJK11" s="239"/>
      <c r="BJL11" s="239"/>
      <c r="BJM11" s="239"/>
      <c r="BJN11" s="239"/>
      <c r="BJO11" s="239"/>
      <c r="BJP11" s="239"/>
      <c r="BJQ11" s="239"/>
      <c r="BJR11" s="239"/>
      <c r="BJS11" s="239"/>
      <c r="BJT11" s="239"/>
      <c r="BJU11" s="239"/>
      <c r="BJV11" s="239"/>
      <c r="BJW11" s="239"/>
      <c r="BJX11" s="239"/>
      <c r="BJY11" s="239"/>
      <c r="BJZ11" s="239"/>
      <c r="BKA11" s="239"/>
      <c r="BKB11" s="239"/>
      <c r="BKC11" s="239"/>
      <c r="BKD11" s="239"/>
      <c r="BKE11" s="239"/>
      <c r="BKF11" s="239"/>
      <c r="BKG11" s="239"/>
      <c r="BKH11" s="239"/>
      <c r="BKI11" s="239"/>
      <c r="BKJ11" s="239"/>
      <c r="BKK11" s="239"/>
      <c r="BKL11" s="239"/>
      <c r="BKM11" s="239"/>
      <c r="BKN11" s="239"/>
      <c r="BKO11" s="239"/>
      <c r="BKP11" s="239"/>
      <c r="BKQ11" s="239"/>
      <c r="BKR11" s="239"/>
      <c r="BKS11" s="239"/>
      <c r="BKT11" s="239"/>
      <c r="BKU11" s="239"/>
      <c r="BKV11" s="239"/>
      <c r="BKW11" s="239"/>
      <c r="BKX11" s="239"/>
      <c r="BKY11" s="239"/>
      <c r="BKZ11" s="239"/>
      <c r="BLA11" s="239"/>
      <c r="BLB11" s="239"/>
      <c r="BLC11" s="239"/>
      <c r="BLD11" s="239"/>
      <c r="BLE11" s="239"/>
      <c r="BLF11" s="239"/>
      <c r="BLG11" s="239"/>
      <c r="BLH11" s="239"/>
      <c r="BLI11" s="239"/>
      <c r="BLJ11" s="239"/>
      <c r="BLK11" s="239"/>
      <c r="BLL11" s="239"/>
      <c r="BLM11" s="239"/>
      <c r="BLN11" s="239"/>
      <c r="BLO11" s="239"/>
      <c r="BLP11" s="239"/>
      <c r="BLQ11" s="239"/>
      <c r="BLR11" s="239"/>
      <c r="BLS11" s="239"/>
      <c r="BLT11" s="239"/>
      <c r="BLU11" s="239"/>
      <c r="BLV11" s="239"/>
      <c r="BLW11" s="239"/>
      <c r="BLX11" s="239"/>
      <c r="BLY11" s="239"/>
      <c r="BLZ11" s="239"/>
      <c r="BMA11" s="239"/>
      <c r="BMB11" s="239"/>
      <c r="BMC11" s="239"/>
      <c r="BMD11" s="239"/>
      <c r="BME11" s="239"/>
      <c r="BMF11" s="239"/>
      <c r="BMG11" s="239"/>
      <c r="BMH11" s="239"/>
      <c r="BMI11" s="239"/>
      <c r="BMJ11" s="239"/>
      <c r="BMK11" s="239"/>
      <c r="BML11" s="239"/>
      <c r="BMM11" s="239"/>
      <c r="BMN11" s="239"/>
      <c r="BMO11" s="239"/>
      <c r="BMP11" s="239"/>
      <c r="BMQ11" s="239"/>
      <c r="BMR11" s="239"/>
      <c r="BMS11" s="239"/>
      <c r="BMT11" s="239"/>
      <c r="BMU11" s="239"/>
      <c r="BMV11" s="239"/>
      <c r="BMW11" s="239"/>
      <c r="BMX11" s="239"/>
      <c r="BMY11" s="239"/>
      <c r="BMZ11" s="239"/>
      <c r="BNA11" s="239"/>
      <c r="BNB11" s="239"/>
      <c r="BNC11" s="239"/>
      <c r="BND11" s="239"/>
      <c r="BNE11" s="239"/>
      <c r="BNF11" s="239"/>
      <c r="BNG11" s="239"/>
      <c r="BNH11" s="239"/>
      <c r="BNI11" s="239"/>
      <c r="BNJ11" s="239"/>
      <c r="BNK11" s="239"/>
      <c r="BNL11" s="239"/>
      <c r="BNM11" s="239"/>
      <c r="BNN11" s="239"/>
      <c r="BNO11" s="239"/>
      <c r="BNP11" s="239"/>
      <c r="BNQ11" s="239"/>
      <c r="BNR11" s="239"/>
      <c r="BNS11" s="239"/>
      <c r="BNT11" s="239"/>
      <c r="BNU11" s="239"/>
      <c r="BNV11" s="239"/>
      <c r="BNW11" s="239"/>
      <c r="BNX11" s="239"/>
      <c r="BNY11" s="239"/>
      <c r="BNZ11" s="239"/>
      <c r="BOA11" s="239"/>
      <c r="BOB11" s="239"/>
      <c r="BOC11" s="239"/>
      <c r="BOD11" s="239"/>
      <c r="BOE11" s="239"/>
      <c r="BOF11" s="239"/>
      <c r="BOG11" s="239"/>
      <c r="BOH11" s="239"/>
      <c r="BOI11" s="239"/>
      <c r="BOJ11" s="239"/>
      <c r="BOK11" s="239"/>
      <c r="BOL11" s="239"/>
      <c r="BOM11" s="239"/>
      <c r="BON11" s="239"/>
      <c r="BOO11" s="239"/>
      <c r="BOP11" s="239"/>
      <c r="BOQ11" s="239"/>
      <c r="BOR11" s="239"/>
      <c r="BOS11" s="239"/>
      <c r="BOT11" s="239"/>
      <c r="BOU11" s="239"/>
      <c r="BOV11" s="239"/>
      <c r="BOW11" s="239"/>
      <c r="BOX11" s="239"/>
      <c r="BOY11" s="239"/>
      <c r="BOZ11" s="239"/>
      <c r="BPA11" s="239"/>
      <c r="BPB11" s="239"/>
      <c r="BPC11" s="239"/>
      <c r="BPD11" s="239"/>
      <c r="BPE11" s="239"/>
      <c r="BPF11" s="239"/>
      <c r="BPG11" s="239"/>
      <c r="BPH11" s="239"/>
      <c r="BPI11" s="239"/>
      <c r="BPJ11" s="239"/>
      <c r="BPK11" s="239"/>
      <c r="BPL11" s="239"/>
      <c r="BPM11" s="239"/>
      <c r="BPN11" s="239"/>
      <c r="BPO11" s="239"/>
      <c r="BPP11" s="239"/>
      <c r="BPQ11" s="239"/>
      <c r="BPR11" s="239"/>
      <c r="BPS11" s="239"/>
      <c r="BPT11" s="239"/>
      <c r="BPU11" s="239"/>
      <c r="BPV11" s="239"/>
      <c r="BPW11" s="239"/>
      <c r="BPX11" s="239"/>
      <c r="BPY11" s="239"/>
      <c r="BPZ11" s="239"/>
      <c r="BQA11" s="239"/>
      <c r="BQB11" s="239"/>
      <c r="BQC11" s="239"/>
      <c r="BQD11" s="239"/>
      <c r="BQE11" s="239"/>
      <c r="BQF11" s="239"/>
      <c r="BQG11" s="239"/>
      <c r="BQH11" s="239"/>
      <c r="BQI11" s="239"/>
      <c r="BQJ11" s="239"/>
      <c r="BQK11" s="239"/>
      <c r="BQL11" s="239"/>
      <c r="BQM11" s="239"/>
      <c r="BQN11" s="239"/>
      <c r="BQO11" s="239"/>
      <c r="BQP11" s="239"/>
      <c r="BQQ11" s="239"/>
      <c r="BQR11" s="239"/>
      <c r="BQS11" s="239"/>
      <c r="BQT11" s="239"/>
      <c r="BQU11" s="239"/>
      <c r="BQV11" s="239"/>
      <c r="BQW11" s="239"/>
      <c r="BQX11" s="239"/>
      <c r="BQY11" s="239"/>
      <c r="BQZ11" s="239"/>
      <c r="BRA11" s="239"/>
      <c r="BRB11" s="239"/>
      <c r="BRC11" s="239"/>
      <c r="BRD11" s="239"/>
      <c r="BRE11" s="239"/>
      <c r="BRF11" s="239"/>
      <c r="BRG11" s="239"/>
      <c r="BRH11" s="239"/>
      <c r="BRI11" s="239"/>
      <c r="BRJ11" s="239"/>
      <c r="BRK11" s="239"/>
      <c r="BRL11" s="239"/>
      <c r="BRM11" s="239"/>
      <c r="BRN11" s="239"/>
      <c r="BRO11" s="239"/>
      <c r="BRP11" s="239"/>
      <c r="BRQ11" s="239"/>
      <c r="BRR11" s="239"/>
      <c r="BRS11" s="239"/>
      <c r="BRT11" s="239"/>
      <c r="BRU11" s="239"/>
      <c r="BRV11" s="239"/>
      <c r="BRW11" s="239"/>
      <c r="BRX11" s="239"/>
      <c r="BRY11" s="239"/>
      <c r="BRZ11" s="239"/>
      <c r="BSA11" s="239"/>
      <c r="BSB11" s="239"/>
      <c r="BSC11" s="239"/>
      <c r="BSD11" s="239"/>
      <c r="BSE11" s="239"/>
      <c r="BSF11" s="239"/>
      <c r="BSG11" s="239"/>
      <c r="BSH11" s="239"/>
      <c r="BSI11" s="239"/>
      <c r="BSJ11" s="239"/>
      <c r="BSK11" s="239"/>
      <c r="BSL11" s="239"/>
      <c r="BSM11" s="239"/>
      <c r="BSN11" s="239"/>
      <c r="BSO11" s="239"/>
      <c r="BSP11" s="239"/>
      <c r="BSQ11" s="239"/>
      <c r="BSR11" s="239"/>
      <c r="BSS11" s="239"/>
      <c r="BST11" s="239"/>
      <c r="BSU11" s="239"/>
      <c r="BSV11" s="239"/>
      <c r="BSW11" s="239"/>
      <c r="BSX11" s="239"/>
      <c r="BSY11" s="239"/>
      <c r="BSZ11" s="239"/>
      <c r="BTA11" s="239"/>
      <c r="BTB11" s="239"/>
      <c r="BTC11" s="239"/>
      <c r="BTD11" s="239"/>
      <c r="BTE11" s="239"/>
      <c r="BTF11" s="239"/>
      <c r="BTG11" s="239"/>
      <c r="BTH11" s="239"/>
      <c r="BTI11" s="239"/>
      <c r="BTJ11" s="239"/>
      <c r="BTK11" s="239"/>
      <c r="BTL11" s="239"/>
      <c r="BTM11" s="239"/>
      <c r="BTN11" s="239"/>
      <c r="BTO11" s="239"/>
      <c r="BTP11" s="239"/>
      <c r="BTQ11" s="239"/>
      <c r="BTR11" s="239"/>
      <c r="BTS11" s="239"/>
      <c r="BTT11" s="239"/>
      <c r="BTU11" s="239"/>
      <c r="BTV11" s="239"/>
      <c r="BTW11" s="239"/>
      <c r="BTX11" s="239"/>
      <c r="BTY11" s="239"/>
      <c r="BTZ11" s="239"/>
      <c r="BUA11" s="239"/>
      <c r="BUB11" s="239"/>
      <c r="BUC11" s="239"/>
      <c r="BUD11" s="239"/>
      <c r="BUE11" s="239"/>
      <c r="BUF11" s="239"/>
      <c r="BUG11" s="239"/>
      <c r="BUH11" s="239"/>
      <c r="BUI11" s="239"/>
      <c r="BUJ11" s="239"/>
      <c r="BUK11" s="239"/>
      <c r="BUL11" s="239"/>
      <c r="BUM11" s="239"/>
      <c r="BUN11" s="239"/>
      <c r="BUO11" s="239"/>
      <c r="BUP11" s="239"/>
      <c r="BUQ11" s="239"/>
      <c r="BUR11" s="239"/>
      <c r="BUS11" s="239"/>
      <c r="BUT11" s="239"/>
      <c r="BUU11" s="239"/>
      <c r="BUV11" s="239"/>
      <c r="BUW11" s="239"/>
      <c r="BUX11" s="239"/>
      <c r="BUY11" s="239"/>
      <c r="BUZ11" s="239"/>
      <c r="BVA11" s="239"/>
      <c r="BVB11" s="239"/>
      <c r="BVC11" s="239"/>
      <c r="BVD11" s="239"/>
      <c r="BVE11" s="239"/>
      <c r="BVF11" s="239"/>
      <c r="BVG11" s="239"/>
      <c r="BVH11" s="239"/>
      <c r="BVI11" s="239"/>
      <c r="BVJ11" s="239"/>
      <c r="BVK11" s="239"/>
      <c r="BVL11" s="239"/>
      <c r="BVM11" s="239"/>
      <c r="BVN11" s="239"/>
      <c r="BVO11" s="239"/>
      <c r="BVP11" s="239"/>
      <c r="BVQ11" s="239"/>
      <c r="BVR11" s="239"/>
      <c r="BVS11" s="239"/>
      <c r="BVT11" s="239"/>
      <c r="BVU11" s="239"/>
      <c r="BVV11" s="239"/>
      <c r="BVW11" s="239"/>
      <c r="BVX11" s="239"/>
      <c r="BVY11" s="239"/>
      <c r="BVZ11" s="239"/>
      <c r="BWA11" s="239"/>
      <c r="BWB11" s="239"/>
      <c r="BWC11" s="239"/>
      <c r="BWD11" s="239"/>
      <c r="BWE11" s="239"/>
      <c r="BWF11" s="239"/>
      <c r="BWG11" s="239"/>
      <c r="BWH11" s="239"/>
      <c r="BWI11" s="239"/>
      <c r="BWJ11" s="239"/>
      <c r="BWK11" s="239"/>
      <c r="BWL11" s="239"/>
      <c r="BWM11" s="239"/>
      <c r="BWN11" s="239"/>
      <c r="BWO11" s="239"/>
      <c r="BWP11" s="239"/>
      <c r="BWQ11" s="239"/>
      <c r="BWR11" s="239"/>
      <c r="BWS11" s="239"/>
      <c r="BWT11" s="239"/>
      <c r="BWU11" s="239"/>
      <c r="BWV11" s="239"/>
      <c r="BWW11" s="239"/>
      <c r="BWX11" s="239"/>
      <c r="BWY11" s="239"/>
      <c r="BWZ11" s="239"/>
      <c r="BXA11" s="239"/>
      <c r="BXB11" s="239"/>
      <c r="BXC11" s="239"/>
      <c r="BXD11" s="239"/>
      <c r="BXE11" s="239"/>
      <c r="BXF11" s="239"/>
      <c r="BXG11" s="239"/>
      <c r="BXH11" s="239"/>
      <c r="BXI11" s="239"/>
      <c r="BXJ11" s="239"/>
      <c r="BXK11" s="239"/>
      <c r="BXL11" s="239"/>
      <c r="BXM11" s="239"/>
      <c r="BXN11" s="239"/>
      <c r="BXO11" s="239"/>
      <c r="BXP11" s="239"/>
      <c r="BXQ11" s="239"/>
      <c r="BXR11" s="239"/>
      <c r="BXS11" s="239"/>
      <c r="BXT11" s="239"/>
      <c r="BXU11" s="239"/>
      <c r="BXV11" s="239"/>
      <c r="BXW11" s="239"/>
      <c r="BXX11" s="239"/>
      <c r="BXY11" s="239"/>
      <c r="BXZ11" s="239"/>
      <c r="BYA11" s="239"/>
      <c r="BYB11" s="239"/>
      <c r="BYC11" s="239"/>
      <c r="BYD11" s="239"/>
      <c r="BYE11" s="239"/>
      <c r="BYF11" s="239"/>
      <c r="BYG11" s="239"/>
      <c r="BYH11" s="239"/>
      <c r="BYI11" s="239"/>
      <c r="BYJ11" s="239"/>
      <c r="BYK11" s="239"/>
      <c r="BYL11" s="239"/>
      <c r="BYM11" s="239"/>
      <c r="BYN11" s="239"/>
      <c r="BYO11" s="239"/>
      <c r="BYP11" s="239"/>
      <c r="BYQ11" s="239"/>
      <c r="BYR11" s="239"/>
      <c r="BYS11" s="239"/>
      <c r="BYT11" s="239"/>
      <c r="BYU11" s="239"/>
      <c r="BYV11" s="239"/>
      <c r="BYW11" s="239"/>
      <c r="BYX11" s="239"/>
      <c r="BYY11" s="239"/>
      <c r="BYZ11" s="239"/>
      <c r="BZA11" s="239"/>
      <c r="BZB11" s="239"/>
      <c r="BZC11" s="239"/>
      <c r="BZD11" s="239"/>
      <c r="BZE11" s="239"/>
      <c r="BZF11" s="239"/>
      <c r="BZG11" s="239"/>
      <c r="BZH11" s="239"/>
      <c r="BZI11" s="239"/>
      <c r="BZJ11" s="239"/>
      <c r="BZK11" s="239"/>
      <c r="BZL11" s="239"/>
      <c r="BZM11" s="239"/>
      <c r="BZN11" s="239"/>
      <c r="BZO11" s="239"/>
      <c r="BZP11" s="239"/>
      <c r="BZQ11" s="239"/>
      <c r="BZR11" s="239"/>
      <c r="BZS11" s="239"/>
      <c r="BZT11" s="239"/>
      <c r="BZU11" s="239"/>
      <c r="BZV11" s="239"/>
      <c r="BZW11" s="239"/>
      <c r="BZX11" s="239"/>
      <c r="BZY11" s="239"/>
      <c r="BZZ11" s="239"/>
      <c r="CAA11" s="239"/>
      <c r="CAB11" s="239"/>
      <c r="CAC11" s="239"/>
      <c r="CAD11" s="239"/>
      <c r="CAE11" s="239"/>
      <c r="CAF11" s="239"/>
      <c r="CAG11" s="239"/>
      <c r="CAH11" s="239"/>
      <c r="CAI11" s="239"/>
      <c r="CAJ11" s="239"/>
      <c r="CAK11" s="239"/>
      <c r="CAL11" s="239"/>
      <c r="CAM11" s="239"/>
      <c r="CAN11" s="239"/>
      <c r="CAO11" s="239"/>
      <c r="CAP11" s="239"/>
      <c r="CAQ11" s="239"/>
      <c r="CAR11" s="239"/>
      <c r="CAS11" s="239"/>
      <c r="CAT11" s="239"/>
      <c r="CAU11" s="239"/>
      <c r="CAV11" s="239"/>
      <c r="CAW11" s="239"/>
      <c r="CAX11" s="239"/>
      <c r="CAY11" s="239"/>
      <c r="CAZ11" s="239"/>
      <c r="CBA11" s="239"/>
      <c r="CBB11" s="239"/>
      <c r="CBC11" s="239"/>
      <c r="CBD11" s="239"/>
      <c r="CBE11" s="239"/>
      <c r="CBF11" s="239"/>
      <c r="CBG11" s="239"/>
      <c r="CBH11" s="239"/>
      <c r="CBI11" s="239"/>
      <c r="CBJ11" s="239"/>
      <c r="CBK11" s="239"/>
      <c r="CBL11" s="239"/>
      <c r="CBM11" s="239"/>
      <c r="CBN11" s="239"/>
      <c r="CBO11" s="239"/>
      <c r="CBP11" s="239"/>
      <c r="CBQ11" s="239"/>
      <c r="CBR11" s="239"/>
      <c r="CBS11" s="239"/>
      <c r="CBT11" s="239"/>
      <c r="CBU11" s="239"/>
      <c r="CBV11" s="239"/>
      <c r="CBW11" s="239"/>
      <c r="CBX11" s="239"/>
      <c r="CBY11" s="239"/>
      <c r="CBZ11" s="239"/>
      <c r="CCA11" s="239"/>
      <c r="CCB11" s="239"/>
      <c r="CCC11" s="239"/>
      <c r="CCD11" s="239"/>
      <c r="CCE11" s="239"/>
      <c r="CCF11" s="239"/>
      <c r="CCG11" s="239"/>
      <c r="CCH11" s="239"/>
      <c r="CCI11" s="239"/>
      <c r="CCJ11" s="239"/>
      <c r="CCK11" s="239"/>
      <c r="CCL11" s="239"/>
      <c r="CCM11" s="239"/>
      <c r="CCN11" s="239"/>
      <c r="CCO11" s="239"/>
      <c r="CCP11" s="239"/>
      <c r="CCQ11" s="239"/>
      <c r="CCR11" s="239"/>
      <c r="CCS11" s="239"/>
      <c r="CCT11" s="239"/>
      <c r="CCU11" s="239"/>
      <c r="CCV11" s="239"/>
      <c r="CCW11" s="239"/>
      <c r="CCX11" s="239"/>
      <c r="CCY11" s="239"/>
      <c r="CCZ11" s="239"/>
      <c r="CDA11" s="239"/>
      <c r="CDB11" s="239"/>
      <c r="CDC11" s="239"/>
      <c r="CDD11" s="239"/>
      <c r="CDE11" s="239"/>
      <c r="CDF11" s="239"/>
      <c r="CDG11" s="239"/>
      <c r="CDH11" s="239"/>
      <c r="CDI11" s="239"/>
      <c r="CDJ11" s="239"/>
      <c r="CDK11" s="239"/>
      <c r="CDL11" s="239"/>
      <c r="CDM11" s="239"/>
      <c r="CDN11" s="239"/>
      <c r="CDO11" s="239"/>
      <c r="CDP11" s="239"/>
      <c r="CDQ11" s="239"/>
      <c r="CDR11" s="239"/>
      <c r="CDS11" s="239"/>
      <c r="CDT11" s="239"/>
      <c r="CDU11" s="239"/>
      <c r="CDV11" s="239"/>
      <c r="CDW11" s="239"/>
      <c r="CDX11" s="239"/>
      <c r="CDY11" s="239"/>
      <c r="CDZ11" s="239"/>
      <c r="CEA11" s="239"/>
      <c r="CEB11" s="239"/>
      <c r="CEC11" s="239"/>
      <c r="CED11" s="239"/>
      <c r="CEE11" s="239"/>
      <c r="CEF11" s="239"/>
      <c r="CEG11" s="239"/>
      <c r="CEH11" s="239"/>
      <c r="CEI11" s="239"/>
      <c r="CEJ11" s="239"/>
      <c r="CEK11" s="239"/>
      <c r="CEL11" s="239"/>
      <c r="CEM11" s="239"/>
      <c r="CEN11" s="239"/>
      <c r="CEO11" s="239"/>
      <c r="CEP11" s="239"/>
      <c r="CEQ11" s="239"/>
      <c r="CER11" s="239"/>
      <c r="CES11" s="239"/>
      <c r="CET11" s="239"/>
      <c r="CEU11" s="239"/>
      <c r="CEV11" s="239"/>
      <c r="CEW11" s="239"/>
      <c r="CEX11" s="239"/>
      <c r="CEY11" s="239"/>
      <c r="CEZ11" s="239"/>
      <c r="CFA11" s="239"/>
      <c r="CFB11" s="239"/>
      <c r="CFC11" s="239"/>
      <c r="CFD11" s="239"/>
      <c r="CFE11" s="239"/>
      <c r="CFF11" s="239"/>
      <c r="CFG11" s="239"/>
      <c r="CFH11" s="239"/>
      <c r="CFI11" s="239"/>
      <c r="CFJ11" s="239"/>
      <c r="CFK11" s="239"/>
      <c r="CFL11" s="239"/>
      <c r="CFM11" s="239"/>
      <c r="CFN11" s="239"/>
      <c r="CFO11" s="239"/>
      <c r="CFP11" s="239"/>
      <c r="CFQ11" s="239"/>
      <c r="CFR11" s="239"/>
      <c r="CFS11" s="239"/>
      <c r="CFT11" s="239"/>
      <c r="CFU11" s="239"/>
      <c r="CFV11" s="239"/>
      <c r="CFW11" s="239"/>
      <c r="CFX11" s="239"/>
      <c r="CFY11" s="239"/>
      <c r="CFZ11" s="239"/>
      <c r="CGA11" s="239"/>
      <c r="CGB11" s="239"/>
      <c r="CGC11" s="239"/>
      <c r="CGD11" s="239"/>
      <c r="CGE11" s="239"/>
      <c r="CGF11" s="239"/>
      <c r="CGG11" s="239"/>
      <c r="CGH11" s="239"/>
      <c r="CGI11" s="239"/>
      <c r="CGJ11" s="239"/>
      <c r="CGK11" s="239"/>
      <c r="CGL11" s="239"/>
      <c r="CGM11" s="239"/>
      <c r="CGN11" s="239"/>
      <c r="CGO11" s="239"/>
      <c r="CGP11" s="239"/>
      <c r="CGQ11" s="239"/>
      <c r="CGR11" s="239"/>
      <c r="CGS11" s="239"/>
      <c r="CGT11" s="239"/>
      <c r="CGU11" s="239"/>
      <c r="CGV11" s="239"/>
      <c r="CGW11" s="239"/>
      <c r="CGX11" s="239"/>
      <c r="CGY11" s="239"/>
      <c r="CGZ11" s="239"/>
      <c r="CHA11" s="239"/>
      <c r="CHB11" s="239"/>
      <c r="CHC11" s="239"/>
      <c r="CHD11" s="239"/>
      <c r="CHE11" s="239"/>
      <c r="CHF11" s="239"/>
      <c r="CHG11" s="239"/>
      <c r="CHH11" s="239"/>
      <c r="CHI11" s="239"/>
      <c r="CHJ11" s="239"/>
      <c r="CHK11" s="239"/>
      <c r="CHL11" s="239"/>
      <c r="CHM11" s="239"/>
      <c r="CHN11" s="239"/>
      <c r="CHO11" s="239"/>
      <c r="CHP11" s="239"/>
      <c r="CHQ11" s="239"/>
      <c r="CHR11" s="239"/>
      <c r="CHS11" s="239"/>
      <c r="CHT11" s="239"/>
      <c r="CHU11" s="239"/>
      <c r="CHV11" s="239"/>
      <c r="CHW11" s="239"/>
      <c r="CHX11" s="239"/>
      <c r="CHY11" s="239"/>
      <c r="CHZ11" s="239"/>
      <c r="CIA11" s="239"/>
      <c r="CIB11" s="239"/>
      <c r="CIC11" s="239"/>
      <c r="CID11" s="239"/>
      <c r="CIE11" s="239"/>
      <c r="CIF11" s="239"/>
      <c r="CIG11" s="239"/>
      <c r="CIH11" s="239"/>
      <c r="CII11" s="239"/>
      <c r="CIJ11" s="239"/>
      <c r="CIK11" s="239"/>
      <c r="CIL11" s="239"/>
      <c r="CIM11" s="239"/>
      <c r="CIN11" s="239"/>
      <c r="CIO11" s="239"/>
      <c r="CIP11" s="239"/>
      <c r="CIQ11" s="239"/>
      <c r="CIR11" s="239"/>
      <c r="CIS11" s="239"/>
      <c r="CIT11" s="239"/>
      <c r="CIU11" s="239"/>
      <c r="CIV11" s="239"/>
      <c r="CIW11" s="239"/>
      <c r="CIX11" s="239"/>
      <c r="CIY11" s="239"/>
      <c r="CIZ11" s="239"/>
      <c r="CJA11" s="239"/>
      <c r="CJB11" s="239"/>
      <c r="CJC11" s="239"/>
      <c r="CJD11" s="239"/>
      <c r="CJE11" s="239"/>
      <c r="CJF11" s="239"/>
      <c r="CJG11" s="239"/>
      <c r="CJH11" s="239"/>
      <c r="CJI11" s="239"/>
      <c r="CJJ11" s="239"/>
      <c r="CJK11" s="239"/>
      <c r="CJL11" s="239"/>
      <c r="CJM11" s="239"/>
      <c r="CJN11" s="239"/>
      <c r="CJO11" s="239"/>
      <c r="CJP11" s="239"/>
      <c r="CJQ11" s="239"/>
      <c r="CJR11" s="239"/>
      <c r="CJS11" s="239"/>
      <c r="CJT11" s="239"/>
      <c r="CJU11" s="239"/>
      <c r="CJV11" s="239"/>
      <c r="CJW11" s="239"/>
      <c r="CJX11" s="239"/>
      <c r="CJY11" s="239"/>
      <c r="CJZ11" s="239"/>
      <c r="CKA11" s="239"/>
      <c r="CKB11" s="239"/>
      <c r="CKC11" s="239"/>
      <c r="CKD11" s="239"/>
      <c r="CKE11" s="239"/>
      <c r="CKF11" s="239"/>
      <c r="CKG11" s="239"/>
      <c r="CKH11" s="239"/>
      <c r="CKI11" s="239"/>
      <c r="CKJ11" s="239"/>
      <c r="CKK11" s="239"/>
      <c r="CKL11" s="239"/>
      <c r="CKM11" s="239"/>
      <c r="CKN11" s="239"/>
      <c r="CKO11" s="239"/>
      <c r="CKP11" s="239"/>
      <c r="CKQ11" s="239"/>
      <c r="CKR11" s="239"/>
      <c r="CKS11" s="239"/>
      <c r="CKT11" s="239"/>
      <c r="CKU11" s="239"/>
      <c r="CKV11" s="239"/>
      <c r="CKW11" s="239"/>
      <c r="CKX11" s="239"/>
      <c r="CKY11" s="239"/>
      <c r="CKZ11" s="239"/>
      <c r="CLA11" s="239"/>
      <c r="CLB11" s="239"/>
      <c r="CLC11" s="239"/>
      <c r="CLD11" s="239"/>
      <c r="CLE11" s="239"/>
      <c r="CLF11" s="239"/>
      <c r="CLG11" s="239"/>
      <c r="CLH11" s="239"/>
      <c r="CLI11" s="239"/>
      <c r="CLJ11" s="239"/>
      <c r="CLK11" s="239"/>
      <c r="CLL11" s="239"/>
      <c r="CLM11" s="239"/>
      <c r="CLN11" s="239"/>
      <c r="CLO11" s="239"/>
      <c r="CLP11" s="239"/>
      <c r="CLQ11" s="239"/>
      <c r="CLR11" s="239"/>
      <c r="CLS11" s="239"/>
      <c r="CLT11" s="239"/>
      <c r="CLU11" s="239"/>
      <c r="CLV11" s="239"/>
      <c r="CLW11" s="239"/>
      <c r="CLX11" s="239"/>
      <c r="CLY11" s="239"/>
      <c r="CLZ11" s="239"/>
      <c r="CMA11" s="239"/>
      <c r="CMB11" s="239"/>
      <c r="CMC11" s="239"/>
      <c r="CMD11" s="239"/>
      <c r="CME11" s="239"/>
      <c r="CMF11" s="239"/>
      <c r="CMG11" s="239"/>
      <c r="CMH11" s="239"/>
      <c r="CMI11" s="239"/>
      <c r="CMJ11" s="239"/>
      <c r="CMK11" s="239"/>
      <c r="CML11" s="239"/>
      <c r="CMM11" s="239"/>
      <c r="CMN11" s="239"/>
      <c r="CMO11" s="239"/>
      <c r="CMP11" s="239"/>
      <c r="CMQ11" s="239"/>
      <c r="CMR11" s="239"/>
      <c r="CMS11" s="239"/>
      <c r="CMT11" s="239"/>
      <c r="CMU11" s="239"/>
      <c r="CMV11" s="239"/>
      <c r="CMW11" s="239"/>
      <c r="CMX11" s="239"/>
      <c r="CMY11" s="239"/>
      <c r="CMZ11" s="239"/>
      <c r="CNA11" s="239"/>
      <c r="CNB11" s="239"/>
      <c r="CNC11" s="239"/>
      <c r="CND11" s="239"/>
      <c r="CNE11" s="239"/>
      <c r="CNF11" s="239"/>
      <c r="CNG11" s="239"/>
      <c r="CNH11" s="239"/>
      <c r="CNI11" s="239"/>
      <c r="CNJ11" s="239"/>
      <c r="CNK11" s="239"/>
      <c r="CNL11" s="239"/>
      <c r="CNM11" s="239"/>
      <c r="CNN11" s="239"/>
      <c r="CNO11" s="239"/>
      <c r="CNP11" s="239"/>
      <c r="CNQ11" s="239"/>
      <c r="CNR11" s="239"/>
      <c r="CNS11" s="239"/>
      <c r="CNT11" s="239"/>
      <c r="CNU11" s="239"/>
      <c r="CNV11" s="239"/>
      <c r="CNW11" s="239"/>
      <c r="CNX11" s="239"/>
      <c r="CNY11" s="239"/>
      <c r="CNZ11" s="239"/>
      <c r="COA11" s="239"/>
      <c r="COB11" s="239"/>
      <c r="COC11" s="239"/>
      <c r="COD11" s="239"/>
      <c r="COE11" s="239"/>
      <c r="COF11" s="239"/>
      <c r="COG11" s="239"/>
      <c r="COH11" s="239"/>
      <c r="COI11" s="239"/>
      <c r="COJ11" s="239"/>
      <c r="COK11" s="239"/>
      <c r="COL11" s="239"/>
      <c r="COM11" s="239"/>
      <c r="CON11" s="239"/>
      <c r="COO11" s="239"/>
      <c r="COP11" s="239"/>
      <c r="COQ11" s="239"/>
      <c r="COR11" s="239"/>
      <c r="COS11" s="239"/>
      <c r="COT11" s="239"/>
      <c r="COU11" s="239"/>
      <c r="COV11" s="239"/>
      <c r="COW11" s="239"/>
      <c r="COX11" s="239"/>
      <c r="COY11" s="239"/>
      <c r="COZ11" s="239"/>
      <c r="CPA11" s="239"/>
      <c r="CPB11" s="239"/>
      <c r="CPC11" s="239"/>
      <c r="CPD11" s="239"/>
      <c r="CPE11" s="239"/>
      <c r="CPF11" s="239"/>
      <c r="CPG11" s="239"/>
      <c r="CPH11" s="239"/>
      <c r="CPI11" s="239"/>
      <c r="CPJ11" s="239"/>
      <c r="CPK11" s="239"/>
      <c r="CPL11" s="239"/>
      <c r="CPM11" s="239"/>
      <c r="CPN11" s="239"/>
      <c r="CPO11" s="239"/>
      <c r="CPP11" s="239"/>
      <c r="CPQ11" s="239"/>
      <c r="CPR11" s="239"/>
      <c r="CPS11" s="239"/>
      <c r="CPT11" s="239"/>
      <c r="CPU11" s="239"/>
      <c r="CPV11" s="239"/>
      <c r="CPW11" s="239"/>
      <c r="CPX11" s="239"/>
      <c r="CPY11" s="239"/>
      <c r="CPZ11" s="239"/>
      <c r="CQA11" s="239"/>
      <c r="CQB11" s="239"/>
      <c r="CQC11" s="239"/>
      <c r="CQD11" s="239"/>
      <c r="CQE11" s="239"/>
      <c r="CQF11" s="239"/>
      <c r="CQG11" s="239"/>
      <c r="CQH11" s="239"/>
      <c r="CQI11" s="239"/>
      <c r="CQJ11" s="239"/>
      <c r="CQK11" s="239"/>
      <c r="CQL11" s="239"/>
      <c r="CQM11" s="239"/>
      <c r="CQN11" s="239"/>
      <c r="CQO11" s="239"/>
      <c r="CQP11" s="239"/>
      <c r="CQQ11" s="239"/>
      <c r="CQR11" s="239"/>
      <c r="CQS11" s="239"/>
      <c r="CQT11" s="239"/>
      <c r="CQU11" s="239"/>
      <c r="CQV11" s="239"/>
      <c r="CQW11" s="239"/>
      <c r="CQX11" s="239"/>
      <c r="CQY11" s="239"/>
      <c r="CQZ11" s="239"/>
      <c r="CRA11" s="239"/>
      <c r="CRB11" s="239"/>
      <c r="CRC11" s="239"/>
      <c r="CRD11" s="239"/>
      <c r="CRE11" s="239"/>
      <c r="CRF11" s="239"/>
      <c r="CRG11" s="239"/>
      <c r="CRH11" s="239"/>
      <c r="CRI11" s="239"/>
      <c r="CRJ11" s="239"/>
      <c r="CRK11" s="239"/>
      <c r="CRL11" s="239"/>
      <c r="CRM11" s="239"/>
      <c r="CRN11" s="239"/>
      <c r="CRO11" s="239"/>
      <c r="CRP11" s="239"/>
      <c r="CRQ11" s="239"/>
      <c r="CRR11" s="239"/>
      <c r="CRS11" s="239"/>
      <c r="CRT11" s="239"/>
      <c r="CRU11" s="239"/>
      <c r="CRV11" s="239"/>
      <c r="CRW11" s="239"/>
      <c r="CRX11" s="239"/>
      <c r="CRY11" s="239"/>
      <c r="CRZ11" s="239"/>
      <c r="CSA11" s="239"/>
      <c r="CSB11" s="239"/>
      <c r="CSC11" s="239"/>
      <c r="CSD11" s="239"/>
      <c r="CSE11" s="239"/>
      <c r="CSF11" s="239"/>
      <c r="CSG11" s="239"/>
      <c r="CSH11" s="239"/>
      <c r="CSI11" s="239"/>
      <c r="CSJ11" s="239"/>
      <c r="CSK11" s="239"/>
      <c r="CSL11" s="239"/>
      <c r="CSM11" s="239"/>
      <c r="CSN11" s="239"/>
      <c r="CSO11" s="239"/>
      <c r="CSP11" s="239"/>
      <c r="CSQ11" s="239"/>
      <c r="CSR11" s="239"/>
      <c r="CSS11" s="239"/>
      <c r="CST11" s="239"/>
      <c r="CSU11" s="239"/>
      <c r="CSV11" s="239"/>
      <c r="CSW11" s="239"/>
      <c r="CSX11" s="239"/>
      <c r="CSY11" s="239"/>
      <c r="CSZ11" s="239"/>
      <c r="CTA11" s="239"/>
      <c r="CTB11" s="239"/>
      <c r="CTC11" s="239"/>
      <c r="CTD11" s="239"/>
      <c r="CTE11" s="239"/>
      <c r="CTF11" s="239"/>
      <c r="CTG11" s="239"/>
      <c r="CTH11" s="239"/>
      <c r="CTI11" s="239"/>
      <c r="CTJ11" s="239"/>
      <c r="CTK11" s="239"/>
      <c r="CTL11" s="239"/>
      <c r="CTM11" s="239"/>
      <c r="CTN11" s="239"/>
      <c r="CTO11" s="239"/>
      <c r="CTP11" s="239"/>
      <c r="CTQ11" s="239"/>
      <c r="CTR11" s="239"/>
      <c r="CTS11" s="239"/>
      <c r="CTT11" s="239"/>
      <c r="CTU11" s="239"/>
      <c r="CTV11" s="239"/>
      <c r="CTW11" s="239"/>
      <c r="CTX11" s="239"/>
      <c r="CTY11" s="239"/>
      <c r="CTZ11" s="239"/>
      <c r="CUA11" s="239"/>
      <c r="CUB11" s="239"/>
      <c r="CUC11" s="239"/>
      <c r="CUD11" s="239"/>
      <c r="CUE11" s="239"/>
      <c r="CUF11" s="239"/>
      <c r="CUG11" s="239"/>
      <c r="CUH11" s="239"/>
      <c r="CUI11" s="239"/>
      <c r="CUJ11" s="239"/>
      <c r="CUK11" s="239"/>
      <c r="CUL11" s="239"/>
      <c r="CUM11" s="239"/>
      <c r="CUN11" s="239"/>
      <c r="CUO11" s="239"/>
      <c r="CUP11" s="239"/>
      <c r="CUQ11" s="239"/>
      <c r="CUR11" s="239"/>
      <c r="CUS11" s="239"/>
      <c r="CUT11" s="239"/>
      <c r="CUU11" s="239"/>
      <c r="CUV11" s="239"/>
      <c r="CUW11" s="239"/>
      <c r="CUX11" s="239"/>
      <c r="CUY11" s="239"/>
      <c r="CUZ11" s="239"/>
      <c r="CVA11" s="239"/>
      <c r="CVB11" s="239"/>
      <c r="CVC11" s="239"/>
      <c r="CVD11" s="239"/>
      <c r="CVE11" s="239"/>
      <c r="CVF11" s="239"/>
      <c r="CVG11" s="239"/>
      <c r="CVH11" s="239"/>
      <c r="CVI11" s="239"/>
      <c r="CVJ11" s="239"/>
      <c r="CVK11" s="239"/>
      <c r="CVL11" s="239"/>
      <c r="CVM11" s="239"/>
      <c r="CVN11" s="239"/>
      <c r="CVO11" s="239"/>
      <c r="CVP11" s="239"/>
      <c r="CVQ11" s="239"/>
      <c r="CVR11" s="239"/>
      <c r="CVS11" s="239"/>
      <c r="CVT11" s="239"/>
      <c r="CVU11" s="239"/>
      <c r="CVV11" s="239"/>
      <c r="CVW11" s="239"/>
      <c r="CVX11" s="239"/>
      <c r="CVY11" s="239"/>
      <c r="CVZ11" s="239"/>
      <c r="CWA11" s="239"/>
      <c r="CWB11" s="239"/>
      <c r="CWC11" s="239"/>
      <c r="CWD11" s="239"/>
      <c r="CWE11" s="239"/>
      <c r="CWF11" s="239"/>
      <c r="CWG11" s="239"/>
      <c r="CWH11" s="239"/>
      <c r="CWI11" s="239"/>
      <c r="CWJ11" s="239"/>
      <c r="CWK11" s="239"/>
      <c r="CWL11" s="239"/>
      <c r="CWM11" s="239"/>
      <c r="CWN11" s="239"/>
      <c r="CWO11" s="239"/>
      <c r="CWP11" s="239"/>
      <c r="CWQ11" s="239"/>
      <c r="CWR11" s="239"/>
      <c r="CWS11" s="239"/>
      <c r="CWT11" s="239"/>
      <c r="CWU11" s="239"/>
      <c r="CWV11" s="239"/>
      <c r="CWW11" s="239"/>
      <c r="CWX11" s="239"/>
      <c r="CWY11" s="239"/>
      <c r="CWZ11" s="239"/>
      <c r="CXA11" s="239"/>
      <c r="CXB11" s="239"/>
      <c r="CXC11" s="239"/>
      <c r="CXD11" s="239"/>
      <c r="CXE11" s="239"/>
      <c r="CXF11" s="239"/>
      <c r="CXG11" s="239"/>
      <c r="CXH11" s="239"/>
      <c r="CXI11" s="239"/>
      <c r="CXJ11" s="239"/>
      <c r="CXK11" s="239"/>
      <c r="CXL11" s="239"/>
      <c r="CXM11" s="239"/>
      <c r="CXN11" s="239"/>
      <c r="CXO11" s="239"/>
      <c r="CXP11" s="239"/>
      <c r="CXQ11" s="239"/>
      <c r="CXR11" s="239"/>
      <c r="CXS11" s="239"/>
      <c r="CXT11" s="239"/>
      <c r="CXU11" s="239"/>
      <c r="CXV11" s="239"/>
      <c r="CXW11" s="239"/>
      <c r="CXX11" s="239"/>
      <c r="CXY11" s="239"/>
      <c r="CXZ11" s="239"/>
      <c r="CYA11" s="239"/>
      <c r="CYB11" s="239"/>
      <c r="CYC11" s="239"/>
      <c r="CYD11" s="239"/>
      <c r="CYE11" s="239"/>
      <c r="CYF11" s="239"/>
      <c r="CYG11" s="239"/>
      <c r="CYH11" s="239"/>
      <c r="CYI11" s="239"/>
      <c r="CYJ11" s="239"/>
      <c r="CYK11" s="239"/>
      <c r="CYL11" s="239"/>
      <c r="CYM11" s="239"/>
      <c r="CYN11" s="239"/>
      <c r="CYO11" s="239"/>
      <c r="CYP11" s="239"/>
      <c r="CYQ11" s="239"/>
      <c r="CYR11" s="239"/>
      <c r="CYS11" s="239"/>
      <c r="CYT11" s="239"/>
      <c r="CYU11" s="239"/>
      <c r="CYV11" s="239"/>
      <c r="CYW11" s="239"/>
      <c r="CYX11" s="239"/>
      <c r="CYY11" s="239"/>
      <c r="CYZ11" s="239"/>
      <c r="CZA11" s="239"/>
      <c r="CZB11" s="239"/>
      <c r="CZC11" s="239"/>
      <c r="CZD11" s="239"/>
      <c r="CZE11" s="239"/>
      <c r="CZF11" s="239"/>
      <c r="CZG11" s="239"/>
      <c r="CZH11" s="239"/>
      <c r="CZI11" s="239"/>
      <c r="CZJ11" s="239"/>
      <c r="CZK11" s="239"/>
      <c r="CZL11" s="239"/>
      <c r="CZM11" s="239"/>
      <c r="CZN11" s="239"/>
      <c r="CZO11" s="239"/>
      <c r="CZP11" s="239"/>
      <c r="CZQ11" s="239"/>
      <c r="CZR11" s="239"/>
      <c r="CZS11" s="239"/>
      <c r="CZT11" s="239"/>
      <c r="CZU11" s="239"/>
      <c r="CZV11" s="239"/>
      <c r="CZW11" s="239"/>
      <c r="CZX11" s="239"/>
      <c r="CZY11" s="239"/>
      <c r="CZZ11" s="239"/>
      <c r="DAA11" s="239"/>
      <c r="DAB11" s="239"/>
      <c r="DAC11" s="239"/>
      <c r="DAD11" s="239"/>
      <c r="DAE11" s="239"/>
      <c r="DAF11" s="239"/>
      <c r="DAG11" s="239"/>
      <c r="DAH11" s="239"/>
      <c r="DAI11" s="239"/>
      <c r="DAJ11" s="239"/>
      <c r="DAK11" s="239"/>
      <c r="DAL11" s="239"/>
      <c r="DAM11" s="239"/>
      <c r="DAN11" s="239"/>
      <c r="DAO11" s="239"/>
      <c r="DAP11" s="239"/>
      <c r="DAQ11" s="239"/>
      <c r="DAR11" s="239"/>
      <c r="DAS11" s="239"/>
      <c r="DAT11" s="239"/>
      <c r="DAU11" s="239"/>
      <c r="DAV11" s="239"/>
      <c r="DAW11" s="239"/>
      <c r="DAX11" s="239"/>
      <c r="DAY11" s="239"/>
      <c r="DAZ11" s="239"/>
      <c r="DBA11" s="239"/>
      <c r="DBB11" s="239"/>
      <c r="DBC11" s="239"/>
      <c r="DBD11" s="239"/>
      <c r="DBE11" s="239"/>
      <c r="DBF11" s="239"/>
      <c r="DBG11" s="239"/>
      <c r="DBH11" s="239"/>
      <c r="DBI11" s="239"/>
      <c r="DBJ11" s="239"/>
      <c r="DBK11" s="239"/>
      <c r="DBL11" s="239"/>
      <c r="DBM11" s="239"/>
      <c r="DBN11" s="239"/>
      <c r="DBO11" s="239"/>
      <c r="DBP11" s="239"/>
      <c r="DBQ11" s="239"/>
      <c r="DBR11" s="239"/>
      <c r="DBS11" s="239"/>
      <c r="DBT11" s="239"/>
      <c r="DBU11" s="239"/>
      <c r="DBV11" s="239"/>
      <c r="DBW11" s="239"/>
      <c r="DBX11" s="239"/>
      <c r="DBY11" s="239"/>
      <c r="DBZ11" s="239"/>
      <c r="DCA11" s="239"/>
      <c r="DCB11" s="239"/>
      <c r="DCC11" s="239"/>
      <c r="DCD11" s="239"/>
      <c r="DCE11" s="239"/>
      <c r="DCF11" s="239"/>
      <c r="DCG11" s="239"/>
      <c r="DCH11" s="239"/>
      <c r="DCI11" s="239"/>
      <c r="DCJ11" s="239"/>
      <c r="DCK11" s="239"/>
      <c r="DCL11" s="239"/>
      <c r="DCM11" s="239"/>
      <c r="DCN11" s="239"/>
      <c r="DCO11" s="239"/>
      <c r="DCP11" s="239"/>
      <c r="DCQ11" s="239"/>
      <c r="DCR11" s="239"/>
      <c r="DCS11" s="239"/>
      <c r="DCT11" s="239"/>
      <c r="DCU11" s="239"/>
      <c r="DCV11" s="239"/>
      <c r="DCW11" s="239"/>
      <c r="DCX11" s="239"/>
      <c r="DCY11" s="239"/>
      <c r="DCZ11" s="239"/>
      <c r="DDA11" s="239"/>
      <c r="DDB11" s="239"/>
      <c r="DDC11" s="239"/>
      <c r="DDD11" s="239"/>
      <c r="DDE11" s="239"/>
      <c r="DDF11" s="239"/>
      <c r="DDG11" s="239"/>
      <c r="DDH11" s="239"/>
      <c r="DDI11" s="239"/>
      <c r="DDJ11" s="239"/>
      <c r="DDK11" s="239"/>
      <c r="DDL11" s="239"/>
      <c r="DDM11" s="239"/>
      <c r="DDN11" s="239"/>
      <c r="DDO11" s="239"/>
      <c r="DDP11" s="239"/>
      <c r="DDQ11" s="239"/>
      <c r="DDR11" s="239"/>
      <c r="DDS11" s="239"/>
      <c r="DDT11" s="239"/>
      <c r="DDU11" s="239"/>
      <c r="DDV11" s="239"/>
      <c r="DDW11" s="239"/>
      <c r="DDX11" s="239"/>
      <c r="DDY11" s="239"/>
      <c r="DDZ11" s="239"/>
      <c r="DEA11" s="239"/>
      <c r="DEB11" s="239"/>
      <c r="DEC11" s="239"/>
      <c r="DED11" s="239"/>
      <c r="DEE11" s="239"/>
      <c r="DEF11" s="239"/>
      <c r="DEG11" s="239"/>
      <c r="DEH11" s="239"/>
      <c r="DEI11" s="239"/>
      <c r="DEJ11" s="239"/>
      <c r="DEK11" s="239"/>
      <c r="DEL11" s="239"/>
      <c r="DEM11" s="239"/>
      <c r="DEN11" s="239"/>
      <c r="DEO11" s="239"/>
      <c r="DEP11" s="239"/>
      <c r="DEQ11" s="239"/>
      <c r="DER11" s="239"/>
      <c r="DES11" s="239"/>
      <c r="DET11" s="239"/>
      <c r="DEU11" s="239"/>
      <c r="DEV11" s="239"/>
      <c r="DEW11" s="239"/>
      <c r="DEX11" s="239"/>
      <c r="DEY11" s="239"/>
      <c r="DEZ11" s="239"/>
      <c r="DFA11" s="239"/>
      <c r="DFB11" s="239"/>
      <c r="DFC11" s="239"/>
      <c r="DFD11" s="239"/>
      <c r="DFE11" s="239"/>
      <c r="DFF11" s="239"/>
      <c r="DFG11" s="239"/>
      <c r="DFH11" s="239"/>
      <c r="DFI11" s="239"/>
      <c r="DFJ11" s="239"/>
      <c r="DFK11" s="239"/>
      <c r="DFL11" s="239"/>
      <c r="DFM11" s="239"/>
      <c r="DFN11" s="239"/>
      <c r="DFO11" s="239"/>
      <c r="DFP11" s="239"/>
      <c r="DFQ11" s="239"/>
      <c r="DFR11" s="239"/>
      <c r="DFS11" s="239"/>
      <c r="DFT11" s="239"/>
      <c r="DFU11" s="239"/>
      <c r="DFV11" s="239"/>
      <c r="DFW11" s="239"/>
      <c r="DFX11" s="239"/>
      <c r="DFY11" s="239"/>
      <c r="DFZ11" s="239"/>
      <c r="DGA11" s="239"/>
      <c r="DGB11" s="239"/>
      <c r="DGC11" s="239"/>
      <c r="DGD11" s="239"/>
      <c r="DGE11" s="239"/>
      <c r="DGF11" s="239"/>
      <c r="DGG11" s="239"/>
      <c r="DGH11" s="239"/>
      <c r="DGI11" s="239"/>
      <c r="DGJ11" s="239"/>
      <c r="DGK11" s="239"/>
      <c r="DGL11" s="239"/>
      <c r="DGM11" s="239"/>
      <c r="DGN11" s="239"/>
      <c r="DGO11" s="239"/>
      <c r="DGP11" s="239"/>
      <c r="DGQ11" s="239"/>
      <c r="DGR11" s="239"/>
      <c r="DGS11" s="239"/>
      <c r="DGT11" s="239"/>
      <c r="DGU11" s="239"/>
      <c r="DGV11" s="239"/>
      <c r="DGW11" s="239"/>
      <c r="DGX11" s="239"/>
      <c r="DGY11" s="239"/>
      <c r="DGZ11" s="239"/>
      <c r="DHA11" s="239"/>
      <c r="DHB11" s="239"/>
      <c r="DHC11" s="239"/>
      <c r="DHD11" s="239"/>
      <c r="DHE11" s="239"/>
      <c r="DHF11" s="239"/>
      <c r="DHG11" s="239"/>
      <c r="DHH11" s="239"/>
      <c r="DHI11" s="239"/>
      <c r="DHJ11" s="239"/>
      <c r="DHK11" s="239"/>
      <c r="DHL11" s="239"/>
      <c r="DHM11" s="239"/>
      <c r="DHN11" s="239"/>
      <c r="DHO11" s="239"/>
      <c r="DHP11" s="239"/>
      <c r="DHQ11" s="239"/>
      <c r="DHR11" s="239"/>
      <c r="DHS11" s="239"/>
      <c r="DHT11" s="239"/>
      <c r="DHU11" s="239"/>
      <c r="DHV11" s="239"/>
      <c r="DHW11" s="239"/>
      <c r="DHX11" s="239"/>
      <c r="DHY11" s="239"/>
      <c r="DHZ11" s="239"/>
      <c r="DIA11" s="239"/>
      <c r="DIB11" s="239"/>
      <c r="DIC11" s="239"/>
      <c r="DID11" s="239"/>
      <c r="DIE11" s="239"/>
      <c r="DIF11" s="239"/>
      <c r="DIG11" s="239"/>
      <c r="DIH11" s="239"/>
      <c r="DII11" s="239"/>
      <c r="DIJ11" s="239"/>
      <c r="DIK11" s="239"/>
      <c r="DIL11" s="239"/>
      <c r="DIM11" s="239"/>
      <c r="DIN11" s="239"/>
      <c r="DIO11" s="239"/>
      <c r="DIP11" s="239"/>
      <c r="DIQ11" s="239"/>
      <c r="DIR11" s="239"/>
      <c r="DIS11" s="239"/>
      <c r="DIT11" s="239"/>
      <c r="DIU11" s="239"/>
      <c r="DIV11" s="239"/>
      <c r="DIW11" s="239"/>
      <c r="DIX11" s="239"/>
      <c r="DIY11" s="239"/>
      <c r="DIZ11" s="239"/>
      <c r="DJA11" s="239"/>
      <c r="DJB11" s="239"/>
      <c r="DJC11" s="239"/>
      <c r="DJD11" s="239"/>
      <c r="DJE11" s="239"/>
      <c r="DJF11" s="239"/>
      <c r="DJG11" s="239"/>
      <c r="DJH11" s="239"/>
      <c r="DJI11" s="239"/>
      <c r="DJJ11" s="239"/>
      <c r="DJK11" s="239"/>
      <c r="DJL11" s="239"/>
      <c r="DJM11" s="239"/>
      <c r="DJN11" s="239"/>
      <c r="DJO11" s="239"/>
      <c r="DJP11" s="239"/>
      <c r="DJQ11" s="239"/>
      <c r="DJR11" s="239"/>
      <c r="DJS11" s="239"/>
      <c r="DJT11" s="239"/>
      <c r="DJU11" s="239"/>
      <c r="DJV11" s="239"/>
      <c r="DJW11" s="239"/>
      <c r="DJX11" s="239"/>
      <c r="DJY11" s="239"/>
      <c r="DJZ11" s="239"/>
      <c r="DKA11" s="239"/>
      <c r="DKB11" s="239"/>
      <c r="DKC11" s="239"/>
      <c r="DKD11" s="239"/>
      <c r="DKE11" s="239"/>
      <c r="DKF11" s="239"/>
      <c r="DKG11" s="239"/>
      <c r="DKH11" s="239"/>
      <c r="DKI11" s="239"/>
      <c r="DKJ11" s="239"/>
      <c r="DKK11" s="239"/>
      <c r="DKL11" s="239"/>
      <c r="DKM11" s="239"/>
      <c r="DKN11" s="239"/>
      <c r="DKO11" s="239"/>
      <c r="DKP11" s="239"/>
      <c r="DKQ11" s="239"/>
      <c r="DKR11" s="239"/>
      <c r="DKS11" s="239"/>
      <c r="DKT11" s="239"/>
      <c r="DKU11" s="239"/>
      <c r="DKV11" s="239"/>
      <c r="DKW11" s="239"/>
      <c r="DKX11" s="239"/>
      <c r="DKY11" s="239"/>
      <c r="DKZ11" s="239"/>
      <c r="DLA11" s="239"/>
      <c r="DLB11" s="239"/>
      <c r="DLC11" s="239"/>
      <c r="DLD11" s="239"/>
      <c r="DLE11" s="239"/>
      <c r="DLF11" s="239"/>
      <c r="DLG11" s="239"/>
      <c r="DLH11" s="239"/>
      <c r="DLI11" s="239"/>
      <c r="DLJ11" s="239"/>
      <c r="DLK11" s="239"/>
      <c r="DLL11" s="239"/>
      <c r="DLM11" s="239"/>
      <c r="DLN11" s="239"/>
      <c r="DLO11" s="239"/>
      <c r="DLP11" s="239"/>
      <c r="DLQ11" s="239"/>
      <c r="DLR11" s="239"/>
      <c r="DLS11" s="239"/>
      <c r="DLT11" s="239"/>
      <c r="DLU11" s="239"/>
      <c r="DLV11" s="239"/>
      <c r="DLW11" s="239"/>
      <c r="DLX11" s="239"/>
      <c r="DLY11" s="239"/>
      <c r="DLZ11" s="239"/>
      <c r="DMA11" s="239"/>
      <c r="DMB11" s="239"/>
      <c r="DMC11" s="239"/>
      <c r="DMD11" s="239"/>
      <c r="DME11" s="239"/>
      <c r="DMF11" s="239"/>
      <c r="DMG11" s="239"/>
      <c r="DMH11" s="239"/>
      <c r="DMI11" s="239"/>
      <c r="DMJ11" s="239"/>
      <c r="DMK11" s="239"/>
      <c r="DML11" s="239"/>
      <c r="DMM11" s="239"/>
      <c r="DMN11" s="239"/>
      <c r="DMO11" s="239"/>
      <c r="DMP11" s="239"/>
      <c r="DMQ11" s="239"/>
      <c r="DMR11" s="239"/>
      <c r="DMS11" s="239"/>
      <c r="DMT11" s="239"/>
      <c r="DMU11" s="239"/>
      <c r="DMV11" s="239"/>
      <c r="DMW11" s="239"/>
      <c r="DMX11" s="239"/>
      <c r="DMY11" s="239"/>
      <c r="DMZ11" s="239"/>
      <c r="DNA11" s="239"/>
      <c r="DNB11" s="239"/>
      <c r="DNC11" s="239"/>
      <c r="DND11" s="239"/>
      <c r="DNE11" s="239"/>
      <c r="DNF11" s="239"/>
      <c r="DNG11" s="239"/>
      <c r="DNH11" s="239"/>
      <c r="DNI11" s="239"/>
      <c r="DNJ11" s="239"/>
      <c r="DNK11" s="239"/>
      <c r="DNL11" s="239"/>
      <c r="DNM11" s="239"/>
      <c r="DNN11" s="239"/>
      <c r="DNO11" s="239"/>
      <c r="DNP11" s="239"/>
      <c r="DNQ11" s="239"/>
      <c r="DNR11" s="239"/>
      <c r="DNS11" s="239"/>
      <c r="DNT11" s="239"/>
      <c r="DNU11" s="239"/>
      <c r="DNV11" s="239"/>
      <c r="DNW11" s="239"/>
      <c r="DNX11" s="239"/>
      <c r="DNY11" s="239"/>
      <c r="DNZ11" s="239"/>
      <c r="DOA11" s="239"/>
      <c r="DOB11" s="239"/>
      <c r="DOC11" s="239"/>
      <c r="DOD11" s="239"/>
      <c r="DOE11" s="239"/>
      <c r="DOF11" s="239"/>
      <c r="DOG11" s="239"/>
      <c r="DOH11" s="239"/>
      <c r="DOI11" s="239"/>
      <c r="DOJ11" s="239"/>
      <c r="DOK11" s="239"/>
      <c r="DOL11" s="239"/>
      <c r="DOM11" s="239"/>
      <c r="DON11" s="239"/>
      <c r="DOO11" s="239"/>
      <c r="DOP11" s="239"/>
      <c r="DOQ11" s="239"/>
      <c r="DOR11" s="239"/>
      <c r="DOS11" s="239"/>
      <c r="DOT11" s="239"/>
      <c r="DOU11" s="239"/>
      <c r="DOV11" s="239"/>
      <c r="DOW11" s="239"/>
      <c r="DOX11" s="239"/>
      <c r="DOY11" s="239"/>
      <c r="DOZ11" s="239"/>
      <c r="DPA11" s="239"/>
      <c r="DPB11" s="239"/>
      <c r="DPC11" s="239"/>
      <c r="DPD11" s="239"/>
      <c r="DPE11" s="239"/>
      <c r="DPF11" s="239"/>
      <c r="DPG11" s="239"/>
      <c r="DPH11" s="239"/>
      <c r="DPI11" s="239"/>
      <c r="DPJ11" s="239"/>
      <c r="DPK11" s="239"/>
      <c r="DPL11" s="239"/>
      <c r="DPM11" s="239"/>
      <c r="DPN11" s="239"/>
      <c r="DPO11" s="239"/>
      <c r="DPP11" s="239"/>
      <c r="DPQ11" s="239"/>
      <c r="DPR11" s="239"/>
      <c r="DPS11" s="239"/>
      <c r="DPT11" s="239"/>
      <c r="DPU11" s="239"/>
      <c r="DPV11" s="239"/>
      <c r="DPW11" s="239"/>
      <c r="DPX11" s="239"/>
      <c r="DPY11" s="239"/>
      <c r="DPZ11" s="239"/>
      <c r="DQA11" s="239"/>
      <c r="DQB11" s="239"/>
      <c r="DQC11" s="239"/>
      <c r="DQD11" s="239"/>
      <c r="DQE11" s="239"/>
      <c r="DQF11" s="239"/>
      <c r="DQG11" s="239"/>
      <c r="DQH11" s="239"/>
      <c r="DQI11" s="239"/>
      <c r="DQJ11" s="239"/>
      <c r="DQK11" s="239"/>
      <c r="DQL11" s="239"/>
      <c r="DQM11" s="239"/>
      <c r="DQN11" s="239"/>
      <c r="DQO11" s="239"/>
      <c r="DQP11" s="239"/>
      <c r="DQQ11" s="239"/>
      <c r="DQR11" s="239"/>
      <c r="DQS11" s="239"/>
      <c r="DQT11" s="239"/>
      <c r="DQU11" s="239"/>
      <c r="DQV11" s="239"/>
      <c r="DQW11" s="239"/>
      <c r="DQX11" s="239"/>
      <c r="DQY11" s="239"/>
      <c r="DQZ11" s="239"/>
      <c r="DRA11" s="239"/>
      <c r="DRB11" s="239"/>
      <c r="DRC11" s="239"/>
      <c r="DRD11" s="239"/>
      <c r="DRE11" s="239"/>
      <c r="DRF11" s="239"/>
      <c r="DRG11" s="239"/>
      <c r="DRH11" s="239"/>
      <c r="DRI11" s="239"/>
      <c r="DRJ11" s="239"/>
      <c r="DRK11" s="239"/>
      <c r="DRL11" s="239"/>
      <c r="DRM11" s="239"/>
      <c r="DRN11" s="239"/>
      <c r="DRO11" s="239"/>
      <c r="DRP11" s="239"/>
      <c r="DRQ11" s="239"/>
      <c r="DRR11" s="239"/>
      <c r="DRS11" s="239"/>
      <c r="DRT11" s="239"/>
      <c r="DRU11" s="239"/>
      <c r="DRV11" s="239"/>
      <c r="DRW11" s="239"/>
      <c r="DRX11" s="239"/>
      <c r="DRY11" s="239"/>
      <c r="DRZ11" s="239"/>
      <c r="DSA11" s="239"/>
      <c r="DSB11" s="239"/>
      <c r="DSC11" s="239"/>
      <c r="DSD11" s="239"/>
      <c r="DSE11" s="239"/>
      <c r="DSF11" s="239"/>
      <c r="DSG11" s="239"/>
      <c r="DSH11" s="239"/>
      <c r="DSI11" s="239"/>
      <c r="DSJ11" s="239"/>
      <c r="DSK11" s="239"/>
      <c r="DSL11" s="239"/>
      <c r="DSM11" s="239"/>
      <c r="DSN11" s="239"/>
      <c r="DSO11" s="239"/>
      <c r="DSP11" s="239"/>
      <c r="DSQ11" s="239"/>
      <c r="DSR11" s="239"/>
      <c r="DSS11" s="239"/>
      <c r="DST11" s="239"/>
      <c r="DSU11" s="239"/>
      <c r="DSV11" s="239"/>
      <c r="DSW11" s="239"/>
      <c r="DSX11" s="239"/>
      <c r="DSY11" s="239"/>
      <c r="DSZ11" s="239"/>
      <c r="DTA11" s="239"/>
      <c r="DTB11" s="239"/>
      <c r="DTC11" s="239"/>
      <c r="DTD11" s="239"/>
      <c r="DTE11" s="239"/>
      <c r="DTF11" s="239"/>
      <c r="DTG11" s="239"/>
      <c r="DTH11" s="239"/>
      <c r="DTI11" s="239"/>
      <c r="DTJ11" s="239"/>
      <c r="DTK11" s="239"/>
      <c r="DTL11" s="239"/>
      <c r="DTM11" s="239"/>
      <c r="DTN11" s="239"/>
      <c r="DTO11" s="239"/>
      <c r="DTP11" s="239"/>
      <c r="DTQ11" s="239"/>
      <c r="DTR11" s="239"/>
      <c r="DTS11" s="239"/>
      <c r="DTT11" s="239"/>
      <c r="DTU11" s="239"/>
      <c r="DTV11" s="239"/>
      <c r="DTW11" s="239"/>
      <c r="DTX11" s="239"/>
      <c r="DTY11" s="239"/>
      <c r="DTZ11" s="239"/>
      <c r="DUA11" s="239"/>
      <c r="DUB11" s="239"/>
      <c r="DUC11" s="239"/>
      <c r="DUD11" s="239"/>
      <c r="DUE11" s="239"/>
      <c r="DUF11" s="239"/>
      <c r="DUG11" s="239"/>
      <c r="DUH11" s="239"/>
      <c r="DUI11" s="239"/>
      <c r="DUJ11" s="239"/>
      <c r="DUK11" s="239"/>
      <c r="DUL11" s="239"/>
      <c r="DUM11" s="239"/>
      <c r="DUN11" s="239"/>
      <c r="DUO11" s="239"/>
      <c r="DUP11" s="239"/>
      <c r="DUQ11" s="239"/>
      <c r="DUR11" s="239"/>
      <c r="DUS11" s="239"/>
      <c r="DUT11" s="239"/>
      <c r="DUU11" s="239"/>
      <c r="DUV11" s="239"/>
      <c r="DUW11" s="239"/>
      <c r="DUX11" s="239"/>
      <c r="DUY11" s="239"/>
      <c r="DUZ11" s="239"/>
      <c r="DVA11" s="239"/>
      <c r="DVB11" s="239"/>
      <c r="DVC11" s="239"/>
      <c r="DVD11" s="239"/>
      <c r="DVE11" s="239"/>
      <c r="DVF11" s="239"/>
      <c r="DVG11" s="239"/>
      <c r="DVH11" s="239"/>
      <c r="DVI11" s="239"/>
      <c r="DVJ11" s="239"/>
      <c r="DVK11" s="239"/>
      <c r="DVL11" s="239"/>
      <c r="DVM11" s="239"/>
      <c r="DVN11" s="239"/>
      <c r="DVO11" s="239"/>
      <c r="DVP11" s="239"/>
      <c r="DVQ11" s="239"/>
      <c r="DVR11" s="239"/>
      <c r="DVS11" s="239"/>
      <c r="DVT11" s="239"/>
      <c r="DVU11" s="239"/>
      <c r="DVV11" s="239"/>
      <c r="DVW11" s="239"/>
      <c r="DVX11" s="239"/>
      <c r="DVY11" s="239"/>
      <c r="DVZ11" s="239"/>
      <c r="DWA11" s="239"/>
      <c r="DWB11" s="239"/>
      <c r="DWC11" s="239"/>
      <c r="DWD11" s="239"/>
      <c r="DWE11" s="239"/>
      <c r="DWF11" s="239"/>
      <c r="DWG11" s="239"/>
      <c r="DWH11" s="239"/>
      <c r="DWI11" s="239"/>
      <c r="DWJ11" s="239"/>
      <c r="DWK11" s="239"/>
      <c r="DWL11" s="239"/>
      <c r="DWM11" s="239"/>
      <c r="DWN11" s="239"/>
      <c r="DWO11" s="239"/>
      <c r="DWP11" s="239"/>
      <c r="DWQ11" s="239"/>
      <c r="DWR11" s="239"/>
      <c r="DWS11" s="239"/>
      <c r="DWT11" s="239"/>
      <c r="DWU11" s="239"/>
      <c r="DWV11" s="239"/>
      <c r="DWW11" s="239"/>
      <c r="DWX11" s="239"/>
      <c r="DWY11" s="239"/>
      <c r="DWZ11" s="239"/>
      <c r="DXA11" s="239"/>
      <c r="DXB11" s="239"/>
      <c r="DXC11" s="239"/>
      <c r="DXD11" s="239"/>
      <c r="DXE11" s="239"/>
      <c r="DXF11" s="239"/>
      <c r="DXG11" s="239"/>
      <c r="DXH11" s="239"/>
      <c r="DXI11" s="239"/>
      <c r="DXJ11" s="239"/>
      <c r="DXK11" s="239"/>
      <c r="DXL11" s="239"/>
      <c r="DXM11" s="239"/>
      <c r="DXN11" s="239"/>
      <c r="DXO11" s="239"/>
      <c r="DXP11" s="239"/>
      <c r="DXQ11" s="239"/>
      <c r="DXR11" s="239"/>
      <c r="DXS11" s="239"/>
      <c r="DXT11" s="239"/>
      <c r="DXU11" s="239"/>
      <c r="DXV11" s="239"/>
      <c r="DXW11" s="239"/>
      <c r="DXX11" s="239"/>
      <c r="DXY11" s="239"/>
      <c r="DXZ11" s="239"/>
      <c r="DYA11" s="239"/>
      <c r="DYB11" s="239"/>
      <c r="DYC11" s="239"/>
      <c r="DYD11" s="239"/>
      <c r="DYE11" s="239"/>
      <c r="DYF11" s="239"/>
      <c r="DYG11" s="239"/>
      <c r="DYH11" s="239"/>
      <c r="DYI11" s="239"/>
      <c r="DYJ11" s="239"/>
      <c r="DYK11" s="239"/>
      <c r="DYL11" s="239"/>
      <c r="DYM11" s="239"/>
      <c r="DYN11" s="239"/>
      <c r="DYO11" s="239"/>
      <c r="DYP11" s="239"/>
      <c r="DYQ11" s="239"/>
      <c r="DYR11" s="239"/>
      <c r="DYS11" s="239"/>
      <c r="DYT11" s="239"/>
      <c r="DYU11" s="239"/>
      <c r="DYV11" s="239"/>
      <c r="DYW11" s="239"/>
      <c r="DYX11" s="239"/>
      <c r="DYY11" s="239"/>
      <c r="DYZ11" s="239"/>
      <c r="DZA11" s="239"/>
      <c r="DZB11" s="239"/>
      <c r="DZC11" s="239"/>
      <c r="DZD11" s="239"/>
      <c r="DZE11" s="239"/>
      <c r="DZF11" s="239"/>
      <c r="DZG11" s="239"/>
      <c r="DZH11" s="239"/>
      <c r="DZI11" s="239"/>
      <c r="DZJ11" s="239"/>
      <c r="DZK11" s="239"/>
      <c r="DZL11" s="239"/>
      <c r="DZM11" s="239"/>
      <c r="DZN11" s="239"/>
      <c r="DZO11" s="239"/>
      <c r="DZP11" s="239"/>
      <c r="DZQ11" s="239"/>
      <c r="DZR11" s="239"/>
      <c r="DZS11" s="239"/>
      <c r="DZT11" s="239"/>
      <c r="DZU11" s="239"/>
      <c r="DZV11" s="239"/>
      <c r="DZW11" s="239"/>
      <c r="DZX11" s="239"/>
      <c r="DZY11" s="239"/>
      <c r="DZZ11" s="239"/>
      <c r="EAA11" s="239"/>
      <c r="EAB11" s="239"/>
      <c r="EAC11" s="239"/>
      <c r="EAD11" s="239"/>
      <c r="EAE11" s="239"/>
      <c r="EAF11" s="239"/>
      <c r="EAG11" s="239"/>
      <c r="EAH11" s="239"/>
      <c r="EAI11" s="239"/>
      <c r="EAJ11" s="239"/>
      <c r="EAK11" s="239"/>
      <c r="EAL11" s="239"/>
      <c r="EAM11" s="239"/>
      <c r="EAN11" s="239"/>
      <c r="EAO11" s="239"/>
      <c r="EAP11" s="239"/>
      <c r="EAQ11" s="239"/>
      <c r="EAR11" s="239"/>
      <c r="EAS11" s="239"/>
      <c r="EAT11" s="239"/>
      <c r="EAU11" s="239"/>
      <c r="EAV11" s="239"/>
      <c r="EAW11" s="239"/>
      <c r="EAX11" s="239"/>
      <c r="EAY11" s="239"/>
      <c r="EAZ11" s="239"/>
      <c r="EBA11" s="239"/>
      <c r="EBB11" s="239"/>
      <c r="EBC11" s="239"/>
      <c r="EBD11" s="239"/>
      <c r="EBE11" s="239"/>
      <c r="EBF11" s="239"/>
      <c r="EBG11" s="239"/>
      <c r="EBH11" s="239"/>
      <c r="EBI11" s="239"/>
      <c r="EBJ11" s="239"/>
      <c r="EBK11" s="239"/>
      <c r="EBL11" s="239"/>
      <c r="EBM11" s="239"/>
      <c r="EBN11" s="239"/>
      <c r="EBO11" s="239"/>
      <c r="EBP11" s="239"/>
      <c r="EBQ11" s="239"/>
      <c r="EBR11" s="239"/>
      <c r="EBS11" s="239"/>
      <c r="EBT11" s="239"/>
      <c r="EBU11" s="239"/>
      <c r="EBV11" s="239"/>
      <c r="EBW11" s="239"/>
      <c r="EBX11" s="239"/>
      <c r="EBY11" s="239"/>
      <c r="EBZ11" s="239"/>
      <c r="ECA11" s="239"/>
      <c r="ECB11" s="239"/>
      <c r="ECC11" s="239"/>
      <c r="ECD11" s="239"/>
      <c r="ECE11" s="239"/>
      <c r="ECF11" s="239"/>
      <c r="ECG11" s="239"/>
      <c r="ECH11" s="239"/>
      <c r="ECI11" s="239"/>
      <c r="ECJ11" s="239"/>
      <c r="ECK11" s="239"/>
      <c r="ECL11" s="239"/>
      <c r="ECM11" s="239"/>
      <c r="ECN11" s="239"/>
      <c r="ECO11" s="239"/>
      <c r="ECP11" s="239"/>
      <c r="ECQ11" s="239"/>
      <c r="ECR11" s="239"/>
      <c r="ECS11" s="239"/>
      <c r="ECT11" s="239"/>
      <c r="ECU11" s="239"/>
      <c r="ECV11" s="239"/>
      <c r="ECW11" s="239"/>
      <c r="ECX11" s="239"/>
      <c r="ECY11" s="239"/>
      <c r="ECZ11" s="239"/>
      <c r="EDA11" s="239"/>
      <c r="EDB11" s="239"/>
      <c r="EDC11" s="239"/>
      <c r="EDD11" s="239"/>
      <c r="EDE11" s="239"/>
      <c r="EDF11" s="239"/>
      <c r="EDG11" s="239"/>
      <c r="EDH11" s="239"/>
      <c r="EDI11" s="239"/>
      <c r="EDJ11" s="239"/>
      <c r="EDK11" s="239"/>
      <c r="EDL11" s="239"/>
      <c r="EDM11" s="239"/>
      <c r="EDN11" s="239"/>
      <c r="EDO11" s="239"/>
      <c r="EDP11" s="239"/>
      <c r="EDQ11" s="239"/>
      <c r="EDR11" s="239"/>
      <c r="EDS11" s="239"/>
      <c r="EDT11" s="239"/>
      <c r="EDU11" s="239"/>
      <c r="EDV11" s="239"/>
      <c r="EDW11" s="239"/>
      <c r="EDX11" s="239"/>
      <c r="EDY11" s="239"/>
      <c r="EDZ11" s="239"/>
      <c r="EEA11" s="239"/>
      <c r="EEB11" s="239"/>
      <c r="EEC11" s="239"/>
      <c r="EED11" s="239"/>
      <c r="EEE11" s="239"/>
      <c r="EEF11" s="239"/>
      <c r="EEG11" s="239"/>
      <c r="EEH11" s="239"/>
      <c r="EEI11" s="239"/>
      <c r="EEJ11" s="239"/>
      <c r="EEK11" s="239"/>
      <c r="EEL11" s="239"/>
      <c r="EEM11" s="239"/>
      <c r="EEN11" s="239"/>
      <c r="EEO11" s="239"/>
      <c r="EEP11" s="239"/>
      <c r="EEQ11" s="239"/>
      <c r="EER11" s="239"/>
      <c r="EES11" s="239"/>
      <c r="EET11" s="239"/>
      <c r="EEU11" s="239"/>
      <c r="EEV11" s="239"/>
      <c r="EEW11" s="239"/>
      <c r="EEX11" s="239"/>
      <c r="EEY11" s="239"/>
      <c r="EEZ11" s="239"/>
      <c r="EFA11" s="239"/>
      <c r="EFB11" s="239"/>
      <c r="EFC11" s="239"/>
      <c r="EFD11" s="239"/>
      <c r="EFE11" s="239"/>
      <c r="EFF11" s="239"/>
      <c r="EFG11" s="239"/>
      <c r="EFH11" s="239"/>
      <c r="EFI11" s="239"/>
      <c r="EFJ11" s="239"/>
      <c r="EFK11" s="239"/>
      <c r="EFL11" s="239"/>
      <c r="EFM11" s="239"/>
      <c r="EFN11" s="239"/>
      <c r="EFO11" s="239"/>
      <c r="EFP11" s="239"/>
      <c r="EFQ11" s="239"/>
      <c r="EFR11" s="239"/>
      <c r="EFS11" s="239"/>
      <c r="EFT11" s="239"/>
      <c r="EFU11" s="239"/>
      <c r="EFV11" s="239"/>
      <c r="EFW11" s="239"/>
      <c r="EFX11" s="239"/>
      <c r="EFY11" s="239"/>
      <c r="EFZ11" s="239"/>
      <c r="EGA11" s="239"/>
      <c r="EGB11" s="239"/>
      <c r="EGC11" s="239"/>
      <c r="EGD11" s="239"/>
      <c r="EGE11" s="239"/>
      <c r="EGF11" s="239"/>
      <c r="EGG11" s="239"/>
      <c r="EGH11" s="239"/>
      <c r="EGI11" s="239"/>
      <c r="EGJ11" s="239"/>
      <c r="EGK11" s="239"/>
      <c r="EGL11" s="239"/>
      <c r="EGM11" s="239"/>
      <c r="EGN11" s="239"/>
      <c r="EGO11" s="239"/>
      <c r="EGP11" s="239"/>
      <c r="EGQ11" s="239"/>
      <c r="EGR11" s="239"/>
      <c r="EGS11" s="239"/>
      <c r="EGT11" s="239"/>
      <c r="EGU11" s="239"/>
      <c r="EGV11" s="239"/>
      <c r="EGW11" s="239"/>
      <c r="EGX11" s="239"/>
      <c r="EGY11" s="239"/>
      <c r="EGZ11" s="239"/>
      <c r="EHA11" s="239"/>
      <c r="EHB11" s="239"/>
      <c r="EHC11" s="239"/>
      <c r="EHD11" s="239"/>
      <c r="EHE11" s="239"/>
      <c r="EHF11" s="239"/>
      <c r="EHG11" s="239"/>
      <c r="EHH11" s="239"/>
      <c r="EHI11" s="239"/>
      <c r="EHJ11" s="239"/>
      <c r="EHK11" s="239"/>
      <c r="EHL11" s="239"/>
      <c r="EHM11" s="239"/>
      <c r="EHN11" s="239"/>
      <c r="EHO11" s="239"/>
      <c r="EHP11" s="239"/>
      <c r="EHQ11" s="239"/>
      <c r="EHR11" s="239"/>
      <c r="EHS11" s="239"/>
      <c r="EHT11" s="239"/>
      <c r="EHU11" s="239"/>
      <c r="EHV11" s="239"/>
      <c r="EHW11" s="239"/>
      <c r="EHX11" s="239"/>
      <c r="EHY11" s="239"/>
      <c r="EHZ11" s="239"/>
      <c r="EIA11" s="239"/>
      <c r="EIB11" s="239"/>
      <c r="EIC11" s="239"/>
      <c r="EID11" s="239"/>
      <c r="EIE11" s="239"/>
      <c r="EIF11" s="239"/>
      <c r="EIG11" s="239"/>
      <c r="EIH11" s="239"/>
      <c r="EII11" s="239"/>
      <c r="EIJ11" s="239"/>
      <c r="EIK11" s="239"/>
      <c r="EIL11" s="239"/>
      <c r="EIM11" s="239"/>
      <c r="EIN11" s="239"/>
      <c r="EIO11" s="239"/>
      <c r="EIP11" s="239"/>
      <c r="EIQ11" s="239"/>
      <c r="EIR11" s="239"/>
      <c r="EIS11" s="239"/>
      <c r="EIT11" s="239"/>
      <c r="EIU11" s="239"/>
      <c r="EIV11" s="239"/>
      <c r="EIW11" s="239"/>
      <c r="EIX11" s="239"/>
      <c r="EIY11" s="239"/>
      <c r="EIZ11" s="239"/>
      <c r="EJA11" s="239"/>
      <c r="EJB11" s="239"/>
      <c r="EJC11" s="239"/>
      <c r="EJD11" s="239"/>
      <c r="EJE11" s="239"/>
      <c r="EJF11" s="239"/>
      <c r="EJG11" s="239"/>
      <c r="EJH11" s="239"/>
      <c r="EJI11" s="239"/>
      <c r="EJJ11" s="239"/>
      <c r="EJK11" s="239"/>
      <c r="EJL11" s="239"/>
      <c r="EJM11" s="239"/>
      <c r="EJN11" s="239"/>
      <c r="EJO11" s="239"/>
      <c r="EJP11" s="239"/>
      <c r="EJQ11" s="239"/>
      <c r="EJR11" s="239"/>
      <c r="EJS11" s="239"/>
      <c r="EJT11" s="239"/>
      <c r="EJU11" s="239"/>
      <c r="EJV11" s="239"/>
      <c r="EJW11" s="239"/>
      <c r="EJX11" s="239"/>
      <c r="EJY11" s="239"/>
      <c r="EJZ11" s="239"/>
      <c r="EKA11" s="239"/>
      <c r="EKB11" s="239"/>
      <c r="EKC11" s="239"/>
      <c r="EKD11" s="239"/>
      <c r="EKE11" s="239"/>
      <c r="EKF11" s="239"/>
      <c r="EKG11" s="239"/>
      <c r="EKH11" s="239"/>
      <c r="EKI11" s="239"/>
      <c r="EKJ11" s="239"/>
      <c r="EKK11" s="239"/>
      <c r="EKL11" s="239"/>
      <c r="EKM11" s="239"/>
      <c r="EKN11" s="239"/>
      <c r="EKO11" s="239"/>
      <c r="EKP11" s="239"/>
      <c r="EKQ11" s="239"/>
      <c r="EKR11" s="239"/>
      <c r="EKS11" s="239"/>
      <c r="EKT11" s="239"/>
      <c r="EKU11" s="239"/>
      <c r="EKV11" s="239"/>
      <c r="EKW11" s="239"/>
      <c r="EKX11" s="239"/>
      <c r="EKY11" s="239"/>
      <c r="EKZ11" s="239"/>
      <c r="ELA11" s="239"/>
      <c r="ELB11" s="239"/>
      <c r="ELC11" s="239"/>
      <c r="ELD11" s="239"/>
      <c r="ELE11" s="239"/>
      <c r="ELF11" s="239"/>
      <c r="ELG11" s="239"/>
      <c r="ELH11" s="239"/>
      <c r="ELI11" s="239"/>
      <c r="ELJ11" s="239"/>
      <c r="ELK11" s="239"/>
      <c r="ELL11" s="239"/>
      <c r="ELM11" s="239"/>
      <c r="ELN11" s="239"/>
      <c r="ELO11" s="239"/>
      <c r="ELP11" s="239"/>
      <c r="ELQ11" s="239"/>
      <c r="ELR11" s="239"/>
      <c r="ELS11" s="239"/>
      <c r="ELT11" s="239"/>
      <c r="ELU11" s="239"/>
      <c r="ELV11" s="239"/>
      <c r="ELW11" s="239"/>
      <c r="ELX11" s="239"/>
      <c r="ELY11" s="239"/>
      <c r="ELZ11" s="239"/>
      <c r="EMA11" s="239"/>
      <c r="EMB11" s="239"/>
      <c r="EMC11" s="239"/>
      <c r="EMD11" s="239"/>
      <c r="EME11" s="239"/>
      <c r="EMF11" s="239"/>
      <c r="EMG11" s="239"/>
      <c r="EMH11" s="239"/>
      <c r="EMI11" s="239"/>
      <c r="EMJ11" s="239"/>
      <c r="EMK11" s="239"/>
      <c r="EML11" s="239"/>
      <c r="EMM11" s="239"/>
      <c r="EMN11" s="239"/>
      <c r="EMO11" s="239"/>
      <c r="EMP11" s="239"/>
      <c r="EMQ11" s="239"/>
      <c r="EMR11" s="239"/>
      <c r="EMS11" s="239"/>
      <c r="EMT11" s="239"/>
      <c r="EMU11" s="239"/>
      <c r="EMV11" s="239"/>
      <c r="EMW11" s="239"/>
      <c r="EMX11" s="239"/>
      <c r="EMY11" s="239"/>
      <c r="EMZ11" s="239"/>
      <c r="ENA11" s="239"/>
      <c r="ENB11" s="239"/>
      <c r="ENC11" s="239"/>
      <c r="END11" s="239"/>
      <c r="ENE11" s="239"/>
      <c r="ENF11" s="239"/>
      <c r="ENG11" s="239"/>
      <c r="ENH11" s="239"/>
      <c r="ENI11" s="239"/>
      <c r="ENJ11" s="239"/>
      <c r="ENK11" s="239"/>
      <c r="ENL11" s="239"/>
      <c r="ENM11" s="239"/>
      <c r="ENN11" s="239"/>
      <c r="ENO11" s="239"/>
      <c r="ENP11" s="239"/>
      <c r="ENQ11" s="239"/>
      <c r="ENR11" s="239"/>
      <c r="ENS11" s="239"/>
      <c r="ENT11" s="239"/>
      <c r="ENU11" s="239"/>
      <c r="ENV11" s="239"/>
      <c r="ENW11" s="239"/>
      <c r="ENX11" s="239"/>
      <c r="ENY11" s="239"/>
      <c r="ENZ11" s="239"/>
      <c r="EOA11" s="239"/>
      <c r="EOB11" s="239"/>
      <c r="EOC11" s="239"/>
      <c r="EOD11" s="239"/>
      <c r="EOE11" s="239"/>
      <c r="EOF11" s="239"/>
      <c r="EOG11" s="239"/>
      <c r="EOH11" s="239"/>
      <c r="EOI11" s="239"/>
      <c r="EOJ11" s="239"/>
      <c r="EOK11" s="239"/>
      <c r="EOL11" s="239"/>
      <c r="EOM11" s="239"/>
      <c r="EON11" s="239"/>
      <c r="EOO11" s="239"/>
      <c r="EOP11" s="239"/>
      <c r="EOQ11" s="239"/>
      <c r="EOR11" s="239"/>
      <c r="EOS11" s="239"/>
      <c r="EOT11" s="239"/>
      <c r="EOU11" s="239"/>
      <c r="EOV11" s="239"/>
      <c r="EOW11" s="239"/>
      <c r="EOX11" s="239"/>
      <c r="EOY11" s="239"/>
      <c r="EOZ11" s="239"/>
      <c r="EPA11" s="239"/>
      <c r="EPB11" s="239"/>
      <c r="EPC11" s="239"/>
      <c r="EPD11" s="239"/>
      <c r="EPE11" s="239"/>
      <c r="EPF11" s="239"/>
      <c r="EPG11" s="239"/>
      <c r="EPH11" s="239"/>
      <c r="EPI11" s="239"/>
      <c r="EPJ11" s="239"/>
      <c r="EPK11" s="239"/>
      <c r="EPL11" s="239"/>
      <c r="EPM11" s="239"/>
      <c r="EPN11" s="239"/>
      <c r="EPO11" s="239"/>
      <c r="EPP11" s="239"/>
      <c r="EPQ11" s="239"/>
      <c r="EPR11" s="239"/>
      <c r="EPS11" s="239"/>
      <c r="EPT11" s="239"/>
      <c r="EPU11" s="239"/>
      <c r="EPV11" s="239"/>
      <c r="EPW11" s="239"/>
      <c r="EPX11" s="239"/>
      <c r="EPY11" s="239"/>
      <c r="EPZ11" s="239"/>
      <c r="EQA11" s="239"/>
      <c r="EQB11" s="239"/>
      <c r="EQC11" s="239"/>
      <c r="EQD11" s="239"/>
      <c r="EQE11" s="239"/>
      <c r="EQF11" s="239"/>
      <c r="EQG11" s="239"/>
      <c r="EQH11" s="239"/>
      <c r="EQI11" s="239"/>
      <c r="EQJ11" s="239"/>
      <c r="EQK11" s="239"/>
      <c r="EQL11" s="239"/>
      <c r="EQM11" s="239"/>
      <c r="EQN11" s="239"/>
      <c r="EQO11" s="239"/>
      <c r="EQP11" s="239"/>
      <c r="EQQ11" s="239"/>
      <c r="EQR11" s="239"/>
      <c r="EQS11" s="239"/>
      <c r="EQT11" s="239"/>
      <c r="EQU11" s="239"/>
      <c r="EQV11" s="239"/>
      <c r="EQW11" s="239"/>
      <c r="EQX11" s="239"/>
      <c r="EQY11" s="239"/>
      <c r="EQZ11" s="239"/>
      <c r="ERA11" s="239"/>
      <c r="ERB11" s="239"/>
      <c r="ERC11" s="239"/>
      <c r="ERD11" s="239"/>
      <c r="ERE11" s="239"/>
      <c r="ERF11" s="239"/>
      <c r="ERG11" s="239"/>
      <c r="ERH11" s="239"/>
      <c r="ERI11" s="239"/>
      <c r="ERJ11" s="239"/>
      <c r="ERK11" s="239"/>
      <c r="ERL11" s="239"/>
      <c r="ERM11" s="239"/>
      <c r="ERN11" s="239"/>
      <c r="ERO11" s="239"/>
      <c r="ERP11" s="239"/>
      <c r="ERQ11" s="239"/>
      <c r="ERR11" s="239"/>
      <c r="ERS11" s="239"/>
      <c r="ERT11" s="239"/>
      <c r="ERU11" s="239"/>
      <c r="ERV11" s="239"/>
      <c r="ERW11" s="239"/>
      <c r="ERX11" s="239"/>
      <c r="ERY11" s="239"/>
      <c r="ERZ11" s="239"/>
      <c r="ESA11" s="239"/>
      <c r="ESB11" s="239"/>
      <c r="ESC11" s="239"/>
      <c r="ESD11" s="239"/>
      <c r="ESE11" s="239"/>
      <c r="ESF11" s="239"/>
      <c r="ESG11" s="239"/>
      <c r="ESH11" s="239"/>
      <c r="ESI11" s="239"/>
      <c r="ESJ11" s="239"/>
      <c r="ESK11" s="239"/>
      <c r="ESL11" s="239"/>
      <c r="ESM11" s="239"/>
      <c r="ESN11" s="239"/>
      <c r="ESO11" s="239"/>
      <c r="ESP11" s="239"/>
      <c r="ESQ11" s="239"/>
      <c r="ESR11" s="239"/>
      <c r="ESS11" s="239"/>
      <c r="EST11" s="239"/>
      <c r="ESU11" s="239"/>
      <c r="ESV11" s="239"/>
      <c r="ESW11" s="239"/>
      <c r="ESX11" s="239"/>
      <c r="ESY11" s="239"/>
      <c r="ESZ11" s="239"/>
      <c r="ETA11" s="239"/>
      <c r="ETB11" s="239"/>
      <c r="ETC11" s="239"/>
      <c r="ETD11" s="239"/>
      <c r="ETE11" s="239"/>
      <c r="ETF11" s="239"/>
      <c r="ETG11" s="239"/>
      <c r="ETH11" s="239"/>
      <c r="ETI11" s="239"/>
      <c r="ETJ11" s="239"/>
      <c r="ETK11" s="239"/>
      <c r="ETL11" s="239"/>
      <c r="ETM11" s="239"/>
      <c r="ETN11" s="239"/>
      <c r="ETO11" s="239"/>
      <c r="ETP11" s="239"/>
      <c r="ETQ11" s="239"/>
      <c r="ETR11" s="239"/>
      <c r="ETS11" s="239"/>
      <c r="ETT11" s="239"/>
      <c r="ETU11" s="239"/>
      <c r="ETV11" s="239"/>
      <c r="ETW11" s="239"/>
      <c r="ETX11" s="239"/>
      <c r="ETY11" s="239"/>
      <c r="ETZ11" s="239"/>
      <c r="EUA11" s="239"/>
      <c r="EUB11" s="239"/>
      <c r="EUC11" s="239"/>
      <c r="EUD11" s="239"/>
      <c r="EUE11" s="239"/>
      <c r="EUF11" s="239"/>
      <c r="EUG11" s="239"/>
      <c r="EUH11" s="239"/>
      <c r="EUI11" s="239"/>
      <c r="EUJ11" s="239"/>
      <c r="EUK11" s="239"/>
      <c r="EUL11" s="239"/>
      <c r="EUM11" s="239"/>
      <c r="EUN11" s="239"/>
      <c r="EUO11" s="239"/>
      <c r="EUP11" s="239"/>
      <c r="EUQ11" s="239"/>
      <c r="EUR11" s="239"/>
      <c r="EUS11" s="239"/>
      <c r="EUT11" s="239"/>
      <c r="EUU11" s="239"/>
      <c r="EUV11" s="239"/>
      <c r="EUW11" s="239"/>
      <c r="EUX11" s="239"/>
      <c r="EUY11" s="239"/>
      <c r="EUZ11" s="239"/>
      <c r="EVA11" s="239"/>
      <c r="EVB11" s="239"/>
      <c r="EVC11" s="239"/>
      <c r="EVD11" s="239"/>
      <c r="EVE11" s="239"/>
      <c r="EVF11" s="239"/>
      <c r="EVG11" s="239"/>
      <c r="EVH11" s="239"/>
      <c r="EVI11" s="239"/>
      <c r="EVJ11" s="239"/>
      <c r="EVK11" s="239"/>
      <c r="EVL11" s="239"/>
      <c r="EVM11" s="239"/>
      <c r="EVN11" s="239"/>
      <c r="EVO11" s="239"/>
      <c r="EVP11" s="239"/>
      <c r="EVQ11" s="239"/>
      <c r="EVR11" s="239"/>
      <c r="EVS11" s="239"/>
      <c r="EVT11" s="239"/>
      <c r="EVU11" s="239"/>
      <c r="EVV11" s="239"/>
      <c r="EVW11" s="239"/>
      <c r="EVX11" s="239"/>
      <c r="EVY11" s="239"/>
      <c r="EVZ11" s="239"/>
      <c r="EWA11" s="239"/>
      <c r="EWB11" s="239"/>
      <c r="EWC11" s="239"/>
      <c r="EWD11" s="239"/>
      <c r="EWE11" s="239"/>
      <c r="EWF11" s="239"/>
      <c r="EWG11" s="239"/>
      <c r="EWH11" s="239"/>
      <c r="EWI11" s="239"/>
      <c r="EWJ11" s="239"/>
      <c r="EWK11" s="239"/>
      <c r="EWL11" s="239"/>
      <c r="EWM11" s="239"/>
      <c r="EWN11" s="239"/>
      <c r="EWO11" s="239"/>
      <c r="EWP11" s="239"/>
      <c r="EWQ11" s="239"/>
      <c r="EWR11" s="239"/>
      <c r="EWS11" s="239"/>
      <c r="EWT11" s="239"/>
      <c r="EWU11" s="239"/>
      <c r="EWV11" s="239"/>
      <c r="EWW11" s="239"/>
      <c r="EWX11" s="239"/>
      <c r="EWY11" s="239"/>
      <c r="EWZ11" s="239"/>
      <c r="EXA11" s="239"/>
      <c r="EXB11" s="239"/>
      <c r="EXC11" s="239"/>
      <c r="EXD11" s="239"/>
      <c r="EXE11" s="239"/>
      <c r="EXF11" s="239"/>
      <c r="EXG11" s="239"/>
      <c r="EXH11" s="239"/>
      <c r="EXI11" s="239"/>
      <c r="EXJ11" s="239"/>
      <c r="EXK11" s="239"/>
      <c r="EXL11" s="239"/>
      <c r="EXM11" s="239"/>
      <c r="EXN11" s="239"/>
      <c r="EXO11" s="239"/>
      <c r="EXP11" s="239"/>
      <c r="EXQ11" s="239"/>
      <c r="EXR11" s="239"/>
      <c r="EXS11" s="239"/>
      <c r="EXT11" s="239"/>
      <c r="EXU11" s="239"/>
      <c r="EXV11" s="239"/>
      <c r="EXW11" s="239"/>
      <c r="EXX11" s="239"/>
      <c r="EXY11" s="239"/>
      <c r="EXZ11" s="239"/>
      <c r="EYA11" s="239"/>
      <c r="EYB11" s="239"/>
      <c r="EYC11" s="239"/>
      <c r="EYD11" s="239"/>
      <c r="EYE11" s="239"/>
      <c r="EYF11" s="239"/>
      <c r="EYG11" s="239"/>
      <c r="EYH11" s="239"/>
      <c r="EYI11" s="239"/>
      <c r="EYJ11" s="239"/>
      <c r="EYK11" s="239"/>
      <c r="EYL11" s="239"/>
      <c r="EYM11" s="239"/>
      <c r="EYN11" s="239"/>
      <c r="EYO11" s="239"/>
      <c r="EYP11" s="239"/>
      <c r="EYQ11" s="239"/>
      <c r="EYR11" s="239"/>
      <c r="EYS11" s="239"/>
      <c r="EYT11" s="239"/>
      <c r="EYU11" s="239"/>
      <c r="EYV11" s="239"/>
      <c r="EYW11" s="239"/>
      <c r="EYX11" s="239"/>
      <c r="EYY11" s="239"/>
      <c r="EYZ11" s="239"/>
      <c r="EZA11" s="239"/>
      <c r="EZB11" s="239"/>
      <c r="EZC11" s="239"/>
      <c r="EZD11" s="239"/>
      <c r="EZE11" s="239"/>
      <c r="EZF11" s="239"/>
      <c r="EZG11" s="239"/>
      <c r="EZH11" s="239"/>
      <c r="EZI11" s="239"/>
      <c r="EZJ11" s="239"/>
      <c r="EZK11" s="239"/>
      <c r="EZL11" s="239"/>
      <c r="EZM11" s="239"/>
      <c r="EZN11" s="239"/>
      <c r="EZO11" s="239"/>
      <c r="EZP11" s="239"/>
      <c r="EZQ11" s="239"/>
      <c r="EZR11" s="239"/>
      <c r="EZS11" s="239"/>
      <c r="EZT11" s="239"/>
      <c r="EZU11" s="239"/>
      <c r="EZV11" s="239"/>
      <c r="EZW11" s="239"/>
      <c r="EZX11" s="239"/>
      <c r="EZY11" s="239"/>
      <c r="EZZ11" s="239"/>
      <c r="FAA11" s="239"/>
      <c r="FAB11" s="239"/>
      <c r="FAC11" s="239"/>
      <c r="FAD11" s="239"/>
      <c r="FAE11" s="239"/>
      <c r="FAF11" s="239"/>
      <c r="FAG11" s="239"/>
      <c r="FAH11" s="239"/>
      <c r="FAI11" s="239"/>
      <c r="FAJ11" s="239"/>
      <c r="FAK11" s="239"/>
      <c r="FAL11" s="239"/>
      <c r="FAM11" s="239"/>
      <c r="FAN11" s="239"/>
      <c r="FAO11" s="239"/>
      <c r="FAP11" s="239"/>
      <c r="FAQ11" s="239"/>
      <c r="FAR11" s="239"/>
      <c r="FAS11" s="239"/>
      <c r="FAT11" s="239"/>
      <c r="FAU11" s="239"/>
      <c r="FAV11" s="239"/>
      <c r="FAW11" s="239"/>
      <c r="FAX11" s="239"/>
      <c r="FAY11" s="239"/>
      <c r="FAZ11" s="239"/>
      <c r="FBA11" s="239"/>
      <c r="FBB11" s="239"/>
      <c r="FBC11" s="239"/>
      <c r="FBD11" s="239"/>
      <c r="FBE11" s="239"/>
      <c r="FBF11" s="239"/>
      <c r="FBG11" s="239"/>
      <c r="FBH11" s="239"/>
      <c r="FBI11" s="239"/>
      <c r="FBJ11" s="239"/>
      <c r="FBK11" s="239"/>
      <c r="FBL11" s="239"/>
      <c r="FBM11" s="239"/>
      <c r="FBN11" s="239"/>
      <c r="FBO11" s="239"/>
      <c r="FBP11" s="239"/>
      <c r="FBQ11" s="239"/>
      <c r="FBR11" s="239"/>
      <c r="FBS11" s="239"/>
      <c r="FBT11" s="239"/>
      <c r="FBU11" s="239"/>
      <c r="FBV11" s="239"/>
      <c r="FBW11" s="239"/>
      <c r="FBX11" s="239"/>
      <c r="FBY11" s="239"/>
      <c r="FBZ11" s="239"/>
      <c r="FCA11" s="239"/>
      <c r="FCB11" s="239"/>
      <c r="FCC11" s="239"/>
      <c r="FCD11" s="239"/>
      <c r="FCE11" s="239"/>
      <c r="FCF11" s="239"/>
      <c r="FCG11" s="239"/>
      <c r="FCH11" s="239"/>
      <c r="FCI11" s="239"/>
      <c r="FCJ11" s="239"/>
      <c r="FCK11" s="239"/>
      <c r="FCL11" s="239"/>
      <c r="FCM11" s="239"/>
      <c r="FCN11" s="239"/>
      <c r="FCO11" s="239"/>
      <c r="FCP11" s="239"/>
      <c r="FCQ11" s="239"/>
      <c r="FCR11" s="239"/>
      <c r="FCS11" s="239"/>
      <c r="FCT11" s="239"/>
      <c r="FCU11" s="239"/>
      <c r="FCV11" s="239"/>
      <c r="FCW11" s="239"/>
      <c r="FCX11" s="239"/>
      <c r="FCY11" s="239"/>
      <c r="FCZ11" s="239"/>
      <c r="FDA11" s="239"/>
      <c r="FDB11" s="239"/>
      <c r="FDC11" s="239"/>
      <c r="FDD11" s="239"/>
      <c r="FDE11" s="239"/>
      <c r="FDF11" s="239"/>
      <c r="FDG11" s="239"/>
      <c r="FDH11" s="239"/>
      <c r="FDI11" s="239"/>
      <c r="FDJ11" s="239"/>
      <c r="FDK11" s="239"/>
      <c r="FDL11" s="239"/>
      <c r="FDM11" s="239"/>
      <c r="FDN11" s="239"/>
      <c r="FDO11" s="239"/>
      <c r="FDP11" s="239"/>
      <c r="FDQ11" s="239"/>
      <c r="FDR11" s="239"/>
      <c r="FDS11" s="239"/>
      <c r="FDT11" s="239"/>
      <c r="FDU11" s="239"/>
      <c r="FDV11" s="239"/>
      <c r="FDW11" s="239"/>
      <c r="FDX11" s="239"/>
      <c r="FDY11" s="239"/>
      <c r="FDZ11" s="239"/>
      <c r="FEA11" s="239"/>
      <c r="FEB11" s="239"/>
      <c r="FEC11" s="239"/>
      <c r="FED11" s="239"/>
      <c r="FEE11" s="239"/>
      <c r="FEF11" s="239"/>
      <c r="FEG11" s="239"/>
      <c r="FEH11" s="239"/>
      <c r="FEI11" s="239"/>
      <c r="FEJ11" s="239"/>
      <c r="FEK11" s="239"/>
      <c r="FEL11" s="239"/>
      <c r="FEM11" s="239"/>
      <c r="FEN11" s="239"/>
      <c r="FEO11" s="239"/>
      <c r="FEP11" s="239"/>
      <c r="FEQ11" s="239"/>
      <c r="FER11" s="239"/>
      <c r="FES11" s="239"/>
      <c r="FET11" s="239"/>
      <c r="FEU11" s="239"/>
      <c r="FEV11" s="239"/>
      <c r="FEW11" s="239"/>
      <c r="FEX11" s="239"/>
      <c r="FEY11" s="239"/>
      <c r="FEZ11" s="239"/>
      <c r="FFA11" s="239"/>
      <c r="FFB11" s="239"/>
      <c r="FFC11" s="239"/>
      <c r="FFD11" s="239"/>
      <c r="FFE11" s="239"/>
      <c r="FFF11" s="239"/>
      <c r="FFG11" s="239"/>
      <c r="FFH11" s="239"/>
      <c r="FFI11" s="239"/>
      <c r="FFJ11" s="239"/>
      <c r="FFK11" s="239"/>
      <c r="FFL11" s="239"/>
      <c r="FFM11" s="239"/>
      <c r="FFN11" s="239"/>
      <c r="FFO11" s="239"/>
      <c r="FFP11" s="239"/>
      <c r="FFQ11" s="239"/>
      <c r="FFR11" s="239"/>
      <c r="FFS11" s="239"/>
      <c r="FFT11" s="239"/>
      <c r="FFU11" s="239"/>
      <c r="FFV11" s="239"/>
      <c r="FFW11" s="239"/>
      <c r="FFX11" s="239"/>
      <c r="FFY11" s="239"/>
      <c r="FFZ11" s="239"/>
      <c r="FGA11" s="239"/>
      <c r="FGB11" s="239"/>
      <c r="FGC11" s="239"/>
      <c r="FGD11" s="239"/>
      <c r="FGE11" s="239"/>
      <c r="FGF11" s="239"/>
      <c r="FGG11" s="239"/>
      <c r="FGH11" s="239"/>
      <c r="FGI11" s="239"/>
      <c r="FGJ11" s="239"/>
      <c r="FGK11" s="239"/>
      <c r="FGL11" s="239"/>
      <c r="FGM11" s="239"/>
      <c r="FGN11" s="239"/>
      <c r="FGO11" s="239"/>
      <c r="FGP11" s="239"/>
      <c r="FGQ11" s="239"/>
      <c r="FGR11" s="239"/>
      <c r="FGS11" s="239"/>
      <c r="FGT11" s="239"/>
      <c r="FGU11" s="239"/>
      <c r="FGV11" s="239"/>
      <c r="FGW11" s="239"/>
      <c r="FGX11" s="239"/>
      <c r="FGY11" s="239"/>
      <c r="FGZ11" s="239"/>
      <c r="FHA11" s="239"/>
      <c r="FHB11" s="239"/>
      <c r="FHC11" s="239"/>
      <c r="FHD11" s="239"/>
      <c r="FHE11" s="239"/>
      <c r="FHF11" s="239"/>
      <c r="FHG11" s="239"/>
      <c r="FHH11" s="239"/>
      <c r="FHI11" s="239"/>
      <c r="FHJ11" s="239"/>
      <c r="FHK11" s="239"/>
      <c r="FHL11" s="239"/>
      <c r="FHM11" s="239"/>
      <c r="FHN11" s="239"/>
      <c r="FHO11" s="239"/>
      <c r="FHP11" s="239"/>
      <c r="FHQ11" s="239"/>
      <c r="FHR11" s="239"/>
      <c r="FHS11" s="239"/>
      <c r="FHT11" s="239"/>
      <c r="FHU11" s="239"/>
      <c r="FHV11" s="239"/>
      <c r="FHW11" s="239"/>
      <c r="FHX11" s="239"/>
      <c r="FHY11" s="239"/>
      <c r="FHZ11" s="239"/>
      <c r="FIA11" s="239"/>
      <c r="FIB11" s="239"/>
      <c r="FIC11" s="239"/>
      <c r="FID11" s="239"/>
      <c r="FIE11" s="239"/>
      <c r="FIF11" s="239"/>
      <c r="FIG11" s="239"/>
      <c r="FIH11" s="239"/>
      <c r="FII11" s="239"/>
      <c r="FIJ11" s="239"/>
      <c r="FIK11" s="239"/>
      <c r="FIL11" s="239"/>
      <c r="FIM11" s="239"/>
      <c r="FIN11" s="239"/>
      <c r="FIO11" s="239"/>
      <c r="FIP11" s="239"/>
      <c r="FIQ11" s="239"/>
      <c r="FIR11" s="239"/>
      <c r="FIS11" s="239"/>
      <c r="FIT11" s="239"/>
      <c r="FIU11" s="239"/>
      <c r="FIV11" s="239"/>
      <c r="FIW11" s="239"/>
      <c r="FIX11" s="239"/>
      <c r="FIY11" s="239"/>
      <c r="FIZ11" s="239"/>
      <c r="FJA11" s="239"/>
      <c r="FJB11" s="239"/>
      <c r="FJC11" s="239"/>
      <c r="FJD11" s="239"/>
      <c r="FJE11" s="239"/>
      <c r="FJF11" s="239"/>
      <c r="FJG11" s="239"/>
      <c r="FJH11" s="239"/>
      <c r="FJI11" s="239"/>
      <c r="FJJ11" s="239"/>
      <c r="FJK11" s="239"/>
      <c r="FJL11" s="239"/>
      <c r="FJM11" s="239"/>
      <c r="FJN11" s="239"/>
      <c r="FJO11" s="239"/>
      <c r="FJP11" s="239"/>
      <c r="FJQ11" s="239"/>
      <c r="FJR11" s="239"/>
      <c r="FJS11" s="239"/>
      <c r="FJT11" s="239"/>
      <c r="FJU11" s="239"/>
      <c r="FJV11" s="239"/>
      <c r="FJW11" s="239"/>
      <c r="FJX11" s="239"/>
      <c r="FJY11" s="239"/>
      <c r="FJZ11" s="239"/>
      <c r="FKA11" s="239"/>
      <c r="FKB11" s="239"/>
      <c r="FKC11" s="239"/>
      <c r="FKD11" s="239"/>
      <c r="FKE11" s="239"/>
      <c r="FKF11" s="239"/>
      <c r="FKG11" s="239"/>
      <c r="FKH11" s="239"/>
      <c r="FKI11" s="239"/>
      <c r="FKJ11" s="239"/>
      <c r="FKK11" s="239"/>
      <c r="FKL11" s="239"/>
      <c r="FKM11" s="239"/>
      <c r="FKN11" s="239"/>
      <c r="FKO11" s="239"/>
      <c r="FKP11" s="239"/>
      <c r="FKQ11" s="239"/>
      <c r="FKR11" s="239"/>
      <c r="FKS11" s="239"/>
      <c r="FKT11" s="239"/>
      <c r="FKU11" s="239"/>
      <c r="FKV11" s="239"/>
      <c r="FKW11" s="239"/>
      <c r="FKX11" s="239"/>
      <c r="FKY11" s="239"/>
      <c r="FKZ11" s="239"/>
      <c r="FLA11" s="239"/>
      <c r="FLB11" s="239"/>
      <c r="FLC11" s="239"/>
      <c r="FLD11" s="239"/>
      <c r="FLE11" s="239"/>
      <c r="FLF11" s="239"/>
      <c r="FLG11" s="239"/>
      <c r="FLH11" s="239"/>
      <c r="FLI11" s="239"/>
      <c r="FLJ11" s="239"/>
      <c r="FLK11" s="239"/>
      <c r="FLL11" s="239"/>
      <c r="FLM11" s="239"/>
      <c r="FLN11" s="239"/>
      <c r="FLO11" s="239"/>
      <c r="FLP11" s="239"/>
      <c r="FLQ11" s="239"/>
      <c r="FLR11" s="239"/>
      <c r="FLS11" s="239"/>
      <c r="FLT11" s="239"/>
      <c r="FLU11" s="239"/>
      <c r="FLV11" s="239"/>
      <c r="FLW11" s="239"/>
      <c r="FLX11" s="239"/>
      <c r="FLY11" s="239"/>
      <c r="FLZ11" s="239"/>
      <c r="FMA11" s="239"/>
      <c r="FMB11" s="239"/>
      <c r="FMC11" s="239"/>
      <c r="FMD11" s="239"/>
      <c r="FME11" s="239"/>
      <c r="FMF11" s="239"/>
      <c r="FMG11" s="239"/>
      <c r="FMH11" s="239"/>
      <c r="FMI11" s="239"/>
      <c r="FMJ11" s="239"/>
      <c r="FMK11" s="239"/>
      <c r="FML11" s="239"/>
      <c r="FMM11" s="239"/>
      <c r="FMN11" s="239"/>
      <c r="FMO11" s="239"/>
      <c r="FMP11" s="239"/>
      <c r="FMQ11" s="239"/>
      <c r="FMR11" s="239"/>
      <c r="FMS11" s="239"/>
      <c r="FMT11" s="239"/>
      <c r="FMU11" s="239"/>
      <c r="FMV11" s="239"/>
      <c r="FMW11" s="239"/>
      <c r="FMX11" s="239"/>
      <c r="FMY11" s="239"/>
      <c r="FMZ11" s="239"/>
      <c r="FNA11" s="239"/>
      <c r="FNB11" s="239"/>
      <c r="FNC11" s="239"/>
      <c r="FND11" s="239"/>
      <c r="FNE11" s="239"/>
      <c r="FNF11" s="239"/>
      <c r="FNG11" s="239"/>
      <c r="FNH11" s="239"/>
      <c r="FNI11" s="239"/>
      <c r="FNJ11" s="239"/>
      <c r="FNK11" s="239"/>
      <c r="FNL11" s="239"/>
      <c r="FNM11" s="239"/>
      <c r="FNN11" s="239"/>
      <c r="FNO11" s="239"/>
      <c r="FNP11" s="239"/>
      <c r="FNQ11" s="239"/>
      <c r="FNR11" s="239"/>
      <c r="FNS11" s="239"/>
      <c r="FNT11" s="239"/>
      <c r="FNU11" s="239"/>
      <c r="FNV11" s="239"/>
      <c r="FNW11" s="239"/>
      <c r="FNX11" s="239"/>
      <c r="FNY11" s="239"/>
      <c r="FNZ11" s="239"/>
      <c r="FOA11" s="239"/>
      <c r="FOB11" s="239"/>
      <c r="FOC11" s="239"/>
      <c r="FOD11" s="239"/>
      <c r="FOE11" s="239"/>
      <c r="FOF11" s="239"/>
      <c r="FOG11" s="239"/>
      <c r="FOH11" s="239"/>
      <c r="FOI11" s="239"/>
      <c r="FOJ11" s="239"/>
      <c r="FOK11" s="239"/>
      <c r="FOL11" s="239"/>
      <c r="FOM11" s="239"/>
      <c r="FON11" s="239"/>
      <c r="FOO11" s="239"/>
      <c r="FOP11" s="239"/>
      <c r="FOQ11" s="239"/>
      <c r="FOR11" s="239"/>
      <c r="FOS11" s="239"/>
      <c r="FOT11" s="239"/>
      <c r="FOU11" s="239"/>
      <c r="FOV11" s="239"/>
      <c r="FOW11" s="239"/>
      <c r="FOX11" s="239"/>
      <c r="FOY11" s="239"/>
      <c r="FOZ11" s="239"/>
      <c r="FPA11" s="239"/>
      <c r="FPB11" s="239"/>
      <c r="FPC11" s="239"/>
      <c r="FPD11" s="239"/>
      <c r="FPE11" s="239"/>
      <c r="FPF11" s="239"/>
      <c r="FPG11" s="239"/>
      <c r="FPH11" s="239"/>
      <c r="FPI11" s="239"/>
      <c r="FPJ11" s="239"/>
      <c r="FPK11" s="239"/>
      <c r="FPL11" s="239"/>
      <c r="FPM11" s="239"/>
      <c r="FPN11" s="239"/>
      <c r="FPO11" s="239"/>
      <c r="FPP11" s="239"/>
      <c r="FPQ11" s="239"/>
      <c r="FPR11" s="239"/>
      <c r="FPS11" s="239"/>
      <c r="FPT11" s="239"/>
      <c r="FPU11" s="239"/>
      <c r="FPV11" s="239"/>
      <c r="FPW11" s="239"/>
      <c r="FPX11" s="239"/>
      <c r="FPY11" s="239"/>
      <c r="FPZ11" s="239"/>
      <c r="FQA11" s="239"/>
      <c r="FQB11" s="239"/>
      <c r="FQC11" s="239"/>
      <c r="FQD11" s="239"/>
      <c r="FQE11" s="239"/>
      <c r="FQF11" s="239"/>
      <c r="FQG11" s="239"/>
      <c r="FQH11" s="239"/>
      <c r="FQI11" s="239"/>
      <c r="FQJ11" s="239"/>
      <c r="FQK11" s="239"/>
      <c r="FQL11" s="239"/>
      <c r="FQM11" s="239"/>
      <c r="FQN11" s="239"/>
      <c r="FQO11" s="239"/>
      <c r="FQP11" s="239"/>
      <c r="FQQ11" s="239"/>
      <c r="FQR11" s="239"/>
      <c r="FQS11" s="239"/>
      <c r="FQT11" s="239"/>
      <c r="FQU11" s="239"/>
      <c r="FQV11" s="239"/>
      <c r="FQW11" s="239"/>
      <c r="FQX11" s="239"/>
      <c r="FQY11" s="239"/>
      <c r="FQZ11" s="239"/>
      <c r="FRA11" s="239"/>
      <c r="FRB11" s="239"/>
      <c r="FRC11" s="239"/>
      <c r="FRD11" s="239"/>
      <c r="FRE11" s="239"/>
      <c r="FRF11" s="239"/>
      <c r="FRG11" s="239"/>
      <c r="FRH11" s="239"/>
      <c r="FRI11" s="239"/>
      <c r="FRJ11" s="239"/>
      <c r="FRK11" s="239"/>
      <c r="FRL11" s="239"/>
      <c r="FRM11" s="239"/>
      <c r="FRN11" s="239"/>
      <c r="FRO11" s="239"/>
      <c r="FRP11" s="239"/>
      <c r="FRQ11" s="239"/>
      <c r="FRR11" s="239"/>
      <c r="FRS11" s="239"/>
      <c r="FRT11" s="239"/>
      <c r="FRU11" s="239"/>
      <c r="FRV11" s="239"/>
      <c r="FRW11" s="239"/>
      <c r="FRX11" s="239"/>
      <c r="FRY11" s="239"/>
      <c r="FRZ11" s="239"/>
      <c r="FSA11" s="239"/>
      <c r="FSB11" s="239"/>
      <c r="FSC11" s="239"/>
      <c r="FSD11" s="239"/>
      <c r="FSE11" s="239"/>
      <c r="FSF11" s="239"/>
      <c r="FSG11" s="239"/>
      <c r="FSH11" s="239"/>
      <c r="FSI11" s="239"/>
      <c r="FSJ11" s="239"/>
      <c r="FSK11" s="239"/>
      <c r="FSL11" s="239"/>
      <c r="FSM11" s="239"/>
      <c r="FSN11" s="239"/>
      <c r="FSO11" s="239"/>
      <c r="FSP11" s="239"/>
      <c r="FSQ11" s="239"/>
      <c r="FSR11" s="239"/>
      <c r="FSS11" s="239"/>
      <c r="FST11" s="239"/>
      <c r="FSU11" s="239"/>
      <c r="FSV11" s="239"/>
      <c r="FSW11" s="239"/>
      <c r="FSX11" s="239"/>
      <c r="FSY11" s="239"/>
      <c r="FSZ11" s="239"/>
      <c r="FTA11" s="239"/>
      <c r="FTB11" s="239"/>
      <c r="FTC11" s="239"/>
      <c r="FTD11" s="239"/>
      <c r="FTE11" s="239"/>
      <c r="FTF11" s="239"/>
      <c r="FTG11" s="239"/>
      <c r="FTH11" s="239"/>
      <c r="FTI11" s="239"/>
      <c r="FTJ11" s="239"/>
      <c r="FTK11" s="239"/>
      <c r="FTL11" s="239"/>
      <c r="FTM11" s="239"/>
      <c r="FTN11" s="239"/>
      <c r="FTO11" s="239"/>
      <c r="FTP11" s="239"/>
      <c r="FTQ11" s="239"/>
      <c r="FTR11" s="239"/>
      <c r="FTS11" s="239"/>
      <c r="FTT11" s="239"/>
      <c r="FTU11" s="239"/>
      <c r="FTV11" s="239"/>
      <c r="FTW11" s="239"/>
      <c r="FTX11" s="239"/>
      <c r="FTY11" s="239"/>
      <c r="FTZ11" s="239"/>
      <c r="FUA11" s="239"/>
      <c r="FUB11" s="239"/>
      <c r="FUC11" s="239"/>
      <c r="FUD11" s="239"/>
      <c r="FUE11" s="239"/>
      <c r="FUF11" s="239"/>
      <c r="FUG11" s="239"/>
      <c r="FUH11" s="239"/>
      <c r="FUI11" s="239"/>
      <c r="FUJ11" s="239"/>
      <c r="FUK11" s="239"/>
      <c r="FUL11" s="239"/>
      <c r="FUM11" s="239"/>
      <c r="FUN11" s="239"/>
      <c r="FUO11" s="239"/>
      <c r="FUP11" s="239"/>
      <c r="FUQ11" s="239"/>
      <c r="FUR11" s="239"/>
      <c r="FUS11" s="239"/>
      <c r="FUT11" s="239"/>
      <c r="FUU11" s="239"/>
      <c r="FUV11" s="239"/>
      <c r="FUW11" s="239"/>
      <c r="FUX11" s="239"/>
      <c r="FUY11" s="239"/>
      <c r="FUZ11" s="239"/>
      <c r="FVA11" s="239"/>
      <c r="FVB11" s="239"/>
      <c r="FVC11" s="239"/>
      <c r="FVD11" s="239"/>
      <c r="FVE11" s="239"/>
      <c r="FVF11" s="239"/>
      <c r="FVG11" s="239"/>
      <c r="FVH11" s="239"/>
      <c r="FVI11" s="239"/>
      <c r="FVJ11" s="239"/>
      <c r="FVK11" s="239"/>
      <c r="FVL11" s="239"/>
      <c r="FVM11" s="239"/>
      <c r="FVN11" s="239"/>
      <c r="FVO11" s="239"/>
      <c r="FVP11" s="239"/>
      <c r="FVQ11" s="239"/>
      <c r="FVR11" s="239"/>
      <c r="FVS11" s="239"/>
      <c r="FVT11" s="239"/>
      <c r="FVU11" s="239"/>
      <c r="FVV11" s="239"/>
      <c r="FVW11" s="239"/>
      <c r="FVX11" s="239"/>
      <c r="FVY11" s="239"/>
      <c r="FVZ11" s="239"/>
      <c r="FWA11" s="239"/>
      <c r="FWB11" s="239"/>
      <c r="FWC11" s="239"/>
      <c r="FWD11" s="239"/>
      <c r="FWE11" s="239"/>
      <c r="FWF11" s="239"/>
      <c r="FWG11" s="239"/>
      <c r="FWH11" s="239"/>
      <c r="FWI11" s="239"/>
      <c r="FWJ11" s="239"/>
      <c r="FWK11" s="239"/>
      <c r="FWL11" s="239"/>
      <c r="FWM11" s="239"/>
      <c r="FWN11" s="239"/>
      <c r="FWO11" s="239"/>
      <c r="FWP11" s="239"/>
      <c r="FWQ11" s="239"/>
      <c r="FWR11" s="239"/>
      <c r="FWS11" s="239"/>
      <c r="FWT11" s="239"/>
      <c r="FWU11" s="239"/>
      <c r="FWV11" s="239"/>
      <c r="FWW11" s="239"/>
      <c r="FWX11" s="239"/>
      <c r="FWY11" s="239"/>
      <c r="FWZ11" s="239"/>
      <c r="FXA11" s="239"/>
      <c r="FXB11" s="239"/>
      <c r="FXC11" s="239"/>
      <c r="FXD11" s="239"/>
      <c r="FXE11" s="239"/>
      <c r="FXF11" s="239"/>
      <c r="FXG11" s="239"/>
      <c r="FXH11" s="239"/>
      <c r="FXI11" s="239"/>
      <c r="FXJ11" s="239"/>
      <c r="FXK11" s="239"/>
      <c r="FXL11" s="239"/>
      <c r="FXM11" s="239"/>
      <c r="FXN11" s="239"/>
      <c r="FXO11" s="239"/>
      <c r="FXP11" s="239"/>
      <c r="FXQ11" s="239"/>
      <c r="FXR11" s="239"/>
      <c r="FXS11" s="239"/>
      <c r="FXT11" s="239"/>
      <c r="FXU11" s="239"/>
      <c r="FXV11" s="239"/>
      <c r="FXW11" s="239"/>
      <c r="FXX11" s="239"/>
      <c r="FXY11" s="239"/>
      <c r="FXZ11" s="239"/>
      <c r="FYA11" s="239"/>
      <c r="FYB11" s="239"/>
      <c r="FYC11" s="239"/>
      <c r="FYD11" s="239"/>
      <c r="FYE11" s="239"/>
      <c r="FYF11" s="239"/>
      <c r="FYG11" s="239"/>
      <c r="FYH11" s="239"/>
      <c r="FYI11" s="239"/>
      <c r="FYJ11" s="239"/>
      <c r="FYK11" s="239"/>
      <c r="FYL11" s="239"/>
      <c r="FYM11" s="239"/>
      <c r="FYN11" s="239"/>
      <c r="FYO11" s="239"/>
      <c r="FYP11" s="239"/>
      <c r="FYQ11" s="239"/>
      <c r="FYR11" s="239"/>
      <c r="FYS11" s="239"/>
      <c r="FYT11" s="239"/>
      <c r="FYU11" s="239"/>
      <c r="FYV11" s="239"/>
      <c r="FYW11" s="239"/>
      <c r="FYX11" s="239"/>
      <c r="FYY11" s="239"/>
      <c r="FYZ11" s="239"/>
      <c r="FZA11" s="239"/>
      <c r="FZB11" s="239"/>
      <c r="FZC11" s="239"/>
      <c r="FZD11" s="239"/>
      <c r="FZE11" s="239"/>
      <c r="FZF11" s="239"/>
      <c r="FZG11" s="239"/>
      <c r="FZH11" s="239"/>
      <c r="FZI11" s="239"/>
      <c r="FZJ11" s="239"/>
      <c r="FZK11" s="239"/>
      <c r="FZL11" s="239"/>
      <c r="FZM11" s="239"/>
      <c r="FZN11" s="239"/>
      <c r="FZO11" s="239"/>
      <c r="FZP11" s="239"/>
      <c r="FZQ11" s="239"/>
      <c r="FZR11" s="239"/>
      <c r="FZS11" s="239"/>
      <c r="FZT11" s="239"/>
      <c r="FZU11" s="239"/>
      <c r="FZV11" s="239"/>
      <c r="FZW11" s="239"/>
      <c r="FZX11" s="239"/>
      <c r="FZY11" s="239"/>
      <c r="FZZ11" s="239"/>
      <c r="GAA11" s="239"/>
      <c r="GAB11" s="239"/>
      <c r="GAC11" s="239"/>
      <c r="GAD11" s="239"/>
      <c r="GAE11" s="239"/>
      <c r="GAF11" s="239"/>
      <c r="GAG11" s="239"/>
      <c r="GAH11" s="239"/>
      <c r="GAI11" s="239"/>
      <c r="GAJ11" s="239"/>
      <c r="GAK11" s="239"/>
      <c r="GAL11" s="239"/>
      <c r="GAM11" s="239"/>
      <c r="GAN11" s="239"/>
      <c r="GAO11" s="239"/>
      <c r="GAP11" s="239"/>
      <c r="GAQ11" s="239"/>
      <c r="GAR11" s="239"/>
      <c r="GAS11" s="239"/>
      <c r="GAT11" s="239"/>
      <c r="GAU11" s="239"/>
      <c r="GAV11" s="239"/>
      <c r="GAW11" s="239"/>
      <c r="GAX11" s="239"/>
      <c r="GAY11" s="239"/>
      <c r="GAZ11" s="239"/>
      <c r="GBA11" s="239"/>
      <c r="GBB11" s="239"/>
      <c r="GBC11" s="239"/>
      <c r="GBD11" s="239"/>
      <c r="GBE11" s="239"/>
      <c r="GBF11" s="239"/>
      <c r="GBG11" s="239"/>
      <c r="GBH11" s="239"/>
      <c r="GBI11" s="239"/>
      <c r="GBJ11" s="239"/>
      <c r="GBK11" s="239"/>
      <c r="GBL11" s="239"/>
      <c r="GBM11" s="239"/>
      <c r="GBN11" s="239"/>
      <c r="GBO11" s="239"/>
      <c r="GBP11" s="239"/>
      <c r="GBQ11" s="239"/>
      <c r="GBR11" s="239"/>
      <c r="GBS11" s="239"/>
      <c r="GBT11" s="239"/>
      <c r="GBU11" s="239"/>
      <c r="GBV11" s="239"/>
      <c r="GBW11" s="239"/>
      <c r="GBX11" s="239"/>
      <c r="GBY11" s="239"/>
      <c r="GBZ11" s="239"/>
      <c r="GCA11" s="239"/>
      <c r="GCB11" s="239"/>
      <c r="GCC11" s="239"/>
      <c r="GCD11" s="239"/>
      <c r="GCE11" s="239"/>
      <c r="GCF11" s="239"/>
      <c r="GCG11" s="239"/>
      <c r="GCH11" s="239"/>
      <c r="GCI11" s="239"/>
      <c r="GCJ11" s="239"/>
      <c r="GCK11" s="239"/>
      <c r="GCL11" s="239"/>
      <c r="GCM11" s="239"/>
      <c r="GCN11" s="239"/>
      <c r="GCO11" s="239"/>
      <c r="GCP11" s="239"/>
      <c r="GCQ11" s="239"/>
      <c r="GCR11" s="239"/>
      <c r="GCS11" s="239"/>
      <c r="GCT11" s="239"/>
      <c r="GCU11" s="239"/>
      <c r="GCV11" s="239"/>
      <c r="GCW11" s="239"/>
      <c r="GCX11" s="239"/>
      <c r="GCY11" s="239"/>
      <c r="GCZ11" s="239"/>
      <c r="GDA11" s="239"/>
      <c r="GDB11" s="239"/>
      <c r="GDC11" s="239"/>
      <c r="GDD11" s="239"/>
      <c r="GDE11" s="239"/>
      <c r="GDF11" s="239"/>
      <c r="GDG11" s="239"/>
      <c r="GDH11" s="239"/>
      <c r="GDI11" s="239"/>
      <c r="GDJ11" s="239"/>
      <c r="GDK11" s="239"/>
      <c r="GDL11" s="239"/>
      <c r="GDM11" s="239"/>
      <c r="GDN11" s="239"/>
      <c r="GDO11" s="239"/>
      <c r="GDP11" s="239"/>
      <c r="GDQ11" s="239"/>
      <c r="GDR11" s="239"/>
      <c r="GDS11" s="239"/>
      <c r="GDT11" s="239"/>
      <c r="GDU11" s="239"/>
      <c r="GDV11" s="239"/>
      <c r="GDW11" s="239"/>
      <c r="GDX11" s="239"/>
      <c r="GDY11" s="239"/>
      <c r="GDZ11" s="239"/>
      <c r="GEA11" s="239"/>
      <c r="GEB11" s="239"/>
      <c r="GEC11" s="239"/>
      <c r="GED11" s="239"/>
      <c r="GEE11" s="239"/>
      <c r="GEF11" s="239"/>
      <c r="GEG11" s="239"/>
      <c r="GEH11" s="239"/>
      <c r="GEI11" s="239"/>
      <c r="GEJ11" s="239"/>
      <c r="GEK11" s="239"/>
      <c r="GEL11" s="239"/>
      <c r="GEM11" s="239"/>
      <c r="GEN11" s="239"/>
      <c r="GEO11" s="239"/>
      <c r="GEP11" s="239"/>
      <c r="GEQ11" s="239"/>
      <c r="GER11" s="239"/>
      <c r="GES11" s="239"/>
      <c r="GET11" s="239"/>
      <c r="GEU11" s="239"/>
      <c r="GEV11" s="239"/>
      <c r="GEW11" s="239"/>
      <c r="GEX11" s="239"/>
      <c r="GEY11" s="239"/>
      <c r="GEZ11" s="239"/>
      <c r="GFA11" s="239"/>
      <c r="GFB11" s="239"/>
      <c r="GFC11" s="239"/>
      <c r="GFD11" s="239"/>
      <c r="GFE11" s="239"/>
      <c r="GFF11" s="239"/>
      <c r="GFG11" s="239"/>
      <c r="GFH11" s="239"/>
      <c r="GFI11" s="239"/>
      <c r="GFJ11" s="239"/>
      <c r="GFK11" s="239"/>
      <c r="GFL11" s="239"/>
      <c r="GFM11" s="239"/>
      <c r="GFN11" s="239"/>
      <c r="GFO11" s="239"/>
      <c r="GFP11" s="239"/>
      <c r="GFQ11" s="239"/>
      <c r="GFR11" s="239"/>
      <c r="GFS11" s="239"/>
      <c r="GFT11" s="239"/>
      <c r="GFU11" s="239"/>
      <c r="GFV11" s="239"/>
      <c r="GFW11" s="239"/>
      <c r="GFX11" s="239"/>
      <c r="GFY11" s="239"/>
      <c r="GFZ11" s="239"/>
      <c r="GGA11" s="239"/>
      <c r="GGB11" s="239"/>
      <c r="GGC11" s="239"/>
      <c r="GGD11" s="239"/>
      <c r="GGE11" s="239"/>
      <c r="GGF11" s="239"/>
      <c r="GGG11" s="239"/>
      <c r="GGH11" s="239"/>
      <c r="GGI11" s="239"/>
      <c r="GGJ11" s="239"/>
      <c r="GGK11" s="239"/>
      <c r="GGL11" s="239"/>
      <c r="GGM11" s="239"/>
      <c r="GGN11" s="239"/>
      <c r="GGO11" s="239"/>
      <c r="GGP11" s="239"/>
      <c r="GGQ11" s="239"/>
      <c r="GGR11" s="239"/>
      <c r="GGS11" s="239"/>
      <c r="GGT11" s="239"/>
      <c r="GGU11" s="239"/>
      <c r="GGV11" s="239"/>
      <c r="GGW11" s="239"/>
      <c r="GGX11" s="239"/>
      <c r="GGY11" s="239"/>
      <c r="GGZ11" s="239"/>
      <c r="GHA11" s="239"/>
      <c r="GHB11" s="239"/>
      <c r="GHC11" s="239"/>
      <c r="GHD11" s="239"/>
      <c r="GHE11" s="239"/>
      <c r="GHF11" s="239"/>
      <c r="GHG11" s="239"/>
      <c r="GHH11" s="239"/>
      <c r="GHI11" s="239"/>
      <c r="GHJ11" s="239"/>
      <c r="GHK11" s="239"/>
      <c r="GHL11" s="239"/>
      <c r="GHM11" s="239"/>
      <c r="GHN11" s="239"/>
      <c r="GHO11" s="239"/>
      <c r="GHP11" s="239"/>
      <c r="GHQ11" s="239"/>
      <c r="GHR11" s="239"/>
      <c r="GHS11" s="239"/>
      <c r="GHT11" s="239"/>
      <c r="GHU11" s="239"/>
      <c r="GHV11" s="239"/>
      <c r="GHW11" s="239"/>
      <c r="GHX11" s="239"/>
      <c r="GHY11" s="239"/>
      <c r="GHZ11" s="239"/>
      <c r="GIA11" s="239"/>
      <c r="GIB11" s="239"/>
      <c r="GIC11" s="239"/>
      <c r="GID11" s="239"/>
      <c r="GIE11" s="239"/>
      <c r="GIF11" s="239"/>
      <c r="GIG11" s="239"/>
      <c r="GIH11" s="239"/>
      <c r="GII11" s="239"/>
      <c r="GIJ11" s="239"/>
      <c r="GIK11" s="239"/>
      <c r="GIL11" s="239"/>
      <c r="GIM11" s="239"/>
      <c r="GIN11" s="239"/>
      <c r="GIO11" s="239"/>
      <c r="GIP11" s="239"/>
      <c r="GIQ11" s="239"/>
      <c r="GIR11" s="239"/>
      <c r="GIS11" s="239"/>
      <c r="GIT11" s="239"/>
      <c r="GIU11" s="239"/>
      <c r="GIV11" s="239"/>
      <c r="GIW11" s="239"/>
      <c r="GIX11" s="239"/>
      <c r="GIY11" s="239"/>
      <c r="GIZ11" s="239"/>
      <c r="GJA11" s="239"/>
      <c r="GJB11" s="239"/>
      <c r="GJC11" s="239"/>
      <c r="GJD11" s="239"/>
      <c r="GJE11" s="239"/>
      <c r="GJF11" s="239"/>
      <c r="GJG11" s="239"/>
      <c r="GJH11" s="239"/>
      <c r="GJI11" s="239"/>
      <c r="GJJ11" s="239"/>
      <c r="GJK11" s="239"/>
      <c r="GJL11" s="239"/>
      <c r="GJM11" s="239"/>
      <c r="GJN11" s="239"/>
      <c r="GJO11" s="239"/>
      <c r="GJP11" s="239"/>
      <c r="GJQ11" s="239"/>
      <c r="GJR11" s="239"/>
      <c r="GJS11" s="239"/>
      <c r="GJT11" s="239"/>
      <c r="GJU11" s="239"/>
      <c r="GJV11" s="239"/>
      <c r="GJW11" s="239"/>
      <c r="GJX11" s="239"/>
      <c r="GJY11" s="239"/>
      <c r="GJZ11" s="239"/>
      <c r="GKA11" s="239"/>
      <c r="GKB11" s="239"/>
      <c r="GKC11" s="239"/>
      <c r="GKD11" s="239"/>
      <c r="GKE11" s="239"/>
      <c r="GKF11" s="239"/>
      <c r="GKG11" s="239"/>
      <c r="GKH11" s="239"/>
      <c r="GKI11" s="239"/>
      <c r="GKJ11" s="239"/>
      <c r="GKK11" s="239"/>
      <c r="GKL11" s="239"/>
      <c r="GKM11" s="239"/>
      <c r="GKN11" s="239"/>
      <c r="GKO11" s="239"/>
      <c r="GKP11" s="239"/>
      <c r="GKQ11" s="239"/>
      <c r="GKR11" s="239"/>
      <c r="GKS11" s="239"/>
      <c r="GKT11" s="239"/>
      <c r="GKU11" s="239"/>
      <c r="GKV11" s="239"/>
      <c r="GKW11" s="239"/>
      <c r="GKX11" s="239"/>
      <c r="GKY11" s="239"/>
      <c r="GKZ11" s="239"/>
      <c r="GLA11" s="239"/>
      <c r="GLB11" s="239"/>
      <c r="GLC11" s="239"/>
      <c r="GLD11" s="239"/>
      <c r="GLE11" s="239"/>
      <c r="GLF11" s="239"/>
      <c r="GLG11" s="239"/>
      <c r="GLH11" s="239"/>
      <c r="GLI11" s="239"/>
      <c r="GLJ11" s="239"/>
      <c r="GLK11" s="239"/>
      <c r="GLL11" s="239"/>
      <c r="GLM11" s="239"/>
      <c r="GLN11" s="239"/>
      <c r="GLO11" s="239"/>
      <c r="GLP11" s="239"/>
      <c r="GLQ11" s="239"/>
      <c r="GLR11" s="239"/>
      <c r="GLS11" s="239"/>
      <c r="GLT11" s="239"/>
      <c r="GLU11" s="239"/>
      <c r="GLV11" s="239"/>
      <c r="GLW11" s="239"/>
      <c r="GLX11" s="239"/>
      <c r="GLY11" s="239"/>
      <c r="GLZ11" s="239"/>
      <c r="GMA11" s="239"/>
      <c r="GMB11" s="239"/>
      <c r="GMC11" s="239"/>
      <c r="GMD11" s="239"/>
      <c r="GME11" s="239"/>
      <c r="GMF11" s="239"/>
      <c r="GMG11" s="239"/>
      <c r="GMH11" s="239"/>
      <c r="GMI11" s="239"/>
      <c r="GMJ11" s="239"/>
      <c r="GMK11" s="239"/>
      <c r="GML11" s="239"/>
      <c r="GMM11" s="239"/>
      <c r="GMN11" s="239"/>
      <c r="GMO11" s="239"/>
      <c r="GMP11" s="239"/>
      <c r="GMQ11" s="239"/>
      <c r="GMR11" s="239"/>
      <c r="GMS11" s="239"/>
      <c r="GMT11" s="239"/>
      <c r="GMU11" s="239"/>
      <c r="GMV11" s="239"/>
      <c r="GMW11" s="239"/>
      <c r="GMX11" s="239"/>
      <c r="GMY11" s="239"/>
      <c r="GMZ11" s="239"/>
      <c r="GNA11" s="239"/>
      <c r="GNB11" s="239"/>
      <c r="GNC11" s="239"/>
      <c r="GND11" s="239"/>
      <c r="GNE11" s="239"/>
      <c r="GNF11" s="239"/>
      <c r="GNG11" s="239"/>
      <c r="GNH11" s="239"/>
      <c r="GNI11" s="239"/>
      <c r="GNJ11" s="239"/>
      <c r="GNK11" s="239"/>
      <c r="GNL11" s="239"/>
      <c r="GNM11" s="239"/>
      <c r="GNN11" s="239"/>
      <c r="GNO11" s="239"/>
      <c r="GNP11" s="239"/>
      <c r="GNQ11" s="239"/>
      <c r="GNR11" s="239"/>
      <c r="GNS11" s="239"/>
      <c r="GNT11" s="239"/>
      <c r="GNU11" s="239"/>
      <c r="GNV11" s="239"/>
      <c r="GNW11" s="239"/>
      <c r="GNX11" s="239"/>
      <c r="GNY11" s="239"/>
      <c r="GNZ11" s="239"/>
      <c r="GOA11" s="239"/>
      <c r="GOB11" s="239"/>
      <c r="GOC11" s="239"/>
      <c r="GOD11" s="239"/>
      <c r="GOE11" s="239"/>
      <c r="GOF11" s="239"/>
      <c r="GOG11" s="239"/>
      <c r="GOH11" s="239"/>
      <c r="GOI11" s="239"/>
      <c r="GOJ11" s="239"/>
      <c r="GOK11" s="239"/>
      <c r="GOL11" s="239"/>
      <c r="GOM11" s="239"/>
      <c r="GON11" s="239"/>
      <c r="GOO11" s="239"/>
      <c r="GOP11" s="239"/>
      <c r="GOQ11" s="239"/>
      <c r="GOR11" s="239"/>
      <c r="GOS11" s="239"/>
      <c r="GOT11" s="239"/>
      <c r="GOU11" s="239"/>
      <c r="GOV11" s="239"/>
      <c r="GOW11" s="239"/>
      <c r="GOX11" s="239"/>
      <c r="GOY11" s="239"/>
      <c r="GOZ11" s="239"/>
      <c r="GPA11" s="239"/>
      <c r="GPB11" s="239"/>
      <c r="GPC11" s="239"/>
      <c r="GPD11" s="239"/>
      <c r="GPE11" s="239"/>
      <c r="GPF11" s="239"/>
      <c r="GPG11" s="239"/>
      <c r="GPH11" s="239"/>
      <c r="GPI11" s="239"/>
      <c r="GPJ11" s="239"/>
      <c r="GPK11" s="239"/>
      <c r="GPL11" s="239"/>
      <c r="GPM11" s="239"/>
      <c r="GPN11" s="239"/>
      <c r="GPO11" s="239"/>
      <c r="GPP11" s="239"/>
      <c r="GPQ11" s="239"/>
      <c r="GPR11" s="239"/>
      <c r="GPS11" s="239"/>
      <c r="GPT11" s="239"/>
      <c r="GPU11" s="239"/>
      <c r="GPV11" s="239"/>
      <c r="GPW11" s="239"/>
      <c r="GPX11" s="239"/>
      <c r="GPY11" s="239"/>
      <c r="GPZ11" s="239"/>
      <c r="GQA11" s="239"/>
      <c r="GQB11" s="239"/>
      <c r="GQC11" s="239"/>
      <c r="GQD11" s="239"/>
      <c r="GQE11" s="239"/>
      <c r="GQF11" s="239"/>
      <c r="GQG11" s="239"/>
      <c r="GQH11" s="239"/>
      <c r="GQI11" s="239"/>
      <c r="GQJ11" s="239"/>
      <c r="GQK11" s="239"/>
      <c r="GQL11" s="239"/>
      <c r="GQM11" s="239"/>
      <c r="GQN11" s="239"/>
      <c r="GQO11" s="239"/>
      <c r="GQP11" s="239"/>
      <c r="GQQ11" s="239"/>
      <c r="GQR11" s="239"/>
      <c r="GQS11" s="239"/>
      <c r="GQT11" s="239"/>
      <c r="GQU11" s="239"/>
      <c r="GQV11" s="239"/>
      <c r="GQW11" s="239"/>
      <c r="GQX11" s="239"/>
      <c r="GQY11" s="239"/>
      <c r="GQZ11" s="239"/>
      <c r="GRA11" s="239"/>
      <c r="GRB11" s="239"/>
      <c r="GRC11" s="239"/>
      <c r="GRD11" s="239"/>
      <c r="GRE11" s="239"/>
      <c r="GRF11" s="239"/>
      <c r="GRG11" s="239"/>
      <c r="GRH11" s="239"/>
      <c r="GRI11" s="239"/>
      <c r="GRJ11" s="239"/>
      <c r="GRK11" s="239"/>
      <c r="GRL11" s="239"/>
      <c r="GRM11" s="239"/>
      <c r="GRN11" s="239"/>
      <c r="GRO11" s="239"/>
      <c r="GRP11" s="239"/>
      <c r="GRQ11" s="239"/>
      <c r="GRR11" s="239"/>
      <c r="GRS11" s="239"/>
      <c r="GRT11" s="239"/>
      <c r="GRU11" s="239"/>
      <c r="GRV11" s="239"/>
      <c r="GRW11" s="239"/>
      <c r="GRX11" s="239"/>
      <c r="GRY11" s="239"/>
      <c r="GRZ11" s="239"/>
      <c r="GSA11" s="239"/>
      <c r="GSB11" s="239"/>
      <c r="GSC11" s="239"/>
      <c r="GSD11" s="239"/>
      <c r="GSE11" s="239"/>
      <c r="GSF11" s="239"/>
      <c r="GSG11" s="239"/>
      <c r="GSH11" s="239"/>
      <c r="GSI11" s="239"/>
      <c r="GSJ11" s="239"/>
      <c r="GSK11" s="239"/>
      <c r="GSL11" s="239"/>
      <c r="GSM11" s="239"/>
      <c r="GSN11" s="239"/>
      <c r="GSO11" s="239"/>
      <c r="GSP11" s="239"/>
      <c r="GSQ11" s="239"/>
      <c r="GSR11" s="239"/>
      <c r="GSS11" s="239"/>
      <c r="GST11" s="239"/>
      <c r="GSU11" s="239"/>
      <c r="GSV11" s="239"/>
      <c r="GSW11" s="239"/>
      <c r="GSX11" s="239"/>
      <c r="GSY11" s="239"/>
      <c r="GSZ11" s="239"/>
      <c r="GTA11" s="239"/>
      <c r="GTB11" s="239"/>
      <c r="GTC11" s="239"/>
      <c r="GTD11" s="239"/>
      <c r="GTE11" s="239"/>
      <c r="GTF11" s="239"/>
      <c r="GTG11" s="239"/>
      <c r="GTH11" s="239"/>
      <c r="GTI11" s="239"/>
      <c r="GTJ11" s="239"/>
      <c r="GTK11" s="239"/>
      <c r="GTL11" s="239"/>
      <c r="GTM11" s="239"/>
      <c r="GTN11" s="239"/>
      <c r="GTO11" s="239"/>
      <c r="GTP11" s="239"/>
      <c r="GTQ11" s="239"/>
      <c r="GTR11" s="239"/>
      <c r="GTS11" s="239"/>
      <c r="GTT11" s="239"/>
      <c r="GTU11" s="239"/>
      <c r="GTV11" s="239"/>
      <c r="GTW11" s="239"/>
      <c r="GTX11" s="239"/>
      <c r="GTY11" s="239"/>
      <c r="GTZ11" s="239"/>
      <c r="GUA11" s="239"/>
      <c r="GUB11" s="239"/>
      <c r="GUC11" s="239"/>
      <c r="GUD11" s="239"/>
      <c r="GUE11" s="239"/>
      <c r="GUF11" s="239"/>
      <c r="GUG11" s="239"/>
      <c r="GUH11" s="239"/>
      <c r="GUI11" s="239"/>
      <c r="GUJ11" s="239"/>
      <c r="GUK11" s="239"/>
      <c r="GUL11" s="239"/>
      <c r="GUM11" s="239"/>
      <c r="GUN11" s="239"/>
      <c r="GUO11" s="239"/>
      <c r="GUP11" s="239"/>
      <c r="GUQ11" s="239"/>
      <c r="GUR11" s="239"/>
      <c r="GUS11" s="239"/>
      <c r="GUT11" s="239"/>
      <c r="GUU11" s="239"/>
      <c r="GUV11" s="239"/>
      <c r="GUW11" s="239"/>
      <c r="GUX11" s="239"/>
      <c r="GUY11" s="239"/>
      <c r="GUZ11" s="239"/>
      <c r="GVA11" s="239"/>
      <c r="GVB11" s="239"/>
      <c r="GVC11" s="239"/>
      <c r="GVD11" s="239"/>
      <c r="GVE11" s="239"/>
      <c r="GVF11" s="239"/>
      <c r="GVG11" s="239"/>
      <c r="GVH11" s="239"/>
      <c r="GVI11" s="239"/>
      <c r="GVJ11" s="239"/>
      <c r="GVK11" s="239"/>
      <c r="GVL11" s="239"/>
      <c r="GVM11" s="239"/>
      <c r="GVN11" s="239"/>
      <c r="GVO11" s="239"/>
      <c r="GVP11" s="239"/>
      <c r="GVQ11" s="239"/>
      <c r="GVR11" s="239"/>
      <c r="GVS11" s="239"/>
      <c r="GVT11" s="239"/>
      <c r="GVU11" s="239"/>
      <c r="GVV11" s="239"/>
      <c r="GVW11" s="239"/>
      <c r="GVX11" s="239"/>
      <c r="GVY11" s="239"/>
      <c r="GVZ11" s="239"/>
      <c r="GWA11" s="239"/>
      <c r="GWB11" s="239"/>
      <c r="GWC11" s="239"/>
      <c r="GWD11" s="239"/>
      <c r="GWE11" s="239"/>
      <c r="GWF11" s="239"/>
      <c r="GWG11" s="239"/>
      <c r="GWH11" s="239"/>
      <c r="GWI11" s="239"/>
      <c r="GWJ11" s="239"/>
      <c r="GWK11" s="239"/>
      <c r="GWL11" s="239"/>
      <c r="GWM11" s="239"/>
      <c r="GWN11" s="239"/>
      <c r="GWO11" s="239"/>
      <c r="GWP11" s="239"/>
      <c r="GWQ11" s="239"/>
      <c r="GWR11" s="239"/>
      <c r="GWS11" s="239"/>
      <c r="GWT11" s="239"/>
      <c r="GWU11" s="239"/>
      <c r="GWV11" s="239"/>
      <c r="GWW11" s="239"/>
      <c r="GWX11" s="239"/>
      <c r="GWY11" s="239"/>
      <c r="GWZ11" s="239"/>
      <c r="GXA11" s="239"/>
      <c r="GXB11" s="239"/>
      <c r="GXC11" s="239"/>
      <c r="GXD11" s="239"/>
      <c r="GXE11" s="239"/>
      <c r="GXF11" s="239"/>
      <c r="GXG11" s="239"/>
      <c r="GXH11" s="239"/>
      <c r="GXI11" s="239"/>
      <c r="GXJ11" s="239"/>
      <c r="GXK11" s="239"/>
      <c r="GXL11" s="239"/>
      <c r="GXM11" s="239"/>
      <c r="GXN11" s="239"/>
      <c r="GXO11" s="239"/>
      <c r="GXP11" s="239"/>
      <c r="GXQ11" s="239"/>
      <c r="GXR11" s="239"/>
      <c r="GXS11" s="239"/>
      <c r="GXT11" s="239"/>
      <c r="GXU11" s="239"/>
      <c r="GXV11" s="239"/>
      <c r="GXW11" s="239"/>
      <c r="GXX11" s="239"/>
      <c r="GXY11" s="239"/>
      <c r="GXZ11" s="239"/>
      <c r="GYA11" s="239"/>
      <c r="GYB11" s="239"/>
      <c r="GYC11" s="239"/>
      <c r="GYD11" s="239"/>
      <c r="GYE11" s="239"/>
      <c r="GYF11" s="239"/>
      <c r="GYG11" s="239"/>
      <c r="GYH11" s="239"/>
      <c r="GYI11" s="239"/>
      <c r="GYJ11" s="239"/>
      <c r="GYK11" s="239"/>
      <c r="GYL11" s="239"/>
      <c r="GYM11" s="239"/>
      <c r="GYN11" s="239"/>
      <c r="GYO11" s="239"/>
      <c r="GYP11" s="239"/>
      <c r="GYQ11" s="239"/>
      <c r="GYR11" s="239"/>
      <c r="GYS11" s="239"/>
      <c r="GYT11" s="239"/>
      <c r="GYU11" s="239"/>
      <c r="GYV11" s="239"/>
      <c r="GYW11" s="239"/>
      <c r="GYX11" s="239"/>
      <c r="GYY11" s="239"/>
      <c r="GYZ11" s="239"/>
      <c r="GZA11" s="239"/>
      <c r="GZB11" s="239"/>
      <c r="GZC11" s="239"/>
      <c r="GZD11" s="239"/>
      <c r="GZE11" s="239"/>
      <c r="GZF11" s="239"/>
      <c r="GZG11" s="239"/>
      <c r="GZH11" s="239"/>
      <c r="GZI11" s="239"/>
      <c r="GZJ11" s="239"/>
      <c r="GZK11" s="239"/>
      <c r="GZL11" s="239"/>
      <c r="GZM11" s="239"/>
      <c r="GZN11" s="239"/>
      <c r="GZO11" s="239"/>
      <c r="GZP11" s="239"/>
      <c r="GZQ11" s="239"/>
      <c r="GZR11" s="239"/>
      <c r="GZS11" s="239"/>
      <c r="GZT11" s="239"/>
      <c r="GZU11" s="239"/>
      <c r="GZV11" s="239"/>
      <c r="GZW11" s="239"/>
      <c r="GZX11" s="239"/>
      <c r="GZY11" s="239"/>
      <c r="GZZ11" s="239"/>
      <c r="HAA11" s="239"/>
      <c r="HAB11" s="239"/>
      <c r="HAC11" s="239"/>
      <c r="HAD11" s="239"/>
      <c r="HAE11" s="239"/>
      <c r="HAF11" s="239"/>
      <c r="HAG11" s="239"/>
      <c r="HAH11" s="239"/>
      <c r="HAI11" s="239"/>
      <c r="HAJ11" s="239"/>
      <c r="HAK11" s="239"/>
      <c r="HAL11" s="239"/>
      <c r="HAM11" s="239"/>
      <c r="HAN11" s="239"/>
      <c r="HAO11" s="239"/>
      <c r="HAP11" s="239"/>
      <c r="HAQ11" s="239"/>
      <c r="HAR11" s="239"/>
      <c r="HAS11" s="239"/>
      <c r="HAT11" s="239"/>
      <c r="HAU11" s="239"/>
      <c r="HAV11" s="239"/>
      <c r="HAW11" s="239"/>
      <c r="HAX11" s="239"/>
      <c r="HAY11" s="239"/>
      <c r="HAZ11" s="239"/>
      <c r="HBA11" s="239"/>
      <c r="HBB11" s="239"/>
      <c r="HBC11" s="239"/>
      <c r="HBD11" s="239"/>
      <c r="HBE11" s="239"/>
      <c r="HBF11" s="239"/>
      <c r="HBG11" s="239"/>
      <c r="HBH11" s="239"/>
      <c r="HBI11" s="239"/>
      <c r="HBJ11" s="239"/>
      <c r="HBK11" s="239"/>
      <c r="HBL11" s="239"/>
      <c r="HBM11" s="239"/>
      <c r="HBN11" s="239"/>
      <c r="HBO11" s="239"/>
      <c r="HBP11" s="239"/>
      <c r="HBQ11" s="239"/>
      <c r="HBR11" s="239"/>
      <c r="HBS11" s="239"/>
      <c r="HBT11" s="239"/>
      <c r="HBU11" s="239"/>
      <c r="HBV11" s="239"/>
      <c r="HBW11" s="239"/>
      <c r="HBX11" s="239"/>
      <c r="HBY11" s="239"/>
      <c r="HBZ11" s="239"/>
      <c r="HCA11" s="239"/>
      <c r="HCB11" s="239"/>
      <c r="HCC11" s="239"/>
      <c r="HCD11" s="239"/>
      <c r="HCE11" s="239"/>
      <c r="HCF11" s="239"/>
      <c r="HCG11" s="239"/>
      <c r="HCH11" s="239"/>
      <c r="HCI11" s="239"/>
      <c r="HCJ11" s="239"/>
      <c r="HCK11" s="239"/>
      <c r="HCL11" s="239"/>
      <c r="HCM11" s="239"/>
      <c r="HCN11" s="239"/>
      <c r="HCO11" s="239"/>
      <c r="HCP11" s="239"/>
      <c r="HCQ11" s="239"/>
      <c r="HCR11" s="239"/>
      <c r="HCS11" s="239"/>
      <c r="HCT11" s="239"/>
      <c r="HCU11" s="239"/>
      <c r="HCV11" s="239"/>
      <c r="HCW11" s="239"/>
      <c r="HCX11" s="239"/>
      <c r="HCY11" s="239"/>
      <c r="HCZ11" s="239"/>
      <c r="HDA11" s="239"/>
      <c r="HDB11" s="239"/>
      <c r="HDC11" s="239"/>
      <c r="HDD11" s="239"/>
      <c r="HDE11" s="239"/>
      <c r="HDF11" s="239"/>
      <c r="HDG11" s="239"/>
      <c r="HDH11" s="239"/>
      <c r="HDI11" s="239"/>
      <c r="HDJ11" s="239"/>
      <c r="HDK11" s="239"/>
      <c r="HDL11" s="239"/>
      <c r="HDM11" s="239"/>
      <c r="HDN11" s="239"/>
      <c r="HDO11" s="239"/>
      <c r="HDP11" s="239"/>
      <c r="HDQ11" s="239"/>
      <c r="HDR11" s="239"/>
      <c r="HDS11" s="239"/>
      <c r="HDT11" s="239"/>
      <c r="HDU11" s="239"/>
      <c r="HDV11" s="239"/>
      <c r="HDW11" s="239"/>
      <c r="HDX11" s="239"/>
      <c r="HDY11" s="239"/>
      <c r="HDZ11" s="239"/>
      <c r="HEA11" s="239"/>
      <c r="HEB11" s="239"/>
      <c r="HEC11" s="239"/>
      <c r="HED11" s="239"/>
      <c r="HEE11" s="239"/>
      <c r="HEF11" s="239"/>
      <c r="HEG11" s="239"/>
      <c r="HEH11" s="239"/>
      <c r="HEI11" s="239"/>
      <c r="HEJ11" s="239"/>
      <c r="HEK11" s="239"/>
      <c r="HEL11" s="239"/>
      <c r="HEM11" s="239"/>
      <c r="HEN11" s="239"/>
      <c r="HEO11" s="239"/>
      <c r="HEP11" s="239"/>
      <c r="HEQ11" s="239"/>
      <c r="HER11" s="239"/>
      <c r="HES11" s="239"/>
      <c r="HET11" s="239"/>
      <c r="HEU11" s="239"/>
      <c r="HEV11" s="239"/>
      <c r="HEW11" s="239"/>
      <c r="HEX11" s="239"/>
      <c r="HEY11" s="239"/>
      <c r="HEZ11" s="239"/>
      <c r="HFA11" s="239"/>
      <c r="HFB11" s="239"/>
      <c r="HFC11" s="239"/>
      <c r="HFD11" s="239"/>
      <c r="HFE11" s="239"/>
      <c r="HFF11" s="239"/>
      <c r="HFG11" s="239"/>
      <c r="HFH11" s="239"/>
      <c r="HFI11" s="239"/>
      <c r="HFJ11" s="239"/>
      <c r="HFK11" s="239"/>
      <c r="HFL11" s="239"/>
      <c r="HFM11" s="239"/>
      <c r="HFN11" s="239"/>
      <c r="HFO11" s="239"/>
      <c r="HFP11" s="239"/>
      <c r="HFQ11" s="239"/>
      <c r="HFR11" s="239"/>
      <c r="HFS11" s="239"/>
      <c r="HFT11" s="239"/>
      <c r="HFU11" s="239"/>
      <c r="HFV11" s="239"/>
      <c r="HFW11" s="239"/>
      <c r="HFX11" s="239"/>
      <c r="HFY11" s="239"/>
      <c r="HFZ11" s="239"/>
      <c r="HGA11" s="239"/>
      <c r="HGB11" s="239"/>
      <c r="HGC11" s="239"/>
      <c r="HGD11" s="239"/>
      <c r="HGE11" s="239"/>
      <c r="HGF11" s="239"/>
      <c r="HGG11" s="239"/>
      <c r="HGH11" s="239"/>
      <c r="HGI11" s="239"/>
      <c r="HGJ11" s="239"/>
      <c r="HGK11" s="239"/>
      <c r="HGL11" s="239"/>
      <c r="HGM11" s="239"/>
      <c r="HGN11" s="239"/>
      <c r="HGO11" s="239"/>
      <c r="HGP11" s="239"/>
      <c r="HGQ11" s="239"/>
      <c r="HGR11" s="239"/>
      <c r="HGS11" s="239"/>
      <c r="HGT11" s="239"/>
      <c r="HGU11" s="239"/>
      <c r="HGV11" s="239"/>
      <c r="HGW11" s="239"/>
      <c r="HGX11" s="239"/>
      <c r="HGY11" s="239"/>
      <c r="HGZ11" s="239"/>
      <c r="HHA11" s="239"/>
      <c r="HHB11" s="239"/>
      <c r="HHC11" s="239"/>
      <c r="HHD11" s="239"/>
      <c r="HHE11" s="239"/>
      <c r="HHF11" s="239"/>
      <c r="HHG11" s="239"/>
      <c r="HHH11" s="239"/>
      <c r="HHI11" s="239"/>
      <c r="HHJ11" s="239"/>
      <c r="HHK11" s="239"/>
      <c r="HHL11" s="239"/>
      <c r="HHM11" s="239"/>
      <c r="HHN11" s="239"/>
      <c r="HHO11" s="239"/>
      <c r="HHP11" s="239"/>
      <c r="HHQ11" s="239"/>
      <c r="HHR11" s="239"/>
      <c r="HHS11" s="239"/>
      <c r="HHT11" s="239"/>
      <c r="HHU11" s="239"/>
      <c r="HHV11" s="239"/>
      <c r="HHW11" s="239"/>
      <c r="HHX11" s="239"/>
      <c r="HHY11" s="239"/>
      <c r="HHZ11" s="239"/>
      <c r="HIA11" s="239"/>
      <c r="HIB11" s="239"/>
      <c r="HIC11" s="239"/>
      <c r="HID11" s="239"/>
      <c r="HIE11" s="239"/>
      <c r="HIF11" s="239"/>
      <c r="HIG11" s="239"/>
      <c r="HIH11" s="239"/>
      <c r="HII11" s="239"/>
      <c r="HIJ11" s="239"/>
      <c r="HIK11" s="239"/>
      <c r="HIL11" s="239"/>
      <c r="HIM11" s="239"/>
      <c r="HIN11" s="239"/>
      <c r="HIO11" s="239"/>
      <c r="HIP11" s="239"/>
      <c r="HIQ11" s="239"/>
      <c r="HIR11" s="239"/>
      <c r="HIS11" s="239"/>
      <c r="HIT11" s="239"/>
      <c r="HIU11" s="239"/>
      <c r="HIV11" s="239"/>
      <c r="HIW11" s="239"/>
      <c r="HIX11" s="239"/>
      <c r="HIY11" s="239"/>
      <c r="HIZ11" s="239"/>
      <c r="HJA11" s="239"/>
      <c r="HJB11" s="239"/>
      <c r="HJC11" s="239"/>
      <c r="HJD11" s="239"/>
      <c r="HJE11" s="239"/>
      <c r="HJF11" s="239"/>
      <c r="HJG11" s="239"/>
      <c r="HJH11" s="239"/>
      <c r="HJI11" s="239"/>
      <c r="HJJ11" s="239"/>
      <c r="HJK11" s="239"/>
      <c r="HJL11" s="239"/>
      <c r="HJM11" s="239"/>
      <c r="HJN11" s="239"/>
      <c r="HJO11" s="239"/>
      <c r="HJP11" s="239"/>
      <c r="HJQ11" s="239"/>
      <c r="HJR11" s="239"/>
      <c r="HJS11" s="239"/>
      <c r="HJT11" s="239"/>
      <c r="HJU11" s="239"/>
      <c r="HJV11" s="239"/>
      <c r="HJW11" s="239"/>
      <c r="HJX11" s="239"/>
      <c r="HJY11" s="239"/>
      <c r="HJZ11" s="239"/>
      <c r="HKA11" s="239"/>
      <c r="HKB11" s="239"/>
      <c r="HKC11" s="239"/>
      <c r="HKD11" s="239"/>
      <c r="HKE11" s="239"/>
      <c r="HKF11" s="239"/>
      <c r="HKG11" s="239"/>
      <c r="HKH11" s="239"/>
      <c r="HKI11" s="239"/>
      <c r="HKJ11" s="239"/>
      <c r="HKK11" s="239"/>
      <c r="HKL11" s="239"/>
      <c r="HKM11" s="239"/>
      <c r="HKN11" s="239"/>
      <c r="HKO11" s="239"/>
      <c r="HKP11" s="239"/>
      <c r="HKQ11" s="239"/>
      <c r="HKR11" s="239"/>
      <c r="HKS11" s="239"/>
      <c r="HKT11" s="239"/>
      <c r="HKU11" s="239"/>
      <c r="HKV11" s="239"/>
      <c r="HKW11" s="239"/>
      <c r="HKX11" s="239"/>
      <c r="HKY11" s="239"/>
      <c r="HKZ11" s="239"/>
      <c r="HLA11" s="239"/>
      <c r="HLB11" s="239"/>
      <c r="HLC11" s="239"/>
      <c r="HLD11" s="239"/>
      <c r="HLE11" s="239"/>
      <c r="HLF11" s="239"/>
      <c r="HLG11" s="239"/>
      <c r="HLH11" s="239"/>
      <c r="HLI11" s="239"/>
      <c r="HLJ11" s="239"/>
      <c r="HLK11" s="239"/>
      <c r="HLL11" s="239"/>
      <c r="HLM11" s="239"/>
      <c r="HLN11" s="239"/>
      <c r="HLO11" s="239"/>
      <c r="HLP11" s="239"/>
      <c r="HLQ11" s="239"/>
      <c r="HLR11" s="239"/>
      <c r="HLS11" s="239"/>
      <c r="HLT11" s="239"/>
      <c r="HLU11" s="239"/>
      <c r="HLV11" s="239"/>
      <c r="HLW11" s="239"/>
      <c r="HLX11" s="239"/>
      <c r="HLY11" s="239"/>
      <c r="HLZ11" s="239"/>
      <c r="HMA11" s="239"/>
      <c r="HMB11" s="239"/>
      <c r="HMC11" s="239"/>
      <c r="HMD11" s="239"/>
      <c r="HME11" s="239"/>
      <c r="HMF11" s="239"/>
      <c r="HMG11" s="239"/>
      <c r="HMH11" s="239"/>
      <c r="HMI11" s="239"/>
      <c r="HMJ11" s="239"/>
      <c r="HMK11" s="239"/>
      <c r="HML11" s="239"/>
      <c r="HMM11" s="239"/>
      <c r="HMN11" s="239"/>
      <c r="HMO11" s="239"/>
      <c r="HMP11" s="239"/>
      <c r="HMQ11" s="239"/>
      <c r="HMR11" s="239"/>
      <c r="HMS11" s="239"/>
      <c r="HMT11" s="239"/>
      <c r="HMU11" s="239"/>
      <c r="HMV11" s="239"/>
      <c r="HMW11" s="239"/>
      <c r="HMX11" s="239"/>
      <c r="HMY11" s="239"/>
      <c r="HMZ11" s="239"/>
      <c r="HNA11" s="239"/>
      <c r="HNB11" s="239"/>
      <c r="HNC11" s="239"/>
      <c r="HND11" s="239"/>
      <c r="HNE11" s="239"/>
      <c r="HNF11" s="239"/>
      <c r="HNG11" s="239"/>
      <c r="HNH11" s="239"/>
      <c r="HNI11" s="239"/>
      <c r="HNJ11" s="239"/>
      <c r="HNK11" s="239"/>
      <c r="HNL11" s="239"/>
      <c r="HNM11" s="239"/>
      <c r="HNN11" s="239"/>
      <c r="HNO11" s="239"/>
      <c r="HNP11" s="239"/>
      <c r="HNQ11" s="239"/>
      <c r="HNR11" s="239"/>
      <c r="HNS11" s="239"/>
      <c r="HNT11" s="239"/>
      <c r="HNU11" s="239"/>
      <c r="HNV11" s="239"/>
      <c r="HNW11" s="239"/>
      <c r="HNX11" s="239"/>
      <c r="HNY11" s="239"/>
      <c r="HNZ11" s="239"/>
      <c r="HOA11" s="239"/>
      <c r="HOB11" s="239"/>
      <c r="HOC11" s="239"/>
      <c r="HOD11" s="239"/>
      <c r="HOE11" s="239"/>
      <c r="HOF11" s="239"/>
      <c r="HOG11" s="239"/>
      <c r="HOH11" s="239"/>
      <c r="HOI11" s="239"/>
      <c r="HOJ11" s="239"/>
      <c r="HOK11" s="239"/>
      <c r="HOL11" s="239"/>
      <c r="HOM11" s="239"/>
      <c r="HON11" s="239"/>
      <c r="HOO11" s="239"/>
      <c r="HOP11" s="239"/>
      <c r="HOQ11" s="239"/>
      <c r="HOR11" s="239"/>
      <c r="HOS11" s="239"/>
      <c r="HOT11" s="239"/>
      <c r="HOU11" s="239"/>
      <c r="HOV11" s="239"/>
      <c r="HOW11" s="239"/>
      <c r="HOX11" s="239"/>
      <c r="HOY11" s="239"/>
      <c r="HOZ11" s="239"/>
      <c r="HPA11" s="239"/>
      <c r="HPB11" s="239"/>
      <c r="HPC11" s="239"/>
      <c r="HPD11" s="239"/>
      <c r="HPE11" s="239"/>
      <c r="HPF11" s="239"/>
      <c r="HPG11" s="239"/>
      <c r="HPH11" s="239"/>
      <c r="HPI11" s="239"/>
      <c r="HPJ11" s="239"/>
      <c r="HPK11" s="239"/>
      <c r="HPL11" s="239"/>
      <c r="HPM11" s="239"/>
      <c r="HPN11" s="239"/>
      <c r="HPO11" s="239"/>
      <c r="HPP11" s="239"/>
      <c r="HPQ11" s="239"/>
      <c r="HPR11" s="239"/>
      <c r="HPS11" s="239"/>
      <c r="HPT11" s="239"/>
      <c r="HPU11" s="239"/>
      <c r="HPV11" s="239"/>
      <c r="HPW11" s="239"/>
      <c r="HPX11" s="239"/>
      <c r="HPY11" s="239"/>
      <c r="HPZ11" s="239"/>
      <c r="HQA11" s="239"/>
      <c r="HQB11" s="239"/>
      <c r="HQC11" s="239"/>
      <c r="HQD11" s="239"/>
      <c r="HQE11" s="239"/>
      <c r="HQF11" s="239"/>
      <c r="HQG11" s="239"/>
      <c r="HQH11" s="239"/>
      <c r="HQI11" s="239"/>
      <c r="HQJ11" s="239"/>
      <c r="HQK11" s="239"/>
      <c r="HQL11" s="239"/>
      <c r="HQM11" s="239"/>
      <c r="HQN11" s="239"/>
      <c r="HQO11" s="239"/>
      <c r="HQP11" s="239"/>
      <c r="HQQ11" s="239"/>
      <c r="HQR11" s="239"/>
      <c r="HQS11" s="239"/>
      <c r="HQT11" s="239"/>
      <c r="HQU11" s="239"/>
      <c r="HQV11" s="239"/>
      <c r="HQW11" s="239"/>
      <c r="HQX11" s="239"/>
      <c r="HQY11" s="239"/>
      <c r="HQZ11" s="239"/>
      <c r="HRA11" s="239"/>
      <c r="HRB11" s="239"/>
      <c r="HRC11" s="239"/>
      <c r="HRD11" s="239"/>
      <c r="HRE11" s="239"/>
      <c r="HRF11" s="239"/>
      <c r="HRG11" s="239"/>
      <c r="HRH11" s="239"/>
      <c r="HRI11" s="239"/>
      <c r="HRJ11" s="239"/>
      <c r="HRK11" s="239"/>
      <c r="HRL11" s="239"/>
      <c r="HRM11" s="239"/>
      <c r="HRN11" s="239"/>
      <c r="HRO11" s="239"/>
      <c r="HRP11" s="239"/>
      <c r="HRQ11" s="239"/>
      <c r="HRR11" s="239"/>
      <c r="HRS11" s="239"/>
      <c r="HRT11" s="239"/>
      <c r="HRU11" s="239"/>
      <c r="HRV11" s="239"/>
      <c r="HRW11" s="239"/>
      <c r="HRX11" s="239"/>
      <c r="HRY11" s="239"/>
      <c r="HRZ11" s="239"/>
      <c r="HSA11" s="239"/>
      <c r="HSB11" s="239"/>
      <c r="HSC11" s="239"/>
      <c r="HSD11" s="239"/>
      <c r="HSE11" s="239"/>
      <c r="HSF11" s="239"/>
      <c r="HSG11" s="239"/>
      <c r="HSH11" s="239"/>
      <c r="HSI11" s="239"/>
      <c r="HSJ11" s="239"/>
      <c r="HSK11" s="239"/>
      <c r="HSL11" s="239"/>
      <c r="HSM11" s="239"/>
      <c r="HSN11" s="239"/>
      <c r="HSO11" s="239"/>
      <c r="HSP11" s="239"/>
      <c r="HSQ11" s="239"/>
      <c r="HSR11" s="239"/>
      <c r="HSS11" s="239"/>
      <c r="HST11" s="239"/>
      <c r="HSU11" s="239"/>
      <c r="HSV11" s="239"/>
      <c r="HSW11" s="239"/>
      <c r="HSX11" s="239"/>
      <c r="HSY11" s="239"/>
      <c r="HSZ11" s="239"/>
      <c r="HTA11" s="239"/>
      <c r="HTB11" s="239"/>
      <c r="HTC11" s="239"/>
      <c r="HTD11" s="239"/>
      <c r="HTE11" s="239"/>
      <c r="HTF11" s="239"/>
      <c r="HTG11" s="239"/>
      <c r="HTH11" s="239"/>
      <c r="HTI11" s="239"/>
      <c r="HTJ11" s="239"/>
      <c r="HTK11" s="239"/>
      <c r="HTL11" s="239"/>
      <c r="HTM11" s="239"/>
      <c r="HTN11" s="239"/>
      <c r="HTO11" s="239"/>
      <c r="HTP11" s="239"/>
      <c r="HTQ11" s="239"/>
      <c r="HTR11" s="239"/>
      <c r="HTS11" s="239"/>
      <c r="HTT11" s="239"/>
      <c r="HTU11" s="239"/>
      <c r="HTV11" s="239"/>
      <c r="HTW11" s="239"/>
      <c r="HTX11" s="239"/>
      <c r="HTY11" s="239"/>
      <c r="HTZ11" s="239"/>
      <c r="HUA11" s="239"/>
      <c r="HUB11" s="239"/>
      <c r="HUC11" s="239"/>
      <c r="HUD11" s="239"/>
      <c r="HUE11" s="239"/>
      <c r="HUF11" s="239"/>
      <c r="HUG11" s="239"/>
      <c r="HUH11" s="239"/>
      <c r="HUI11" s="239"/>
      <c r="HUJ11" s="239"/>
      <c r="HUK11" s="239"/>
      <c r="HUL11" s="239"/>
      <c r="HUM11" s="239"/>
      <c r="HUN11" s="239"/>
      <c r="HUO11" s="239"/>
      <c r="HUP11" s="239"/>
      <c r="HUQ11" s="239"/>
      <c r="HUR11" s="239"/>
      <c r="HUS11" s="239"/>
      <c r="HUT11" s="239"/>
      <c r="HUU11" s="239"/>
      <c r="HUV11" s="239"/>
      <c r="HUW11" s="239"/>
      <c r="HUX11" s="239"/>
      <c r="HUY11" s="239"/>
      <c r="HUZ11" s="239"/>
      <c r="HVA11" s="239"/>
      <c r="HVB11" s="239"/>
      <c r="HVC11" s="239"/>
      <c r="HVD11" s="239"/>
      <c r="HVE11" s="239"/>
      <c r="HVF11" s="239"/>
      <c r="HVG11" s="239"/>
      <c r="HVH11" s="239"/>
      <c r="HVI11" s="239"/>
      <c r="HVJ11" s="239"/>
      <c r="HVK11" s="239"/>
      <c r="HVL11" s="239"/>
      <c r="HVM11" s="239"/>
      <c r="HVN11" s="239"/>
      <c r="HVO11" s="239"/>
      <c r="HVP11" s="239"/>
      <c r="HVQ11" s="239"/>
      <c r="HVR11" s="239"/>
      <c r="HVS11" s="239"/>
      <c r="HVT11" s="239"/>
      <c r="HVU11" s="239"/>
      <c r="HVV11" s="239"/>
      <c r="HVW11" s="239"/>
      <c r="HVX11" s="239"/>
      <c r="HVY11" s="239"/>
      <c r="HVZ11" s="239"/>
      <c r="HWA11" s="239"/>
      <c r="HWB11" s="239"/>
      <c r="HWC11" s="239"/>
      <c r="HWD11" s="239"/>
      <c r="HWE11" s="239"/>
      <c r="HWF11" s="239"/>
      <c r="HWG11" s="239"/>
      <c r="HWH11" s="239"/>
      <c r="HWI11" s="239"/>
      <c r="HWJ11" s="239"/>
      <c r="HWK11" s="239"/>
      <c r="HWL11" s="239"/>
      <c r="HWM11" s="239"/>
      <c r="HWN11" s="239"/>
      <c r="HWO11" s="239"/>
      <c r="HWP11" s="239"/>
      <c r="HWQ11" s="239"/>
      <c r="HWR11" s="239"/>
      <c r="HWS11" s="239"/>
      <c r="HWT11" s="239"/>
      <c r="HWU11" s="239"/>
      <c r="HWV11" s="239"/>
      <c r="HWW11" s="239"/>
      <c r="HWX11" s="239"/>
      <c r="HWY11" s="239"/>
      <c r="HWZ11" s="239"/>
      <c r="HXA11" s="239"/>
      <c r="HXB11" s="239"/>
      <c r="HXC11" s="239"/>
      <c r="HXD11" s="239"/>
      <c r="HXE11" s="239"/>
      <c r="HXF11" s="239"/>
      <c r="HXG11" s="239"/>
      <c r="HXH11" s="239"/>
      <c r="HXI11" s="239"/>
      <c r="HXJ11" s="239"/>
      <c r="HXK11" s="239"/>
      <c r="HXL11" s="239"/>
      <c r="HXM11" s="239"/>
      <c r="HXN11" s="239"/>
      <c r="HXO11" s="239"/>
      <c r="HXP11" s="239"/>
      <c r="HXQ11" s="239"/>
      <c r="HXR11" s="239"/>
      <c r="HXS11" s="239"/>
      <c r="HXT11" s="239"/>
      <c r="HXU11" s="239"/>
      <c r="HXV11" s="239"/>
      <c r="HXW11" s="239"/>
      <c r="HXX11" s="239"/>
      <c r="HXY11" s="239"/>
      <c r="HXZ11" s="239"/>
      <c r="HYA11" s="239"/>
      <c r="HYB11" s="239"/>
      <c r="HYC11" s="239"/>
      <c r="HYD11" s="239"/>
      <c r="HYE11" s="239"/>
      <c r="HYF11" s="239"/>
      <c r="HYG11" s="239"/>
      <c r="HYH11" s="239"/>
      <c r="HYI11" s="239"/>
      <c r="HYJ11" s="239"/>
      <c r="HYK11" s="239"/>
      <c r="HYL11" s="239"/>
      <c r="HYM11" s="239"/>
      <c r="HYN11" s="239"/>
      <c r="HYO11" s="239"/>
      <c r="HYP11" s="239"/>
      <c r="HYQ11" s="239"/>
      <c r="HYR11" s="239"/>
      <c r="HYS11" s="239"/>
      <c r="HYT11" s="239"/>
      <c r="HYU11" s="239"/>
      <c r="HYV11" s="239"/>
      <c r="HYW11" s="239"/>
      <c r="HYX11" s="239"/>
      <c r="HYY11" s="239"/>
      <c r="HYZ11" s="239"/>
      <c r="HZA11" s="239"/>
      <c r="HZB11" s="239"/>
      <c r="HZC11" s="239"/>
      <c r="HZD11" s="239"/>
      <c r="HZE11" s="239"/>
      <c r="HZF11" s="239"/>
      <c r="HZG11" s="239"/>
      <c r="HZH11" s="239"/>
      <c r="HZI11" s="239"/>
      <c r="HZJ11" s="239"/>
      <c r="HZK11" s="239"/>
      <c r="HZL11" s="239"/>
      <c r="HZM11" s="239"/>
      <c r="HZN11" s="239"/>
      <c r="HZO11" s="239"/>
      <c r="HZP11" s="239"/>
      <c r="HZQ11" s="239"/>
      <c r="HZR11" s="239"/>
      <c r="HZS11" s="239"/>
      <c r="HZT11" s="239"/>
      <c r="HZU11" s="239"/>
      <c r="HZV11" s="239"/>
      <c r="HZW11" s="239"/>
      <c r="HZX11" s="239"/>
      <c r="HZY11" s="239"/>
      <c r="HZZ11" s="239"/>
      <c r="IAA11" s="239"/>
      <c r="IAB11" s="239"/>
      <c r="IAC11" s="239"/>
      <c r="IAD11" s="239"/>
      <c r="IAE11" s="239"/>
      <c r="IAF11" s="239"/>
      <c r="IAG11" s="239"/>
      <c r="IAH11" s="239"/>
      <c r="IAI11" s="239"/>
      <c r="IAJ11" s="239"/>
      <c r="IAK11" s="239"/>
      <c r="IAL11" s="239"/>
      <c r="IAM11" s="239"/>
      <c r="IAN11" s="239"/>
      <c r="IAO11" s="239"/>
      <c r="IAP11" s="239"/>
      <c r="IAQ11" s="239"/>
      <c r="IAR11" s="239"/>
      <c r="IAS11" s="239"/>
      <c r="IAT11" s="239"/>
      <c r="IAU11" s="239"/>
      <c r="IAV11" s="239"/>
      <c r="IAW11" s="239"/>
      <c r="IAX11" s="239"/>
      <c r="IAY11" s="239"/>
      <c r="IAZ11" s="239"/>
      <c r="IBA11" s="239"/>
      <c r="IBB11" s="239"/>
      <c r="IBC11" s="239"/>
      <c r="IBD11" s="239"/>
      <c r="IBE11" s="239"/>
      <c r="IBF11" s="239"/>
      <c r="IBG11" s="239"/>
      <c r="IBH11" s="239"/>
      <c r="IBI11" s="239"/>
      <c r="IBJ11" s="239"/>
      <c r="IBK11" s="239"/>
      <c r="IBL11" s="239"/>
      <c r="IBM11" s="239"/>
      <c r="IBN11" s="239"/>
      <c r="IBO11" s="239"/>
      <c r="IBP11" s="239"/>
      <c r="IBQ11" s="239"/>
      <c r="IBR11" s="239"/>
      <c r="IBS11" s="239"/>
      <c r="IBT11" s="239"/>
      <c r="IBU11" s="239"/>
      <c r="IBV11" s="239"/>
      <c r="IBW11" s="239"/>
      <c r="IBX11" s="239"/>
      <c r="IBY11" s="239"/>
      <c r="IBZ11" s="239"/>
      <c r="ICA11" s="239"/>
      <c r="ICB11" s="239"/>
      <c r="ICC11" s="239"/>
      <c r="ICD11" s="239"/>
      <c r="ICE11" s="239"/>
      <c r="ICF11" s="239"/>
      <c r="ICG11" s="239"/>
      <c r="ICH11" s="239"/>
      <c r="ICI11" s="239"/>
      <c r="ICJ11" s="239"/>
      <c r="ICK11" s="239"/>
      <c r="ICL11" s="239"/>
      <c r="ICM11" s="239"/>
      <c r="ICN11" s="239"/>
      <c r="ICO11" s="239"/>
      <c r="ICP11" s="239"/>
      <c r="ICQ11" s="239"/>
      <c r="ICR11" s="239"/>
      <c r="ICS11" s="239"/>
      <c r="ICT11" s="239"/>
      <c r="ICU11" s="239"/>
      <c r="ICV11" s="239"/>
      <c r="ICW11" s="239"/>
      <c r="ICX11" s="239"/>
      <c r="ICY11" s="239"/>
      <c r="ICZ11" s="239"/>
      <c r="IDA11" s="239"/>
      <c r="IDB11" s="239"/>
      <c r="IDC11" s="239"/>
      <c r="IDD11" s="239"/>
      <c r="IDE11" s="239"/>
      <c r="IDF11" s="239"/>
      <c r="IDG11" s="239"/>
      <c r="IDH11" s="239"/>
      <c r="IDI11" s="239"/>
      <c r="IDJ11" s="239"/>
      <c r="IDK11" s="239"/>
      <c r="IDL11" s="239"/>
      <c r="IDM11" s="239"/>
      <c r="IDN11" s="239"/>
      <c r="IDO11" s="239"/>
      <c r="IDP11" s="239"/>
      <c r="IDQ11" s="239"/>
      <c r="IDR11" s="239"/>
      <c r="IDS11" s="239"/>
      <c r="IDT11" s="239"/>
      <c r="IDU11" s="239"/>
      <c r="IDV11" s="239"/>
      <c r="IDW11" s="239"/>
      <c r="IDX11" s="239"/>
      <c r="IDY11" s="239"/>
      <c r="IDZ11" s="239"/>
      <c r="IEA11" s="239"/>
      <c r="IEB11" s="239"/>
      <c r="IEC11" s="239"/>
      <c r="IED11" s="239"/>
      <c r="IEE11" s="239"/>
      <c r="IEF11" s="239"/>
      <c r="IEG11" s="239"/>
      <c r="IEH11" s="239"/>
      <c r="IEI11" s="239"/>
      <c r="IEJ11" s="239"/>
      <c r="IEK11" s="239"/>
      <c r="IEL11" s="239"/>
      <c r="IEM11" s="239"/>
      <c r="IEN11" s="239"/>
      <c r="IEO11" s="239"/>
      <c r="IEP11" s="239"/>
      <c r="IEQ11" s="239"/>
      <c r="IER11" s="239"/>
      <c r="IES11" s="239"/>
      <c r="IET11" s="239"/>
      <c r="IEU11" s="239"/>
      <c r="IEV11" s="239"/>
      <c r="IEW11" s="239"/>
      <c r="IEX11" s="239"/>
      <c r="IEY11" s="239"/>
      <c r="IEZ11" s="239"/>
      <c r="IFA11" s="239"/>
      <c r="IFB11" s="239"/>
      <c r="IFC11" s="239"/>
      <c r="IFD11" s="239"/>
      <c r="IFE11" s="239"/>
      <c r="IFF11" s="239"/>
      <c r="IFG11" s="239"/>
      <c r="IFH11" s="239"/>
      <c r="IFI11" s="239"/>
      <c r="IFJ11" s="239"/>
      <c r="IFK11" s="239"/>
      <c r="IFL11" s="239"/>
      <c r="IFM11" s="239"/>
      <c r="IFN11" s="239"/>
      <c r="IFO11" s="239"/>
      <c r="IFP11" s="239"/>
      <c r="IFQ11" s="239"/>
      <c r="IFR11" s="239"/>
      <c r="IFS11" s="239"/>
      <c r="IFT11" s="239"/>
      <c r="IFU11" s="239"/>
      <c r="IFV11" s="239"/>
      <c r="IFW11" s="239"/>
      <c r="IFX11" s="239"/>
      <c r="IFY11" s="239"/>
      <c r="IFZ11" s="239"/>
      <c r="IGA11" s="239"/>
      <c r="IGB11" s="239"/>
      <c r="IGC11" s="239"/>
      <c r="IGD11" s="239"/>
      <c r="IGE11" s="239"/>
      <c r="IGF11" s="239"/>
      <c r="IGG11" s="239"/>
      <c r="IGH11" s="239"/>
      <c r="IGI11" s="239"/>
      <c r="IGJ11" s="239"/>
      <c r="IGK11" s="239"/>
      <c r="IGL11" s="239"/>
      <c r="IGM11" s="239"/>
      <c r="IGN11" s="239"/>
      <c r="IGO11" s="239"/>
      <c r="IGP11" s="239"/>
      <c r="IGQ11" s="239"/>
      <c r="IGR11" s="239"/>
      <c r="IGS11" s="239"/>
      <c r="IGT11" s="239"/>
      <c r="IGU11" s="239"/>
      <c r="IGV11" s="239"/>
      <c r="IGW11" s="239"/>
      <c r="IGX11" s="239"/>
      <c r="IGY11" s="239"/>
      <c r="IGZ11" s="239"/>
      <c r="IHA11" s="239"/>
      <c r="IHB11" s="239"/>
      <c r="IHC11" s="239"/>
      <c r="IHD11" s="239"/>
      <c r="IHE11" s="239"/>
      <c r="IHF11" s="239"/>
      <c r="IHG11" s="239"/>
      <c r="IHH11" s="239"/>
      <c r="IHI11" s="239"/>
      <c r="IHJ11" s="239"/>
      <c r="IHK11" s="239"/>
      <c r="IHL11" s="239"/>
      <c r="IHM11" s="239"/>
      <c r="IHN11" s="239"/>
      <c r="IHO11" s="239"/>
      <c r="IHP11" s="239"/>
      <c r="IHQ11" s="239"/>
      <c r="IHR11" s="239"/>
      <c r="IHS11" s="239"/>
      <c r="IHT11" s="239"/>
      <c r="IHU11" s="239"/>
      <c r="IHV11" s="239"/>
      <c r="IHW11" s="239"/>
      <c r="IHX11" s="239"/>
      <c r="IHY11" s="239"/>
      <c r="IHZ11" s="239"/>
      <c r="IIA11" s="239"/>
      <c r="IIB11" s="239"/>
      <c r="IIC11" s="239"/>
      <c r="IID11" s="239"/>
      <c r="IIE11" s="239"/>
      <c r="IIF11" s="239"/>
      <c r="IIG11" s="239"/>
      <c r="IIH11" s="239"/>
      <c r="III11" s="239"/>
      <c r="IIJ11" s="239"/>
      <c r="IIK11" s="239"/>
      <c r="IIL11" s="239"/>
      <c r="IIM11" s="239"/>
      <c r="IIN11" s="239"/>
      <c r="IIO11" s="239"/>
      <c r="IIP11" s="239"/>
      <c r="IIQ11" s="239"/>
      <c r="IIR11" s="239"/>
      <c r="IIS11" s="239"/>
      <c r="IIT11" s="239"/>
      <c r="IIU11" s="239"/>
      <c r="IIV11" s="239"/>
      <c r="IIW11" s="239"/>
      <c r="IIX11" s="239"/>
      <c r="IIY11" s="239"/>
      <c r="IIZ11" s="239"/>
      <c r="IJA11" s="239"/>
      <c r="IJB11" s="239"/>
      <c r="IJC11" s="239"/>
      <c r="IJD11" s="239"/>
      <c r="IJE11" s="239"/>
      <c r="IJF11" s="239"/>
      <c r="IJG11" s="239"/>
      <c r="IJH11" s="239"/>
      <c r="IJI11" s="239"/>
      <c r="IJJ11" s="239"/>
      <c r="IJK11" s="239"/>
      <c r="IJL11" s="239"/>
      <c r="IJM11" s="239"/>
      <c r="IJN11" s="239"/>
      <c r="IJO11" s="239"/>
      <c r="IJP11" s="239"/>
      <c r="IJQ11" s="239"/>
      <c r="IJR11" s="239"/>
      <c r="IJS11" s="239"/>
      <c r="IJT11" s="239"/>
      <c r="IJU11" s="239"/>
      <c r="IJV11" s="239"/>
      <c r="IJW11" s="239"/>
      <c r="IJX11" s="239"/>
      <c r="IJY11" s="239"/>
      <c r="IJZ11" s="239"/>
      <c r="IKA11" s="239"/>
      <c r="IKB11" s="239"/>
      <c r="IKC11" s="239"/>
      <c r="IKD11" s="239"/>
      <c r="IKE11" s="239"/>
      <c r="IKF11" s="239"/>
      <c r="IKG11" s="239"/>
      <c r="IKH11" s="239"/>
      <c r="IKI11" s="239"/>
      <c r="IKJ11" s="239"/>
      <c r="IKK11" s="239"/>
      <c r="IKL11" s="239"/>
      <c r="IKM11" s="239"/>
      <c r="IKN11" s="239"/>
      <c r="IKO11" s="239"/>
      <c r="IKP11" s="239"/>
      <c r="IKQ11" s="239"/>
      <c r="IKR11" s="239"/>
      <c r="IKS11" s="239"/>
      <c r="IKT11" s="239"/>
      <c r="IKU11" s="239"/>
      <c r="IKV11" s="239"/>
      <c r="IKW11" s="239"/>
      <c r="IKX11" s="239"/>
      <c r="IKY11" s="239"/>
      <c r="IKZ11" s="239"/>
      <c r="ILA11" s="239"/>
      <c r="ILB11" s="239"/>
      <c r="ILC11" s="239"/>
      <c r="ILD11" s="239"/>
      <c r="ILE11" s="239"/>
      <c r="ILF11" s="239"/>
      <c r="ILG11" s="239"/>
      <c r="ILH11" s="239"/>
      <c r="ILI11" s="239"/>
      <c r="ILJ11" s="239"/>
      <c r="ILK11" s="239"/>
      <c r="ILL11" s="239"/>
      <c r="ILM11" s="239"/>
      <c r="ILN11" s="239"/>
      <c r="ILO11" s="239"/>
      <c r="ILP11" s="239"/>
      <c r="ILQ11" s="239"/>
      <c r="ILR11" s="239"/>
      <c r="ILS11" s="239"/>
      <c r="ILT11" s="239"/>
      <c r="ILU11" s="239"/>
      <c r="ILV11" s="239"/>
      <c r="ILW11" s="239"/>
      <c r="ILX11" s="239"/>
      <c r="ILY11" s="239"/>
      <c r="ILZ11" s="239"/>
      <c r="IMA11" s="239"/>
      <c r="IMB11" s="239"/>
      <c r="IMC11" s="239"/>
      <c r="IMD11" s="239"/>
      <c r="IME11" s="239"/>
      <c r="IMF11" s="239"/>
      <c r="IMG11" s="239"/>
      <c r="IMH11" s="239"/>
      <c r="IMI11" s="239"/>
      <c r="IMJ11" s="239"/>
      <c r="IMK11" s="239"/>
      <c r="IML11" s="239"/>
      <c r="IMM11" s="239"/>
      <c r="IMN11" s="239"/>
      <c r="IMO11" s="239"/>
      <c r="IMP11" s="239"/>
      <c r="IMQ11" s="239"/>
      <c r="IMR11" s="239"/>
      <c r="IMS11" s="239"/>
      <c r="IMT11" s="239"/>
      <c r="IMU11" s="239"/>
      <c r="IMV11" s="239"/>
      <c r="IMW11" s="239"/>
      <c r="IMX11" s="239"/>
      <c r="IMY11" s="239"/>
      <c r="IMZ11" s="239"/>
      <c r="INA11" s="239"/>
      <c r="INB11" s="239"/>
      <c r="INC11" s="239"/>
      <c r="IND11" s="239"/>
      <c r="INE11" s="239"/>
      <c r="INF11" s="239"/>
      <c r="ING11" s="239"/>
      <c r="INH11" s="239"/>
      <c r="INI11" s="239"/>
      <c r="INJ11" s="239"/>
      <c r="INK11" s="239"/>
      <c r="INL11" s="239"/>
      <c r="INM11" s="239"/>
      <c r="INN11" s="239"/>
      <c r="INO11" s="239"/>
      <c r="INP11" s="239"/>
      <c r="INQ11" s="239"/>
      <c r="INR11" s="239"/>
      <c r="INS11" s="239"/>
      <c r="INT11" s="239"/>
      <c r="INU11" s="239"/>
      <c r="INV11" s="239"/>
      <c r="INW11" s="239"/>
      <c r="INX11" s="239"/>
      <c r="INY11" s="239"/>
      <c r="INZ11" s="239"/>
      <c r="IOA11" s="239"/>
      <c r="IOB11" s="239"/>
      <c r="IOC11" s="239"/>
      <c r="IOD11" s="239"/>
      <c r="IOE11" s="239"/>
      <c r="IOF11" s="239"/>
      <c r="IOG11" s="239"/>
      <c r="IOH11" s="239"/>
      <c r="IOI11" s="239"/>
      <c r="IOJ11" s="239"/>
      <c r="IOK11" s="239"/>
      <c r="IOL11" s="239"/>
      <c r="IOM11" s="239"/>
      <c r="ION11" s="239"/>
      <c r="IOO11" s="239"/>
      <c r="IOP11" s="239"/>
      <c r="IOQ11" s="239"/>
      <c r="IOR11" s="239"/>
      <c r="IOS11" s="239"/>
      <c r="IOT11" s="239"/>
      <c r="IOU11" s="239"/>
      <c r="IOV11" s="239"/>
      <c r="IOW11" s="239"/>
      <c r="IOX11" s="239"/>
      <c r="IOY11" s="239"/>
      <c r="IOZ11" s="239"/>
      <c r="IPA11" s="239"/>
      <c r="IPB11" s="239"/>
      <c r="IPC11" s="239"/>
      <c r="IPD11" s="239"/>
      <c r="IPE11" s="239"/>
      <c r="IPF11" s="239"/>
      <c r="IPG11" s="239"/>
      <c r="IPH11" s="239"/>
      <c r="IPI11" s="239"/>
      <c r="IPJ11" s="239"/>
      <c r="IPK11" s="239"/>
      <c r="IPL11" s="239"/>
      <c r="IPM11" s="239"/>
      <c r="IPN11" s="239"/>
      <c r="IPO11" s="239"/>
      <c r="IPP11" s="239"/>
      <c r="IPQ11" s="239"/>
      <c r="IPR11" s="239"/>
      <c r="IPS11" s="239"/>
      <c r="IPT11" s="239"/>
      <c r="IPU11" s="239"/>
      <c r="IPV11" s="239"/>
      <c r="IPW11" s="239"/>
      <c r="IPX11" s="239"/>
      <c r="IPY11" s="239"/>
      <c r="IPZ11" s="239"/>
      <c r="IQA11" s="239"/>
      <c r="IQB11" s="239"/>
      <c r="IQC11" s="239"/>
      <c r="IQD11" s="239"/>
      <c r="IQE11" s="239"/>
      <c r="IQF11" s="239"/>
      <c r="IQG11" s="239"/>
      <c r="IQH11" s="239"/>
      <c r="IQI11" s="239"/>
      <c r="IQJ11" s="239"/>
      <c r="IQK11" s="239"/>
      <c r="IQL11" s="239"/>
      <c r="IQM11" s="239"/>
      <c r="IQN11" s="239"/>
      <c r="IQO11" s="239"/>
      <c r="IQP11" s="239"/>
      <c r="IQQ11" s="239"/>
      <c r="IQR11" s="239"/>
      <c r="IQS11" s="239"/>
      <c r="IQT11" s="239"/>
      <c r="IQU11" s="239"/>
      <c r="IQV11" s="239"/>
      <c r="IQW11" s="239"/>
      <c r="IQX11" s="239"/>
      <c r="IQY11" s="239"/>
      <c r="IQZ11" s="239"/>
      <c r="IRA11" s="239"/>
      <c r="IRB11" s="239"/>
      <c r="IRC11" s="239"/>
      <c r="IRD11" s="239"/>
      <c r="IRE11" s="239"/>
      <c r="IRF11" s="239"/>
      <c r="IRG11" s="239"/>
      <c r="IRH11" s="239"/>
      <c r="IRI11" s="239"/>
      <c r="IRJ11" s="239"/>
      <c r="IRK11" s="239"/>
      <c r="IRL11" s="239"/>
      <c r="IRM11" s="239"/>
      <c r="IRN11" s="239"/>
      <c r="IRO11" s="239"/>
      <c r="IRP11" s="239"/>
      <c r="IRQ11" s="239"/>
      <c r="IRR11" s="239"/>
      <c r="IRS11" s="239"/>
      <c r="IRT11" s="239"/>
      <c r="IRU11" s="239"/>
      <c r="IRV11" s="239"/>
      <c r="IRW11" s="239"/>
      <c r="IRX11" s="239"/>
      <c r="IRY11" s="239"/>
      <c r="IRZ11" s="239"/>
      <c r="ISA11" s="239"/>
      <c r="ISB11" s="239"/>
      <c r="ISC11" s="239"/>
      <c r="ISD11" s="239"/>
      <c r="ISE11" s="239"/>
      <c r="ISF11" s="239"/>
      <c r="ISG11" s="239"/>
      <c r="ISH11" s="239"/>
      <c r="ISI11" s="239"/>
      <c r="ISJ11" s="239"/>
      <c r="ISK11" s="239"/>
      <c r="ISL11" s="239"/>
      <c r="ISM11" s="239"/>
      <c r="ISN11" s="239"/>
      <c r="ISO11" s="239"/>
      <c r="ISP11" s="239"/>
      <c r="ISQ11" s="239"/>
      <c r="ISR11" s="239"/>
      <c r="ISS11" s="239"/>
      <c r="IST11" s="239"/>
      <c r="ISU11" s="239"/>
      <c r="ISV11" s="239"/>
      <c r="ISW11" s="239"/>
      <c r="ISX11" s="239"/>
      <c r="ISY11" s="239"/>
      <c r="ISZ11" s="239"/>
      <c r="ITA11" s="239"/>
      <c r="ITB11" s="239"/>
      <c r="ITC11" s="239"/>
      <c r="ITD11" s="239"/>
      <c r="ITE11" s="239"/>
      <c r="ITF11" s="239"/>
      <c r="ITG11" s="239"/>
      <c r="ITH11" s="239"/>
      <c r="ITI11" s="239"/>
      <c r="ITJ11" s="239"/>
      <c r="ITK11" s="239"/>
      <c r="ITL11" s="239"/>
      <c r="ITM11" s="239"/>
      <c r="ITN11" s="239"/>
      <c r="ITO11" s="239"/>
      <c r="ITP11" s="239"/>
      <c r="ITQ11" s="239"/>
      <c r="ITR11" s="239"/>
      <c r="ITS11" s="239"/>
      <c r="ITT11" s="239"/>
      <c r="ITU11" s="239"/>
      <c r="ITV11" s="239"/>
      <c r="ITW11" s="239"/>
      <c r="ITX11" s="239"/>
      <c r="ITY11" s="239"/>
      <c r="ITZ11" s="239"/>
      <c r="IUA11" s="239"/>
      <c r="IUB11" s="239"/>
      <c r="IUC11" s="239"/>
      <c r="IUD11" s="239"/>
      <c r="IUE11" s="239"/>
      <c r="IUF11" s="239"/>
      <c r="IUG11" s="239"/>
      <c r="IUH11" s="239"/>
      <c r="IUI11" s="239"/>
      <c r="IUJ11" s="239"/>
      <c r="IUK11" s="239"/>
      <c r="IUL11" s="239"/>
      <c r="IUM11" s="239"/>
      <c r="IUN11" s="239"/>
      <c r="IUO11" s="239"/>
      <c r="IUP11" s="239"/>
      <c r="IUQ11" s="239"/>
      <c r="IUR11" s="239"/>
      <c r="IUS11" s="239"/>
      <c r="IUT11" s="239"/>
      <c r="IUU11" s="239"/>
      <c r="IUV11" s="239"/>
      <c r="IUW11" s="239"/>
      <c r="IUX11" s="239"/>
      <c r="IUY11" s="239"/>
      <c r="IUZ11" s="239"/>
      <c r="IVA11" s="239"/>
      <c r="IVB11" s="239"/>
      <c r="IVC11" s="239"/>
      <c r="IVD11" s="239"/>
      <c r="IVE11" s="239"/>
      <c r="IVF11" s="239"/>
      <c r="IVG11" s="239"/>
      <c r="IVH11" s="239"/>
      <c r="IVI11" s="239"/>
      <c r="IVJ11" s="239"/>
      <c r="IVK11" s="239"/>
      <c r="IVL11" s="239"/>
      <c r="IVM11" s="239"/>
      <c r="IVN11" s="239"/>
      <c r="IVO11" s="239"/>
      <c r="IVP11" s="239"/>
      <c r="IVQ11" s="239"/>
      <c r="IVR11" s="239"/>
      <c r="IVS11" s="239"/>
      <c r="IVT11" s="239"/>
      <c r="IVU11" s="239"/>
      <c r="IVV11" s="239"/>
      <c r="IVW11" s="239"/>
      <c r="IVX11" s="239"/>
      <c r="IVY11" s="239"/>
      <c r="IVZ11" s="239"/>
      <c r="IWA11" s="239"/>
      <c r="IWB11" s="239"/>
      <c r="IWC11" s="239"/>
      <c r="IWD11" s="239"/>
      <c r="IWE11" s="239"/>
      <c r="IWF11" s="239"/>
      <c r="IWG11" s="239"/>
      <c r="IWH11" s="239"/>
      <c r="IWI11" s="239"/>
      <c r="IWJ11" s="239"/>
      <c r="IWK11" s="239"/>
      <c r="IWL11" s="239"/>
      <c r="IWM11" s="239"/>
      <c r="IWN11" s="239"/>
      <c r="IWO11" s="239"/>
      <c r="IWP11" s="239"/>
      <c r="IWQ11" s="239"/>
      <c r="IWR11" s="239"/>
      <c r="IWS11" s="239"/>
      <c r="IWT11" s="239"/>
      <c r="IWU11" s="239"/>
      <c r="IWV11" s="239"/>
      <c r="IWW11" s="239"/>
      <c r="IWX11" s="239"/>
      <c r="IWY11" s="239"/>
      <c r="IWZ11" s="239"/>
      <c r="IXA11" s="239"/>
      <c r="IXB11" s="239"/>
      <c r="IXC11" s="239"/>
      <c r="IXD11" s="239"/>
      <c r="IXE11" s="239"/>
      <c r="IXF11" s="239"/>
      <c r="IXG11" s="239"/>
      <c r="IXH11" s="239"/>
      <c r="IXI11" s="239"/>
      <c r="IXJ11" s="239"/>
      <c r="IXK11" s="239"/>
      <c r="IXL11" s="239"/>
      <c r="IXM11" s="239"/>
      <c r="IXN11" s="239"/>
      <c r="IXO11" s="239"/>
      <c r="IXP11" s="239"/>
      <c r="IXQ11" s="239"/>
      <c r="IXR11" s="239"/>
      <c r="IXS11" s="239"/>
      <c r="IXT11" s="239"/>
      <c r="IXU11" s="239"/>
      <c r="IXV11" s="239"/>
      <c r="IXW11" s="239"/>
      <c r="IXX11" s="239"/>
      <c r="IXY11" s="239"/>
      <c r="IXZ11" s="239"/>
      <c r="IYA11" s="239"/>
      <c r="IYB11" s="239"/>
      <c r="IYC11" s="239"/>
      <c r="IYD11" s="239"/>
      <c r="IYE11" s="239"/>
      <c r="IYF11" s="239"/>
      <c r="IYG11" s="239"/>
      <c r="IYH11" s="239"/>
      <c r="IYI11" s="239"/>
      <c r="IYJ11" s="239"/>
      <c r="IYK11" s="239"/>
      <c r="IYL11" s="239"/>
      <c r="IYM11" s="239"/>
      <c r="IYN11" s="239"/>
      <c r="IYO11" s="239"/>
      <c r="IYP11" s="239"/>
      <c r="IYQ11" s="239"/>
      <c r="IYR11" s="239"/>
      <c r="IYS11" s="239"/>
      <c r="IYT11" s="239"/>
      <c r="IYU11" s="239"/>
      <c r="IYV11" s="239"/>
      <c r="IYW11" s="239"/>
      <c r="IYX11" s="239"/>
      <c r="IYY11" s="239"/>
      <c r="IYZ11" s="239"/>
      <c r="IZA11" s="239"/>
      <c r="IZB11" s="239"/>
      <c r="IZC11" s="239"/>
      <c r="IZD11" s="239"/>
      <c r="IZE11" s="239"/>
      <c r="IZF11" s="239"/>
      <c r="IZG11" s="239"/>
      <c r="IZH11" s="239"/>
      <c r="IZI11" s="239"/>
      <c r="IZJ11" s="239"/>
      <c r="IZK11" s="239"/>
      <c r="IZL11" s="239"/>
      <c r="IZM11" s="239"/>
      <c r="IZN11" s="239"/>
      <c r="IZO11" s="239"/>
      <c r="IZP11" s="239"/>
      <c r="IZQ11" s="239"/>
      <c r="IZR11" s="239"/>
      <c r="IZS11" s="239"/>
      <c r="IZT11" s="239"/>
      <c r="IZU11" s="239"/>
      <c r="IZV11" s="239"/>
      <c r="IZW11" s="239"/>
      <c r="IZX11" s="239"/>
      <c r="IZY11" s="239"/>
      <c r="IZZ11" s="239"/>
      <c r="JAA11" s="239"/>
      <c r="JAB11" s="239"/>
      <c r="JAC11" s="239"/>
      <c r="JAD11" s="239"/>
      <c r="JAE11" s="239"/>
      <c r="JAF11" s="239"/>
      <c r="JAG11" s="239"/>
      <c r="JAH11" s="239"/>
      <c r="JAI11" s="239"/>
      <c r="JAJ11" s="239"/>
      <c r="JAK11" s="239"/>
      <c r="JAL11" s="239"/>
      <c r="JAM11" s="239"/>
      <c r="JAN11" s="239"/>
      <c r="JAO11" s="239"/>
      <c r="JAP11" s="239"/>
      <c r="JAQ11" s="239"/>
      <c r="JAR11" s="239"/>
      <c r="JAS11" s="239"/>
      <c r="JAT11" s="239"/>
      <c r="JAU11" s="239"/>
      <c r="JAV11" s="239"/>
      <c r="JAW11" s="239"/>
      <c r="JAX11" s="239"/>
      <c r="JAY11" s="239"/>
      <c r="JAZ11" s="239"/>
      <c r="JBA11" s="239"/>
      <c r="JBB11" s="239"/>
      <c r="JBC11" s="239"/>
      <c r="JBD11" s="239"/>
      <c r="JBE11" s="239"/>
      <c r="JBF11" s="239"/>
      <c r="JBG11" s="239"/>
      <c r="JBH11" s="239"/>
      <c r="JBI11" s="239"/>
      <c r="JBJ11" s="239"/>
      <c r="JBK11" s="239"/>
      <c r="JBL11" s="239"/>
      <c r="JBM11" s="239"/>
      <c r="JBN11" s="239"/>
      <c r="JBO11" s="239"/>
      <c r="JBP11" s="239"/>
      <c r="JBQ11" s="239"/>
      <c r="JBR11" s="239"/>
      <c r="JBS11" s="239"/>
      <c r="JBT11" s="239"/>
      <c r="JBU11" s="239"/>
      <c r="JBV11" s="239"/>
      <c r="JBW11" s="239"/>
      <c r="JBX11" s="239"/>
      <c r="JBY11" s="239"/>
      <c r="JBZ11" s="239"/>
      <c r="JCA11" s="239"/>
      <c r="JCB11" s="239"/>
      <c r="JCC11" s="239"/>
      <c r="JCD11" s="239"/>
      <c r="JCE11" s="239"/>
      <c r="JCF11" s="239"/>
      <c r="JCG11" s="239"/>
      <c r="JCH11" s="239"/>
      <c r="JCI11" s="239"/>
      <c r="JCJ11" s="239"/>
      <c r="JCK11" s="239"/>
      <c r="JCL11" s="239"/>
      <c r="JCM11" s="239"/>
      <c r="JCN11" s="239"/>
      <c r="JCO11" s="239"/>
      <c r="JCP11" s="239"/>
      <c r="JCQ11" s="239"/>
      <c r="JCR11" s="239"/>
      <c r="JCS11" s="239"/>
      <c r="JCT11" s="239"/>
      <c r="JCU11" s="239"/>
      <c r="JCV11" s="239"/>
      <c r="JCW11" s="239"/>
      <c r="JCX11" s="239"/>
      <c r="JCY11" s="239"/>
      <c r="JCZ11" s="239"/>
      <c r="JDA11" s="239"/>
      <c r="JDB11" s="239"/>
      <c r="JDC11" s="239"/>
      <c r="JDD11" s="239"/>
      <c r="JDE11" s="239"/>
      <c r="JDF11" s="239"/>
      <c r="JDG11" s="239"/>
      <c r="JDH11" s="239"/>
      <c r="JDI11" s="239"/>
      <c r="JDJ11" s="239"/>
      <c r="JDK11" s="239"/>
      <c r="JDL11" s="239"/>
      <c r="JDM11" s="239"/>
      <c r="JDN11" s="239"/>
      <c r="JDO11" s="239"/>
      <c r="JDP11" s="239"/>
      <c r="JDQ11" s="239"/>
      <c r="JDR11" s="239"/>
      <c r="JDS11" s="239"/>
      <c r="JDT11" s="239"/>
      <c r="JDU11" s="239"/>
      <c r="JDV11" s="239"/>
      <c r="JDW11" s="239"/>
      <c r="JDX11" s="239"/>
      <c r="JDY11" s="239"/>
      <c r="JDZ11" s="239"/>
      <c r="JEA11" s="239"/>
      <c r="JEB11" s="239"/>
      <c r="JEC11" s="239"/>
      <c r="JED11" s="239"/>
      <c r="JEE11" s="239"/>
      <c r="JEF11" s="239"/>
      <c r="JEG11" s="239"/>
      <c r="JEH11" s="239"/>
      <c r="JEI11" s="239"/>
      <c r="JEJ11" s="239"/>
      <c r="JEK11" s="239"/>
      <c r="JEL11" s="239"/>
      <c r="JEM11" s="239"/>
      <c r="JEN11" s="239"/>
      <c r="JEO11" s="239"/>
      <c r="JEP11" s="239"/>
      <c r="JEQ11" s="239"/>
      <c r="JER11" s="239"/>
      <c r="JES11" s="239"/>
      <c r="JET11" s="239"/>
      <c r="JEU11" s="239"/>
      <c r="JEV11" s="239"/>
      <c r="JEW11" s="239"/>
      <c r="JEX11" s="239"/>
      <c r="JEY11" s="239"/>
      <c r="JEZ11" s="239"/>
      <c r="JFA11" s="239"/>
      <c r="JFB11" s="239"/>
      <c r="JFC11" s="239"/>
      <c r="JFD11" s="239"/>
      <c r="JFE11" s="239"/>
      <c r="JFF11" s="239"/>
      <c r="JFG11" s="239"/>
      <c r="JFH11" s="239"/>
      <c r="JFI11" s="239"/>
      <c r="JFJ11" s="239"/>
      <c r="JFK11" s="239"/>
      <c r="JFL11" s="239"/>
      <c r="JFM11" s="239"/>
      <c r="JFN11" s="239"/>
      <c r="JFO11" s="239"/>
      <c r="JFP11" s="239"/>
      <c r="JFQ11" s="239"/>
      <c r="JFR11" s="239"/>
      <c r="JFS11" s="239"/>
      <c r="JFT11" s="239"/>
      <c r="JFU11" s="239"/>
      <c r="JFV11" s="239"/>
      <c r="JFW11" s="239"/>
      <c r="JFX11" s="239"/>
      <c r="JFY11" s="239"/>
      <c r="JFZ11" s="239"/>
      <c r="JGA11" s="239"/>
      <c r="JGB11" s="239"/>
      <c r="JGC11" s="239"/>
      <c r="JGD11" s="239"/>
      <c r="JGE11" s="239"/>
      <c r="JGF11" s="239"/>
      <c r="JGG11" s="239"/>
      <c r="JGH11" s="239"/>
      <c r="JGI11" s="239"/>
      <c r="JGJ11" s="239"/>
      <c r="JGK11" s="239"/>
      <c r="JGL11" s="239"/>
      <c r="JGM11" s="239"/>
      <c r="JGN11" s="239"/>
      <c r="JGO11" s="239"/>
      <c r="JGP11" s="239"/>
      <c r="JGQ11" s="239"/>
      <c r="JGR11" s="239"/>
      <c r="JGS11" s="239"/>
      <c r="JGT11" s="239"/>
      <c r="JGU11" s="239"/>
      <c r="JGV11" s="239"/>
      <c r="JGW11" s="239"/>
      <c r="JGX11" s="239"/>
      <c r="JGY11" s="239"/>
      <c r="JGZ11" s="239"/>
      <c r="JHA11" s="239"/>
      <c r="JHB11" s="239"/>
      <c r="JHC11" s="239"/>
      <c r="JHD11" s="239"/>
      <c r="JHE11" s="239"/>
      <c r="JHF11" s="239"/>
      <c r="JHG11" s="239"/>
      <c r="JHH11" s="239"/>
      <c r="JHI11" s="239"/>
      <c r="JHJ11" s="239"/>
      <c r="JHK11" s="239"/>
      <c r="JHL11" s="239"/>
      <c r="JHM11" s="239"/>
      <c r="JHN11" s="239"/>
      <c r="JHO11" s="239"/>
      <c r="JHP11" s="239"/>
      <c r="JHQ11" s="239"/>
      <c r="JHR11" s="239"/>
      <c r="JHS11" s="239"/>
      <c r="JHT11" s="239"/>
      <c r="JHU11" s="239"/>
      <c r="JHV11" s="239"/>
      <c r="JHW11" s="239"/>
      <c r="JHX11" s="239"/>
      <c r="JHY11" s="239"/>
      <c r="JHZ11" s="239"/>
      <c r="JIA11" s="239"/>
      <c r="JIB11" s="239"/>
      <c r="JIC11" s="239"/>
      <c r="JID11" s="239"/>
      <c r="JIE11" s="239"/>
      <c r="JIF11" s="239"/>
      <c r="JIG11" s="239"/>
      <c r="JIH11" s="239"/>
      <c r="JII11" s="239"/>
      <c r="JIJ11" s="239"/>
      <c r="JIK11" s="239"/>
      <c r="JIL11" s="239"/>
      <c r="JIM11" s="239"/>
      <c r="JIN11" s="239"/>
      <c r="JIO11" s="239"/>
      <c r="JIP11" s="239"/>
      <c r="JIQ11" s="239"/>
      <c r="JIR11" s="239"/>
      <c r="JIS11" s="239"/>
      <c r="JIT11" s="239"/>
      <c r="JIU11" s="239"/>
      <c r="JIV11" s="239"/>
      <c r="JIW11" s="239"/>
      <c r="JIX11" s="239"/>
      <c r="JIY11" s="239"/>
      <c r="JIZ11" s="239"/>
      <c r="JJA11" s="239"/>
      <c r="JJB11" s="239"/>
      <c r="JJC11" s="239"/>
      <c r="JJD11" s="239"/>
      <c r="JJE11" s="239"/>
      <c r="JJF11" s="239"/>
      <c r="JJG11" s="239"/>
      <c r="JJH11" s="239"/>
      <c r="JJI11" s="239"/>
      <c r="JJJ11" s="239"/>
      <c r="JJK11" s="239"/>
      <c r="JJL11" s="239"/>
      <c r="JJM11" s="239"/>
      <c r="JJN11" s="239"/>
      <c r="JJO11" s="239"/>
      <c r="JJP11" s="239"/>
      <c r="JJQ11" s="239"/>
      <c r="JJR11" s="239"/>
      <c r="JJS11" s="239"/>
      <c r="JJT11" s="239"/>
      <c r="JJU11" s="239"/>
      <c r="JJV11" s="239"/>
      <c r="JJW11" s="239"/>
      <c r="JJX11" s="239"/>
      <c r="JJY11" s="239"/>
      <c r="JJZ11" s="239"/>
      <c r="JKA11" s="239"/>
      <c r="JKB11" s="239"/>
      <c r="JKC11" s="239"/>
      <c r="JKD11" s="239"/>
      <c r="JKE11" s="239"/>
      <c r="JKF11" s="239"/>
      <c r="JKG11" s="239"/>
      <c r="JKH11" s="239"/>
      <c r="JKI11" s="239"/>
      <c r="JKJ11" s="239"/>
      <c r="JKK11" s="239"/>
      <c r="JKL11" s="239"/>
      <c r="JKM11" s="239"/>
      <c r="JKN11" s="239"/>
      <c r="JKO11" s="239"/>
      <c r="JKP11" s="239"/>
      <c r="JKQ11" s="239"/>
      <c r="JKR11" s="239"/>
      <c r="JKS11" s="239"/>
      <c r="JKT11" s="239"/>
      <c r="JKU11" s="239"/>
      <c r="JKV11" s="239"/>
      <c r="JKW11" s="239"/>
      <c r="JKX11" s="239"/>
      <c r="JKY11" s="239"/>
      <c r="JKZ11" s="239"/>
      <c r="JLA11" s="239"/>
      <c r="JLB11" s="239"/>
      <c r="JLC11" s="239"/>
      <c r="JLD11" s="239"/>
      <c r="JLE11" s="239"/>
      <c r="JLF11" s="239"/>
      <c r="JLG11" s="239"/>
      <c r="JLH11" s="239"/>
      <c r="JLI11" s="239"/>
      <c r="JLJ11" s="239"/>
      <c r="JLK11" s="239"/>
      <c r="JLL11" s="239"/>
      <c r="JLM11" s="239"/>
      <c r="JLN11" s="239"/>
      <c r="JLO11" s="239"/>
      <c r="JLP11" s="239"/>
      <c r="JLQ11" s="239"/>
      <c r="JLR11" s="239"/>
      <c r="JLS11" s="239"/>
      <c r="JLT11" s="239"/>
      <c r="JLU11" s="239"/>
      <c r="JLV11" s="239"/>
      <c r="JLW11" s="239"/>
      <c r="JLX11" s="239"/>
      <c r="JLY11" s="239"/>
      <c r="JLZ11" s="239"/>
      <c r="JMA11" s="239"/>
      <c r="JMB11" s="239"/>
      <c r="JMC11" s="239"/>
      <c r="JMD11" s="239"/>
      <c r="JME11" s="239"/>
      <c r="JMF11" s="239"/>
      <c r="JMG11" s="239"/>
      <c r="JMH11" s="239"/>
      <c r="JMI11" s="239"/>
      <c r="JMJ11" s="239"/>
      <c r="JMK11" s="239"/>
      <c r="JML11" s="239"/>
      <c r="JMM11" s="239"/>
      <c r="JMN11" s="239"/>
      <c r="JMO11" s="239"/>
      <c r="JMP11" s="239"/>
      <c r="JMQ11" s="239"/>
      <c r="JMR11" s="239"/>
      <c r="JMS11" s="239"/>
      <c r="JMT11" s="239"/>
      <c r="JMU11" s="239"/>
      <c r="JMV11" s="239"/>
      <c r="JMW11" s="239"/>
      <c r="JMX11" s="239"/>
      <c r="JMY11" s="239"/>
      <c r="JMZ11" s="239"/>
      <c r="JNA11" s="239"/>
      <c r="JNB11" s="239"/>
      <c r="JNC11" s="239"/>
      <c r="JND11" s="239"/>
      <c r="JNE11" s="239"/>
      <c r="JNF11" s="239"/>
      <c r="JNG11" s="239"/>
      <c r="JNH11" s="239"/>
      <c r="JNI11" s="239"/>
      <c r="JNJ11" s="239"/>
      <c r="JNK11" s="239"/>
      <c r="JNL11" s="239"/>
      <c r="JNM11" s="239"/>
      <c r="JNN11" s="239"/>
      <c r="JNO11" s="239"/>
      <c r="JNP11" s="239"/>
      <c r="JNQ11" s="239"/>
      <c r="JNR11" s="239"/>
      <c r="JNS11" s="239"/>
      <c r="JNT11" s="239"/>
      <c r="JNU11" s="239"/>
      <c r="JNV11" s="239"/>
      <c r="JNW11" s="239"/>
      <c r="JNX11" s="239"/>
      <c r="JNY11" s="239"/>
      <c r="JNZ11" s="239"/>
      <c r="JOA11" s="239"/>
      <c r="JOB11" s="239"/>
      <c r="JOC11" s="239"/>
      <c r="JOD11" s="239"/>
      <c r="JOE11" s="239"/>
      <c r="JOF11" s="239"/>
      <c r="JOG11" s="239"/>
      <c r="JOH11" s="239"/>
      <c r="JOI11" s="239"/>
      <c r="JOJ11" s="239"/>
      <c r="JOK11" s="239"/>
      <c r="JOL11" s="239"/>
      <c r="JOM11" s="239"/>
      <c r="JON11" s="239"/>
      <c r="JOO11" s="239"/>
      <c r="JOP11" s="239"/>
      <c r="JOQ11" s="239"/>
      <c r="JOR11" s="239"/>
      <c r="JOS11" s="239"/>
      <c r="JOT11" s="239"/>
      <c r="JOU11" s="239"/>
      <c r="JOV11" s="239"/>
      <c r="JOW11" s="239"/>
      <c r="JOX11" s="239"/>
      <c r="JOY11" s="239"/>
      <c r="JOZ11" s="239"/>
      <c r="JPA11" s="239"/>
      <c r="JPB11" s="239"/>
      <c r="JPC11" s="239"/>
      <c r="JPD11" s="239"/>
      <c r="JPE11" s="239"/>
      <c r="JPF11" s="239"/>
      <c r="JPG11" s="239"/>
      <c r="JPH11" s="239"/>
      <c r="JPI11" s="239"/>
      <c r="JPJ11" s="239"/>
      <c r="JPK11" s="239"/>
      <c r="JPL11" s="239"/>
      <c r="JPM11" s="239"/>
      <c r="JPN11" s="239"/>
      <c r="JPO11" s="239"/>
      <c r="JPP11" s="239"/>
      <c r="JPQ11" s="239"/>
      <c r="JPR11" s="239"/>
      <c r="JPS11" s="239"/>
      <c r="JPT11" s="239"/>
      <c r="JPU11" s="239"/>
      <c r="JPV11" s="239"/>
      <c r="JPW11" s="239"/>
      <c r="JPX11" s="239"/>
      <c r="JPY11" s="239"/>
      <c r="JPZ11" s="239"/>
      <c r="JQA11" s="239"/>
      <c r="JQB11" s="239"/>
      <c r="JQC11" s="239"/>
      <c r="JQD11" s="239"/>
      <c r="JQE11" s="239"/>
      <c r="JQF11" s="239"/>
      <c r="JQG11" s="239"/>
      <c r="JQH11" s="239"/>
      <c r="JQI11" s="239"/>
      <c r="JQJ11" s="239"/>
      <c r="JQK11" s="239"/>
      <c r="JQL11" s="239"/>
      <c r="JQM11" s="239"/>
      <c r="JQN11" s="239"/>
      <c r="JQO11" s="239"/>
      <c r="JQP11" s="239"/>
      <c r="JQQ11" s="239"/>
      <c r="JQR11" s="239"/>
      <c r="JQS11" s="239"/>
      <c r="JQT11" s="239"/>
      <c r="JQU11" s="239"/>
      <c r="JQV11" s="239"/>
      <c r="JQW11" s="239"/>
      <c r="JQX11" s="239"/>
      <c r="JQY11" s="239"/>
      <c r="JQZ11" s="239"/>
      <c r="JRA11" s="239"/>
      <c r="JRB11" s="239"/>
      <c r="JRC11" s="239"/>
      <c r="JRD11" s="239"/>
      <c r="JRE11" s="239"/>
      <c r="JRF11" s="239"/>
      <c r="JRG11" s="239"/>
      <c r="JRH11" s="239"/>
      <c r="JRI11" s="239"/>
      <c r="JRJ11" s="239"/>
      <c r="JRK11" s="239"/>
      <c r="JRL11" s="239"/>
      <c r="JRM11" s="239"/>
      <c r="JRN11" s="239"/>
      <c r="JRO11" s="239"/>
      <c r="JRP11" s="239"/>
      <c r="JRQ11" s="239"/>
      <c r="JRR11" s="239"/>
      <c r="JRS11" s="239"/>
      <c r="JRT11" s="239"/>
      <c r="JRU11" s="239"/>
      <c r="JRV11" s="239"/>
      <c r="JRW11" s="239"/>
      <c r="JRX11" s="239"/>
      <c r="JRY11" s="239"/>
      <c r="JRZ11" s="239"/>
      <c r="JSA11" s="239"/>
      <c r="JSB11" s="239"/>
      <c r="JSC11" s="239"/>
      <c r="JSD11" s="239"/>
      <c r="JSE11" s="239"/>
      <c r="JSF11" s="239"/>
      <c r="JSG11" s="239"/>
      <c r="JSH11" s="239"/>
      <c r="JSI11" s="239"/>
      <c r="JSJ11" s="239"/>
      <c r="JSK11" s="239"/>
      <c r="JSL11" s="239"/>
      <c r="JSM11" s="239"/>
      <c r="JSN11" s="239"/>
      <c r="JSO11" s="239"/>
      <c r="JSP11" s="239"/>
      <c r="JSQ11" s="239"/>
      <c r="JSR11" s="239"/>
      <c r="JSS11" s="239"/>
      <c r="JST11" s="239"/>
      <c r="JSU11" s="239"/>
      <c r="JSV11" s="239"/>
      <c r="JSW11" s="239"/>
      <c r="JSX11" s="239"/>
      <c r="JSY11" s="239"/>
      <c r="JSZ11" s="239"/>
      <c r="JTA11" s="239"/>
      <c r="JTB11" s="239"/>
      <c r="JTC11" s="239"/>
      <c r="JTD11" s="239"/>
      <c r="JTE11" s="239"/>
      <c r="JTF11" s="239"/>
      <c r="JTG11" s="239"/>
      <c r="JTH11" s="239"/>
      <c r="JTI11" s="239"/>
      <c r="JTJ11" s="239"/>
      <c r="JTK11" s="239"/>
      <c r="JTL11" s="239"/>
      <c r="JTM11" s="239"/>
      <c r="JTN11" s="239"/>
      <c r="JTO11" s="239"/>
      <c r="JTP11" s="239"/>
      <c r="JTQ11" s="239"/>
      <c r="JTR11" s="239"/>
      <c r="JTS11" s="239"/>
      <c r="JTT11" s="239"/>
      <c r="JTU11" s="239"/>
      <c r="JTV11" s="239"/>
      <c r="JTW11" s="239"/>
      <c r="JTX11" s="239"/>
      <c r="JTY11" s="239"/>
      <c r="JTZ11" s="239"/>
      <c r="JUA11" s="239"/>
      <c r="JUB11" s="239"/>
      <c r="JUC11" s="239"/>
      <c r="JUD11" s="239"/>
      <c r="JUE11" s="239"/>
      <c r="JUF11" s="239"/>
      <c r="JUG11" s="239"/>
      <c r="JUH11" s="239"/>
      <c r="JUI11" s="239"/>
      <c r="JUJ11" s="239"/>
      <c r="JUK11" s="239"/>
      <c r="JUL11" s="239"/>
      <c r="JUM11" s="239"/>
      <c r="JUN11" s="239"/>
      <c r="JUO11" s="239"/>
      <c r="JUP11" s="239"/>
      <c r="JUQ11" s="239"/>
      <c r="JUR11" s="239"/>
      <c r="JUS11" s="239"/>
      <c r="JUT11" s="239"/>
      <c r="JUU11" s="239"/>
      <c r="JUV11" s="239"/>
      <c r="JUW11" s="239"/>
      <c r="JUX11" s="239"/>
      <c r="JUY11" s="239"/>
      <c r="JUZ11" s="239"/>
      <c r="JVA11" s="239"/>
      <c r="JVB11" s="239"/>
      <c r="JVC11" s="239"/>
      <c r="JVD11" s="239"/>
      <c r="JVE11" s="239"/>
      <c r="JVF11" s="239"/>
      <c r="JVG11" s="239"/>
      <c r="JVH11" s="239"/>
      <c r="JVI11" s="239"/>
      <c r="JVJ11" s="239"/>
      <c r="JVK11" s="239"/>
      <c r="JVL11" s="239"/>
      <c r="JVM11" s="239"/>
      <c r="JVN11" s="239"/>
      <c r="JVO11" s="239"/>
      <c r="JVP11" s="239"/>
      <c r="JVQ11" s="239"/>
      <c r="JVR11" s="239"/>
      <c r="JVS11" s="239"/>
      <c r="JVT11" s="239"/>
      <c r="JVU11" s="239"/>
      <c r="JVV11" s="239"/>
      <c r="JVW11" s="239"/>
      <c r="JVX11" s="239"/>
      <c r="JVY11" s="239"/>
      <c r="JVZ11" s="239"/>
      <c r="JWA11" s="239"/>
      <c r="JWB11" s="239"/>
      <c r="JWC11" s="239"/>
      <c r="JWD11" s="239"/>
      <c r="JWE11" s="239"/>
      <c r="JWF11" s="239"/>
      <c r="JWG11" s="239"/>
      <c r="JWH11" s="239"/>
      <c r="JWI11" s="239"/>
      <c r="JWJ11" s="239"/>
      <c r="JWK11" s="239"/>
      <c r="JWL11" s="239"/>
      <c r="JWM11" s="239"/>
      <c r="JWN11" s="239"/>
      <c r="JWO11" s="239"/>
      <c r="JWP11" s="239"/>
      <c r="JWQ11" s="239"/>
      <c r="JWR11" s="239"/>
      <c r="JWS11" s="239"/>
      <c r="JWT11" s="239"/>
      <c r="JWU11" s="239"/>
      <c r="JWV11" s="239"/>
      <c r="JWW11" s="239"/>
      <c r="JWX11" s="239"/>
      <c r="JWY11" s="239"/>
      <c r="JWZ11" s="239"/>
      <c r="JXA11" s="239"/>
      <c r="JXB11" s="239"/>
      <c r="JXC11" s="239"/>
      <c r="JXD11" s="239"/>
      <c r="JXE11" s="239"/>
      <c r="JXF11" s="239"/>
      <c r="JXG11" s="239"/>
      <c r="JXH11" s="239"/>
      <c r="JXI11" s="239"/>
      <c r="JXJ11" s="239"/>
      <c r="JXK11" s="239"/>
      <c r="JXL11" s="239"/>
      <c r="JXM11" s="239"/>
      <c r="JXN11" s="239"/>
      <c r="JXO11" s="239"/>
      <c r="JXP11" s="239"/>
      <c r="JXQ11" s="239"/>
      <c r="JXR11" s="239"/>
      <c r="JXS11" s="239"/>
      <c r="JXT11" s="239"/>
      <c r="JXU11" s="239"/>
      <c r="JXV11" s="239"/>
      <c r="JXW11" s="239"/>
      <c r="JXX11" s="239"/>
      <c r="JXY11" s="239"/>
      <c r="JXZ11" s="239"/>
      <c r="JYA11" s="239"/>
      <c r="JYB11" s="239"/>
      <c r="JYC11" s="239"/>
      <c r="JYD11" s="239"/>
      <c r="JYE11" s="239"/>
      <c r="JYF11" s="239"/>
      <c r="JYG11" s="239"/>
      <c r="JYH11" s="239"/>
      <c r="JYI11" s="239"/>
      <c r="JYJ11" s="239"/>
      <c r="JYK11" s="239"/>
      <c r="JYL11" s="239"/>
      <c r="JYM11" s="239"/>
      <c r="JYN11" s="239"/>
      <c r="JYO11" s="239"/>
      <c r="JYP11" s="239"/>
      <c r="JYQ11" s="239"/>
      <c r="JYR11" s="239"/>
      <c r="JYS11" s="239"/>
      <c r="JYT11" s="239"/>
      <c r="JYU11" s="239"/>
      <c r="JYV11" s="239"/>
      <c r="JYW11" s="239"/>
      <c r="JYX11" s="239"/>
      <c r="JYY11" s="239"/>
      <c r="JYZ11" s="239"/>
      <c r="JZA11" s="239"/>
      <c r="JZB11" s="239"/>
      <c r="JZC11" s="239"/>
      <c r="JZD11" s="239"/>
      <c r="JZE11" s="239"/>
      <c r="JZF11" s="239"/>
      <c r="JZG11" s="239"/>
      <c r="JZH11" s="239"/>
      <c r="JZI11" s="239"/>
      <c r="JZJ11" s="239"/>
      <c r="JZK11" s="239"/>
      <c r="JZL11" s="239"/>
      <c r="JZM11" s="239"/>
      <c r="JZN11" s="239"/>
      <c r="JZO11" s="239"/>
      <c r="JZP11" s="239"/>
      <c r="JZQ11" s="239"/>
      <c r="JZR11" s="239"/>
      <c r="JZS11" s="239"/>
      <c r="JZT11" s="239"/>
      <c r="JZU11" s="239"/>
      <c r="JZV11" s="239"/>
      <c r="JZW11" s="239"/>
      <c r="JZX11" s="239"/>
      <c r="JZY11" s="239"/>
      <c r="JZZ11" s="239"/>
      <c r="KAA11" s="239"/>
      <c r="KAB11" s="239"/>
      <c r="KAC11" s="239"/>
      <c r="KAD11" s="239"/>
      <c r="KAE11" s="239"/>
      <c r="KAF11" s="239"/>
      <c r="KAG11" s="239"/>
      <c r="KAH11" s="239"/>
      <c r="KAI11" s="239"/>
      <c r="KAJ11" s="239"/>
      <c r="KAK11" s="239"/>
      <c r="KAL11" s="239"/>
      <c r="KAM11" s="239"/>
      <c r="KAN11" s="239"/>
      <c r="KAO11" s="239"/>
      <c r="KAP11" s="239"/>
      <c r="KAQ11" s="239"/>
      <c r="KAR11" s="239"/>
      <c r="KAS11" s="239"/>
      <c r="KAT11" s="239"/>
      <c r="KAU11" s="239"/>
      <c r="KAV11" s="239"/>
      <c r="KAW11" s="239"/>
      <c r="KAX11" s="239"/>
      <c r="KAY11" s="239"/>
      <c r="KAZ11" s="239"/>
      <c r="KBA11" s="239"/>
      <c r="KBB11" s="239"/>
      <c r="KBC11" s="239"/>
      <c r="KBD11" s="239"/>
      <c r="KBE11" s="239"/>
      <c r="KBF11" s="239"/>
      <c r="KBG11" s="239"/>
      <c r="KBH11" s="239"/>
      <c r="KBI11" s="239"/>
      <c r="KBJ11" s="239"/>
      <c r="KBK11" s="239"/>
      <c r="KBL11" s="239"/>
      <c r="KBM11" s="239"/>
      <c r="KBN11" s="239"/>
      <c r="KBO11" s="239"/>
      <c r="KBP11" s="239"/>
      <c r="KBQ11" s="239"/>
      <c r="KBR11" s="239"/>
      <c r="KBS11" s="239"/>
      <c r="KBT11" s="239"/>
      <c r="KBU11" s="239"/>
      <c r="KBV11" s="239"/>
      <c r="KBW11" s="239"/>
      <c r="KBX11" s="239"/>
      <c r="KBY11" s="239"/>
      <c r="KBZ11" s="239"/>
      <c r="KCA11" s="239"/>
      <c r="KCB11" s="239"/>
      <c r="KCC11" s="239"/>
      <c r="KCD11" s="239"/>
      <c r="KCE11" s="239"/>
      <c r="KCF11" s="239"/>
      <c r="KCG11" s="239"/>
      <c r="KCH11" s="239"/>
      <c r="KCI11" s="239"/>
      <c r="KCJ11" s="239"/>
      <c r="KCK11" s="239"/>
      <c r="KCL11" s="239"/>
      <c r="KCM11" s="239"/>
      <c r="KCN11" s="239"/>
      <c r="KCO11" s="239"/>
      <c r="KCP11" s="239"/>
      <c r="KCQ11" s="239"/>
      <c r="KCR11" s="239"/>
      <c r="KCS11" s="239"/>
      <c r="KCT11" s="239"/>
      <c r="KCU11" s="239"/>
      <c r="KCV11" s="239"/>
      <c r="KCW11" s="239"/>
      <c r="KCX11" s="239"/>
      <c r="KCY11" s="239"/>
      <c r="KCZ11" s="239"/>
      <c r="KDA11" s="239"/>
      <c r="KDB11" s="239"/>
      <c r="KDC11" s="239"/>
      <c r="KDD11" s="239"/>
      <c r="KDE11" s="239"/>
      <c r="KDF11" s="239"/>
      <c r="KDG11" s="239"/>
      <c r="KDH11" s="239"/>
      <c r="KDI11" s="239"/>
      <c r="KDJ11" s="239"/>
      <c r="KDK11" s="239"/>
      <c r="KDL11" s="239"/>
      <c r="KDM11" s="239"/>
      <c r="KDN11" s="239"/>
      <c r="KDO11" s="239"/>
      <c r="KDP11" s="239"/>
      <c r="KDQ11" s="239"/>
      <c r="KDR11" s="239"/>
      <c r="KDS11" s="239"/>
      <c r="KDT11" s="239"/>
      <c r="KDU11" s="239"/>
      <c r="KDV11" s="239"/>
      <c r="KDW11" s="239"/>
      <c r="KDX11" s="239"/>
      <c r="KDY11" s="239"/>
      <c r="KDZ11" s="239"/>
      <c r="KEA11" s="239"/>
      <c r="KEB11" s="239"/>
      <c r="KEC11" s="239"/>
      <c r="KED11" s="239"/>
      <c r="KEE11" s="239"/>
      <c r="KEF11" s="239"/>
      <c r="KEG11" s="239"/>
      <c r="KEH11" s="239"/>
      <c r="KEI11" s="239"/>
      <c r="KEJ11" s="239"/>
      <c r="KEK11" s="239"/>
      <c r="KEL11" s="239"/>
      <c r="KEM11" s="239"/>
      <c r="KEN11" s="239"/>
      <c r="KEO11" s="239"/>
      <c r="KEP11" s="239"/>
      <c r="KEQ11" s="239"/>
      <c r="KER11" s="239"/>
      <c r="KES11" s="239"/>
      <c r="KET11" s="239"/>
      <c r="KEU11" s="239"/>
      <c r="KEV11" s="239"/>
      <c r="KEW11" s="239"/>
      <c r="KEX11" s="239"/>
      <c r="KEY11" s="239"/>
      <c r="KEZ11" s="239"/>
      <c r="KFA11" s="239"/>
      <c r="KFB11" s="239"/>
      <c r="KFC11" s="239"/>
      <c r="KFD11" s="239"/>
      <c r="KFE11" s="239"/>
      <c r="KFF11" s="239"/>
      <c r="KFG11" s="239"/>
      <c r="KFH11" s="239"/>
      <c r="KFI11" s="239"/>
      <c r="KFJ11" s="239"/>
      <c r="KFK11" s="239"/>
      <c r="KFL11" s="239"/>
      <c r="KFM11" s="239"/>
      <c r="KFN11" s="239"/>
      <c r="KFO11" s="239"/>
      <c r="KFP11" s="239"/>
      <c r="KFQ11" s="239"/>
      <c r="KFR11" s="239"/>
      <c r="KFS11" s="239"/>
      <c r="KFT11" s="239"/>
      <c r="KFU11" s="239"/>
      <c r="KFV11" s="239"/>
      <c r="KFW11" s="239"/>
      <c r="KFX11" s="239"/>
      <c r="KFY11" s="239"/>
      <c r="KFZ11" s="239"/>
      <c r="KGA11" s="239"/>
      <c r="KGB11" s="239"/>
      <c r="KGC11" s="239"/>
      <c r="KGD11" s="239"/>
      <c r="KGE11" s="239"/>
      <c r="KGF11" s="239"/>
      <c r="KGG11" s="239"/>
      <c r="KGH11" s="239"/>
      <c r="KGI11" s="239"/>
      <c r="KGJ11" s="239"/>
      <c r="KGK11" s="239"/>
      <c r="KGL11" s="239"/>
      <c r="KGM11" s="239"/>
      <c r="KGN11" s="239"/>
      <c r="KGO11" s="239"/>
      <c r="KGP11" s="239"/>
      <c r="KGQ11" s="239"/>
      <c r="KGR11" s="239"/>
      <c r="KGS11" s="239"/>
      <c r="KGT11" s="239"/>
      <c r="KGU11" s="239"/>
      <c r="KGV11" s="239"/>
      <c r="KGW11" s="239"/>
      <c r="KGX11" s="239"/>
      <c r="KGY11" s="239"/>
      <c r="KGZ11" s="239"/>
      <c r="KHA11" s="239"/>
      <c r="KHB11" s="239"/>
      <c r="KHC11" s="239"/>
      <c r="KHD11" s="239"/>
      <c r="KHE11" s="239"/>
      <c r="KHF11" s="239"/>
      <c r="KHG11" s="239"/>
      <c r="KHH11" s="239"/>
      <c r="KHI11" s="239"/>
      <c r="KHJ11" s="239"/>
      <c r="KHK11" s="239"/>
      <c r="KHL11" s="239"/>
      <c r="KHM11" s="239"/>
      <c r="KHN11" s="239"/>
      <c r="KHO11" s="239"/>
      <c r="KHP11" s="239"/>
      <c r="KHQ11" s="239"/>
      <c r="KHR11" s="239"/>
      <c r="KHS11" s="239"/>
      <c r="KHT11" s="239"/>
      <c r="KHU11" s="239"/>
      <c r="KHV11" s="239"/>
      <c r="KHW11" s="239"/>
      <c r="KHX11" s="239"/>
      <c r="KHY11" s="239"/>
      <c r="KHZ11" s="239"/>
      <c r="KIA11" s="239"/>
      <c r="KIB11" s="239"/>
      <c r="KIC11" s="239"/>
      <c r="KID11" s="239"/>
      <c r="KIE11" s="239"/>
      <c r="KIF11" s="239"/>
      <c r="KIG11" s="239"/>
      <c r="KIH11" s="239"/>
      <c r="KII11" s="239"/>
      <c r="KIJ11" s="239"/>
      <c r="KIK11" s="239"/>
      <c r="KIL11" s="239"/>
      <c r="KIM11" s="239"/>
      <c r="KIN11" s="239"/>
      <c r="KIO11" s="239"/>
      <c r="KIP11" s="239"/>
      <c r="KIQ11" s="239"/>
      <c r="KIR11" s="239"/>
      <c r="KIS11" s="239"/>
      <c r="KIT11" s="239"/>
      <c r="KIU11" s="239"/>
      <c r="KIV11" s="239"/>
      <c r="KIW11" s="239"/>
      <c r="KIX11" s="239"/>
      <c r="KIY11" s="239"/>
      <c r="KIZ11" s="239"/>
      <c r="KJA11" s="239"/>
      <c r="KJB11" s="239"/>
      <c r="KJC11" s="239"/>
      <c r="KJD11" s="239"/>
      <c r="KJE11" s="239"/>
      <c r="KJF11" s="239"/>
      <c r="KJG11" s="239"/>
      <c r="KJH11" s="239"/>
      <c r="KJI11" s="239"/>
      <c r="KJJ11" s="239"/>
      <c r="KJK11" s="239"/>
      <c r="KJL11" s="239"/>
      <c r="KJM11" s="239"/>
      <c r="KJN11" s="239"/>
      <c r="KJO11" s="239"/>
      <c r="KJP11" s="239"/>
      <c r="KJQ11" s="239"/>
      <c r="KJR11" s="239"/>
      <c r="KJS11" s="239"/>
      <c r="KJT11" s="239"/>
      <c r="KJU11" s="239"/>
      <c r="KJV11" s="239"/>
      <c r="KJW11" s="239"/>
      <c r="KJX11" s="239"/>
      <c r="KJY11" s="239"/>
      <c r="KJZ11" s="239"/>
      <c r="KKA11" s="239"/>
      <c r="KKB11" s="239"/>
      <c r="KKC11" s="239"/>
      <c r="KKD11" s="239"/>
      <c r="KKE11" s="239"/>
      <c r="KKF11" s="239"/>
      <c r="KKG11" s="239"/>
      <c r="KKH11" s="239"/>
      <c r="KKI11" s="239"/>
      <c r="KKJ11" s="239"/>
      <c r="KKK11" s="239"/>
      <c r="KKL11" s="239"/>
      <c r="KKM11" s="239"/>
      <c r="KKN11" s="239"/>
      <c r="KKO11" s="239"/>
      <c r="KKP11" s="239"/>
      <c r="KKQ11" s="239"/>
      <c r="KKR11" s="239"/>
      <c r="KKS11" s="239"/>
      <c r="KKT11" s="239"/>
      <c r="KKU11" s="239"/>
      <c r="KKV11" s="239"/>
      <c r="KKW11" s="239"/>
      <c r="KKX11" s="239"/>
      <c r="KKY11" s="239"/>
      <c r="KKZ11" s="239"/>
      <c r="KLA11" s="239"/>
      <c r="KLB11" s="239"/>
      <c r="KLC11" s="239"/>
      <c r="KLD11" s="239"/>
      <c r="KLE11" s="239"/>
      <c r="KLF11" s="239"/>
      <c r="KLG11" s="239"/>
      <c r="KLH11" s="239"/>
      <c r="KLI11" s="239"/>
      <c r="KLJ11" s="239"/>
      <c r="KLK11" s="239"/>
      <c r="KLL11" s="239"/>
      <c r="KLM11" s="239"/>
      <c r="KLN11" s="239"/>
      <c r="KLO11" s="239"/>
      <c r="KLP11" s="239"/>
      <c r="KLQ11" s="239"/>
      <c r="KLR11" s="239"/>
      <c r="KLS11" s="239"/>
      <c r="KLT11" s="239"/>
      <c r="KLU11" s="239"/>
      <c r="KLV11" s="239"/>
      <c r="KLW11" s="239"/>
      <c r="KLX11" s="239"/>
      <c r="KLY11" s="239"/>
      <c r="KLZ11" s="239"/>
      <c r="KMA11" s="239"/>
      <c r="KMB11" s="239"/>
      <c r="KMC11" s="239"/>
      <c r="KMD11" s="239"/>
      <c r="KME11" s="239"/>
      <c r="KMF11" s="239"/>
      <c r="KMG11" s="239"/>
      <c r="KMH11" s="239"/>
      <c r="KMI11" s="239"/>
      <c r="KMJ11" s="239"/>
      <c r="KMK11" s="239"/>
      <c r="KML11" s="239"/>
      <c r="KMM11" s="239"/>
      <c r="KMN11" s="239"/>
      <c r="KMO11" s="239"/>
      <c r="KMP11" s="239"/>
      <c r="KMQ11" s="239"/>
      <c r="KMR11" s="239"/>
      <c r="KMS11" s="239"/>
      <c r="KMT11" s="239"/>
      <c r="KMU11" s="239"/>
      <c r="KMV11" s="239"/>
      <c r="KMW11" s="239"/>
      <c r="KMX11" s="239"/>
      <c r="KMY11" s="239"/>
      <c r="KMZ11" s="239"/>
      <c r="KNA11" s="239"/>
      <c r="KNB11" s="239"/>
      <c r="KNC11" s="239"/>
      <c r="KND11" s="239"/>
      <c r="KNE11" s="239"/>
      <c r="KNF11" s="239"/>
      <c r="KNG11" s="239"/>
      <c r="KNH11" s="239"/>
      <c r="KNI11" s="239"/>
      <c r="KNJ11" s="239"/>
      <c r="KNK11" s="239"/>
      <c r="KNL11" s="239"/>
      <c r="KNM11" s="239"/>
      <c r="KNN11" s="239"/>
      <c r="KNO11" s="239"/>
      <c r="KNP11" s="239"/>
      <c r="KNQ11" s="239"/>
      <c r="KNR11" s="239"/>
      <c r="KNS11" s="239"/>
      <c r="KNT11" s="239"/>
      <c r="KNU11" s="239"/>
      <c r="KNV11" s="239"/>
      <c r="KNW11" s="239"/>
      <c r="KNX11" s="239"/>
      <c r="KNY11" s="239"/>
      <c r="KNZ11" s="239"/>
      <c r="KOA11" s="239"/>
      <c r="KOB11" s="239"/>
      <c r="KOC11" s="239"/>
      <c r="KOD11" s="239"/>
      <c r="KOE11" s="239"/>
      <c r="KOF11" s="239"/>
      <c r="KOG11" s="239"/>
      <c r="KOH11" s="239"/>
      <c r="KOI11" s="239"/>
      <c r="KOJ11" s="239"/>
      <c r="KOK11" s="239"/>
      <c r="KOL11" s="239"/>
      <c r="KOM11" s="239"/>
      <c r="KON11" s="239"/>
      <c r="KOO11" s="239"/>
      <c r="KOP11" s="239"/>
      <c r="KOQ11" s="239"/>
      <c r="KOR11" s="239"/>
      <c r="KOS11" s="239"/>
      <c r="KOT11" s="239"/>
      <c r="KOU11" s="239"/>
      <c r="KOV11" s="239"/>
      <c r="KOW11" s="239"/>
      <c r="KOX11" s="239"/>
      <c r="KOY11" s="239"/>
      <c r="KOZ11" s="239"/>
      <c r="KPA11" s="239"/>
      <c r="KPB11" s="239"/>
      <c r="KPC11" s="239"/>
      <c r="KPD11" s="239"/>
      <c r="KPE11" s="239"/>
      <c r="KPF11" s="239"/>
      <c r="KPG11" s="239"/>
      <c r="KPH11" s="239"/>
      <c r="KPI11" s="239"/>
      <c r="KPJ11" s="239"/>
      <c r="KPK11" s="239"/>
      <c r="KPL11" s="239"/>
      <c r="KPM11" s="239"/>
      <c r="KPN11" s="239"/>
      <c r="KPO11" s="239"/>
      <c r="KPP11" s="239"/>
      <c r="KPQ11" s="239"/>
      <c r="KPR11" s="239"/>
      <c r="KPS11" s="239"/>
      <c r="KPT11" s="239"/>
      <c r="KPU11" s="239"/>
      <c r="KPV11" s="239"/>
      <c r="KPW11" s="239"/>
      <c r="KPX11" s="239"/>
      <c r="KPY11" s="239"/>
      <c r="KPZ11" s="239"/>
      <c r="KQA11" s="239"/>
      <c r="KQB11" s="239"/>
      <c r="KQC11" s="239"/>
      <c r="KQD11" s="239"/>
      <c r="KQE11" s="239"/>
      <c r="KQF11" s="239"/>
      <c r="KQG11" s="239"/>
      <c r="KQH11" s="239"/>
      <c r="KQI11" s="239"/>
      <c r="KQJ11" s="239"/>
      <c r="KQK11" s="239"/>
      <c r="KQL11" s="239"/>
      <c r="KQM11" s="239"/>
      <c r="KQN11" s="239"/>
      <c r="KQO11" s="239"/>
      <c r="KQP11" s="239"/>
      <c r="KQQ11" s="239"/>
      <c r="KQR11" s="239"/>
      <c r="KQS11" s="239"/>
      <c r="KQT11" s="239"/>
      <c r="KQU11" s="239"/>
      <c r="KQV11" s="239"/>
      <c r="KQW11" s="239"/>
      <c r="KQX11" s="239"/>
      <c r="KQY11" s="239"/>
      <c r="KQZ11" s="239"/>
      <c r="KRA11" s="239"/>
      <c r="KRB11" s="239"/>
      <c r="KRC11" s="239"/>
      <c r="KRD11" s="239"/>
      <c r="KRE11" s="239"/>
      <c r="KRF11" s="239"/>
      <c r="KRG11" s="239"/>
      <c r="KRH11" s="239"/>
      <c r="KRI11" s="239"/>
      <c r="KRJ11" s="239"/>
      <c r="KRK11" s="239"/>
      <c r="KRL11" s="239"/>
      <c r="KRM11" s="239"/>
      <c r="KRN11" s="239"/>
      <c r="KRO11" s="239"/>
      <c r="KRP11" s="239"/>
      <c r="KRQ11" s="239"/>
      <c r="KRR11" s="239"/>
      <c r="KRS11" s="239"/>
      <c r="KRT11" s="239"/>
      <c r="KRU11" s="239"/>
      <c r="KRV11" s="239"/>
      <c r="KRW11" s="239"/>
      <c r="KRX11" s="239"/>
      <c r="KRY11" s="239"/>
      <c r="KRZ11" s="239"/>
      <c r="KSA11" s="239"/>
      <c r="KSB11" s="239"/>
      <c r="KSC11" s="239"/>
      <c r="KSD11" s="239"/>
      <c r="KSE11" s="239"/>
      <c r="KSF11" s="239"/>
      <c r="KSG11" s="239"/>
      <c r="KSH11" s="239"/>
      <c r="KSI11" s="239"/>
      <c r="KSJ11" s="239"/>
      <c r="KSK11" s="239"/>
      <c r="KSL11" s="239"/>
      <c r="KSM11" s="239"/>
      <c r="KSN11" s="239"/>
      <c r="KSO11" s="239"/>
      <c r="KSP11" s="239"/>
      <c r="KSQ11" s="239"/>
      <c r="KSR11" s="239"/>
      <c r="KSS11" s="239"/>
      <c r="KST11" s="239"/>
      <c r="KSU11" s="239"/>
      <c r="KSV11" s="239"/>
      <c r="KSW11" s="239"/>
      <c r="KSX11" s="239"/>
      <c r="KSY11" s="239"/>
      <c r="KSZ11" s="239"/>
      <c r="KTA11" s="239"/>
      <c r="KTB11" s="239"/>
      <c r="KTC11" s="239"/>
      <c r="KTD11" s="239"/>
      <c r="KTE11" s="239"/>
      <c r="KTF11" s="239"/>
      <c r="KTG11" s="239"/>
      <c r="KTH11" s="239"/>
      <c r="KTI11" s="239"/>
      <c r="KTJ11" s="239"/>
      <c r="KTK11" s="239"/>
      <c r="KTL11" s="239"/>
      <c r="KTM11" s="239"/>
      <c r="KTN11" s="239"/>
      <c r="KTO11" s="239"/>
      <c r="KTP11" s="239"/>
      <c r="KTQ11" s="239"/>
      <c r="KTR11" s="239"/>
      <c r="KTS11" s="239"/>
      <c r="KTT11" s="239"/>
      <c r="KTU11" s="239"/>
      <c r="KTV11" s="239"/>
      <c r="KTW11" s="239"/>
      <c r="KTX11" s="239"/>
      <c r="KTY11" s="239"/>
      <c r="KTZ11" s="239"/>
      <c r="KUA11" s="239"/>
      <c r="KUB11" s="239"/>
      <c r="KUC11" s="239"/>
      <c r="KUD11" s="239"/>
      <c r="KUE11" s="239"/>
      <c r="KUF11" s="239"/>
      <c r="KUG11" s="239"/>
      <c r="KUH11" s="239"/>
      <c r="KUI11" s="239"/>
      <c r="KUJ11" s="239"/>
      <c r="KUK11" s="239"/>
      <c r="KUL11" s="239"/>
      <c r="KUM11" s="239"/>
      <c r="KUN11" s="239"/>
      <c r="KUO11" s="239"/>
      <c r="KUP11" s="239"/>
      <c r="KUQ11" s="239"/>
      <c r="KUR11" s="239"/>
      <c r="KUS11" s="239"/>
      <c r="KUT11" s="239"/>
      <c r="KUU11" s="239"/>
      <c r="KUV11" s="239"/>
      <c r="KUW11" s="239"/>
      <c r="KUX11" s="239"/>
      <c r="KUY11" s="239"/>
      <c r="KUZ11" s="239"/>
      <c r="KVA11" s="239"/>
      <c r="KVB11" s="239"/>
      <c r="KVC11" s="239"/>
      <c r="KVD11" s="239"/>
      <c r="KVE11" s="239"/>
      <c r="KVF11" s="239"/>
      <c r="KVG11" s="239"/>
      <c r="KVH11" s="239"/>
      <c r="KVI11" s="239"/>
      <c r="KVJ11" s="239"/>
      <c r="KVK11" s="239"/>
      <c r="KVL11" s="239"/>
      <c r="KVM11" s="239"/>
      <c r="KVN11" s="239"/>
      <c r="KVO11" s="239"/>
      <c r="KVP11" s="239"/>
      <c r="KVQ11" s="239"/>
      <c r="KVR11" s="239"/>
      <c r="KVS11" s="239"/>
      <c r="KVT11" s="239"/>
      <c r="KVU11" s="239"/>
      <c r="KVV11" s="239"/>
      <c r="KVW11" s="239"/>
      <c r="KVX11" s="239"/>
      <c r="KVY11" s="239"/>
      <c r="KVZ11" s="239"/>
      <c r="KWA11" s="239"/>
      <c r="KWB11" s="239"/>
      <c r="KWC11" s="239"/>
      <c r="KWD11" s="239"/>
      <c r="KWE11" s="239"/>
      <c r="KWF11" s="239"/>
      <c r="KWG11" s="239"/>
      <c r="KWH11" s="239"/>
      <c r="KWI11" s="239"/>
      <c r="KWJ11" s="239"/>
      <c r="KWK11" s="239"/>
      <c r="KWL11" s="239"/>
      <c r="KWM11" s="239"/>
      <c r="KWN11" s="239"/>
      <c r="KWO11" s="239"/>
      <c r="KWP11" s="239"/>
      <c r="KWQ11" s="239"/>
      <c r="KWR11" s="239"/>
      <c r="KWS11" s="239"/>
      <c r="KWT11" s="239"/>
      <c r="KWU11" s="239"/>
      <c r="KWV11" s="239"/>
      <c r="KWW11" s="239"/>
      <c r="KWX11" s="239"/>
      <c r="KWY11" s="239"/>
      <c r="KWZ11" s="239"/>
      <c r="KXA11" s="239"/>
      <c r="KXB11" s="239"/>
      <c r="KXC11" s="239"/>
      <c r="KXD11" s="239"/>
      <c r="KXE11" s="239"/>
      <c r="KXF11" s="239"/>
      <c r="KXG11" s="239"/>
      <c r="KXH11" s="239"/>
      <c r="KXI11" s="239"/>
      <c r="KXJ11" s="239"/>
      <c r="KXK11" s="239"/>
      <c r="KXL11" s="239"/>
      <c r="KXM11" s="239"/>
      <c r="KXN11" s="239"/>
      <c r="KXO11" s="239"/>
      <c r="KXP11" s="239"/>
      <c r="KXQ11" s="239"/>
      <c r="KXR11" s="239"/>
      <c r="KXS11" s="239"/>
      <c r="KXT11" s="239"/>
      <c r="KXU11" s="239"/>
      <c r="KXV11" s="239"/>
      <c r="KXW11" s="239"/>
      <c r="KXX11" s="239"/>
      <c r="KXY11" s="239"/>
      <c r="KXZ11" s="239"/>
      <c r="KYA11" s="239"/>
      <c r="KYB11" s="239"/>
      <c r="KYC11" s="239"/>
      <c r="KYD11" s="239"/>
      <c r="KYE11" s="239"/>
      <c r="KYF11" s="239"/>
      <c r="KYG11" s="239"/>
      <c r="KYH11" s="239"/>
      <c r="KYI11" s="239"/>
      <c r="KYJ11" s="239"/>
      <c r="KYK11" s="239"/>
      <c r="KYL11" s="239"/>
      <c r="KYM11" s="239"/>
      <c r="KYN11" s="239"/>
      <c r="KYO11" s="239"/>
      <c r="KYP11" s="239"/>
      <c r="KYQ11" s="239"/>
      <c r="KYR11" s="239"/>
      <c r="KYS11" s="239"/>
      <c r="KYT11" s="239"/>
      <c r="KYU11" s="239"/>
      <c r="KYV11" s="239"/>
      <c r="KYW11" s="239"/>
      <c r="KYX11" s="239"/>
      <c r="KYY11" s="239"/>
      <c r="KYZ11" s="239"/>
      <c r="KZA11" s="239"/>
      <c r="KZB11" s="239"/>
      <c r="KZC11" s="239"/>
      <c r="KZD11" s="239"/>
      <c r="KZE11" s="239"/>
      <c r="KZF11" s="239"/>
      <c r="KZG11" s="239"/>
      <c r="KZH11" s="239"/>
      <c r="KZI11" s="239"/>
      <c r="KZJ11" s="239"/>
      <c r="KZK11" s="239"/>
      <c r="KZL11" s="239"/>
      <c r="KZM11" s="239"/>
      <c r="KZN11" s="239"/>
      <c r="KZO11" s="239"/>
      <c r="KZP11" s="239"/>
      <c r="KZQ11" s="239"/>
      <c r="KZR11" s="239"/>
      <c r="KZS11" s="239"/>
      <c r="KZT11" s="239"/>
      <c r="KZU11" s="239"/>
      <c r="KZV11" s="239"/>
      <c r="KZW11" s="239"/>
      <c r="KZX11" s="239"/>
      <c r="KZY11" s="239"/>
      <c r="KZZ11" s="239"/>
      <c r="LAA11" s="239"/>
      <c r="LAB11" s="239"/>
      <c r="LAC11" s="239"/>
      <c r="LAD11" s="239"/>
      <c r="LAE11" s="239"/>
      <c r="LAF11" s="239"/>
      <c r="LAG11" s="239"/>
      <c r="LAH11" s="239"/>
      <c r="LAI11" s="239"/>
      <c r="LAJ11" s="239"/>
      <c r="LAK11" s="239"/>
      <c r="LAL11" s="239"/>
      <c r="LAM11" s="239"/>
      <c r="LAN11" s="239"/>
      <c r="LAO11" s="239"/>
      <c r="LAP11" s="239"/>
      <c r="LAQ11" s="239"/>
      <c r="LAR11" s="239"/>
      <c r="LAS11" s="239"/>
      <c r="LAT11" s="239"/>
      <c r="LAU11" s="239"/>
      <c r="LAV11" s="239"/>
      <c r="LAW11" s="239"/>
      <c r="LAX11" s="239"/>
      <c r="LAY11" s="239"/>
      <c r="LAZ11" s="239"/>
      <c r="LBA11" s="239"/>
      <c r="LBB11" s="239"/>
      <c r="LBC11" s="239"/>
      <c r="LBD11" s="239"/>
      <c r="LBE11" s="239"/>
      <c r="LBF11" s="239"/>
      <c r="LBG11" s="239"/>
      <c r="LBH11" s="239"/>
      <c r="LBI11" s="239"/>
      <c r="LBJ11" s="239"/>
      <c r="LBK11" s="239"/>
      <c r="LBL11" s="239"/>
      <c r="LBM11" s="239"/>
      <c r="LBN11" s="239"/>
      <c r="LBO11" s="239"/>
      <c r="LBP11" s="239"/>
      <c r="LBQ11" s="239"/>
      <c r="LBR11" s="239"/>
      <c r="LBS11" s="239"/>
      <c r="LBT11" s="239"/>
      <c r="LBU11" s="239"/>
      <c r="LBV11" s="239"/>
      <c r="LBW11" s="239"/>
      <c r="LBX11" s="239"/>
      <c r="LBY11" s="239"/>
      <c r="LBZ11" s="239"/>
      <c r="LCA11" s="239"/>
      <c r="LCB11" s="239"/>
      <c r="LCC11" s="239"/>
      <c r="LCD11" s="239"/>
      <c r="LCE11" s="239"/>
      <c r="LCF11" s="239"/>
      <c r="LCG11" s="239"/>
      <c r="LCH11" s="239"/>
      <c r="LCI11" s="239"/>
      <c r="LCJ11" s="239"/>
      <c r="LCK11" s="239"/>
      <c r="LCL11" s="239"/>
      <c r="LCM11" s="239"/>
      <c r="LCN11" s="239"/>
      <c r="LCO11" s="239"/>
      <c r="LCP11" s="239"/>
      <c r="LCQ11" s="239"/>
      <c r="LCR11" s="239"/>
      <c r="LCS11" s="239"/>
      <c r="LCT11" s="239"/>
      <c r="LCU11" s="239"/>
      <c r="LCV11" s="239"/>
      <c r="LCW11" s="239"/>
      <c r="LCX11" s="239"/>
      <c r="LCY11" s="239"/>
      <c r="LCZ11" s="239"/>
      <c r="LDA11" s="239"/>
      <c r="LDB11" s="239"/>
      <c r="LDC11" s="239"/>
      <c r="LDD11" s="239"/>
      <c r="LDE11" s="239"/>
      <c r="LDF11" s="239"/>
      <c r="LDG11" s="239"/>
      <c r="LDH11" s="239"/>
      <c r="LDI11" s="239"/>
      <c r="LDJ11" s="239"/>
      <c r="LDK11" s="239"/>
      <c r="LDL11" s="239"/>
      <c r="LDM11" s="239"/>
      <c r="LDN11" s="239"/>
      <c r="LDO11" s="239"/>
      <c r="LDP11" s="239"/>
      <c r="LDQ11" s="239"/>
      <c r="LDR11" s="239"/>
      <c r="LDS11" s="239"/>
      <c r="LDT11" s="239"/>
      <c r="LDU11" s="239"/>
      <c r="LDV11" s="239"/>
      <c r="LDW11" s="239"/>
      <c r="LDX11" s="239"/>
      <c r="LDY11" s="239"/>
      <c r="LDZ11" s="239"/>
      <c r="LEA11" s="239"/>
      <c r="LEB11" s="239"/>
      <c r="LEC11" s="239"/>
      <c r="LED11" s="239"/>
      <c r="LEE11" s="239"/>
      <c r="LEF11" s="239"/>
      <c r="LEG11" s="239"/>
      <c r="LEH11" s="239"/>
      <c r="LEI11" s="239"/>
      <c r="LEJ11" s="239"/>
      <c r="LEK11" s="239"/>
      <c r="LEL11" s="239"/>
      <c r="LEM11" s="239"/>
      <c r="LEN11" s="239"/>
      <c r="LEO11" s="239"/>
      <c r="LEP11" s="239"/>
      <c r="LEQ11" s="239"/>
      <c r="LER11" s="239"/>
      <c r="LES11" s="239"/>
      <c r="LET11" s="239"/>
      <c r="LEU11" s="239"/>
      <c r="LEV11" s="239"/>
      <c r="LEW11" s="239"/>
      <c r="LEX11" s="239"/>
      <c r="LEY11" s="239"/>
      <c r="LEZ11" s="239"/>
      <c r="LFA11" s="239"/>
      <c r="LFB11" s="239"/>
      <c r="LFC11" s="239"/>
      <c r="LFD11" s="239"/>
      <c r="LFE11" s="239"/>
      <c r="LFF11" s="239"/>
      <c r="LFG11" s="239"/>
      <c r="LFH11" s="239"/>
      <c r="LFI11" s="239"/>
      <c r="LFJ11" s="239"/>
      <c r="LFK11" s="239"/>
      <c r="LFL11" s="239"/>
      <c r="LFM11" s="239"/>
      <c r="LFN11" s="239"/>
      <c r="LFO11" s="239"/>
      <c r="LFP11" s="239"/>
      <c r="LFQ11" s="239"/>
      <c r="LFR11" s="239"/>
      <c r="LFS11" s="239"/>
      <c r="LFT11" s="239"/>
      <c r="LFU11" s="239"/>
      <c r="LFV11" s="239"/>
      <c r="LFW11" s="239"/>
      <c r="LFX11" s="239"/>
      <c r="LFY11" s="239"/>
      <c r="LFZ11" s="239"/>
      <c r="LGA11" s="239"/>
      <c r="LGB11" s="239"/>
      <c r="LGC11" s="239"/>
      <c r="LGD11" s="239"/>
      <c r="LGE11" s="239"/>
      <c r="LGF11" s="239"/>
      <c r="LGG11" s="239"/>
      <c r="LGH11" s="239"/>
      <c r="LGI11" s="239"/>
      <c r="LGJ11" s="239"/>
      <c r="LGK11" s="239"/>
      <c r="LGL11" s="239"/>
      <c r="LGM11" s="239"/>
      <c r="LGN11" s="239"/>
      <c r="LGO11" s="239"/>
      <c r="LGP11" s="239"/>
      <c r="LGQ11" s="239"/>
      <c r="LGR11" s="239"/>
      <c r="LGS11" s="239"/>
      <c r="LGT11" s="239"/>
      <c r="LGU11" s="239"/>
      <c r="LGV11" s="239"/>
      <c r="LGW11" s="239"/>
      <c r="LGX11" s="239"/>
      <c r="LGY11" s="239"/>
      <c r="LGZ11" s="239"/>
      <c r="LHA11" s="239"/>
      <c r="LHB11" s="239"/>
      <c r="LHC11" s="239"/>
      <c r="LHD11" s="239"/>
      <c r="LHE11" s="239"/>
      <c r="LHF11" s="239"/>
      <c r="LHG11" s="239"/>
      <c r="LHH11" s="239"/>
      <c r="LHI11" s="239"/>
      <c r="LHJ11" s="239"/>
      <c r="LHK11" s="239"/>
      <c r="LHL11" s="239"/>
      <c r="LHM11" s="239"/>
      <c r="LHN11" s="239"/>
      <c r="LHO11" s="239"/>
      <c r="LHP11" s="239"/>
      <c r="LHQ11" s="239"/>
      <c r="LHR11" s="239"/>
      <c r="LHS11" s="239"/>
      <c r="LHT11" s="239"/>
      <c r="LHU11" s="239"/>
      <c r="LHV11" s="239"/>
      <c r="LHW11" s="239"/>
      <c r="LHX11" s="239"/>
      <c r="LHY11" s="239"/>
      <c r="LHZ11" s="239"/>
      <c r="LIA11" s="239"/>
      <c r="LIB11" s="239"/>
      <c r="LIC11" s="239"/>
      <c r="LID11" s="239"/>
      <c r="LIE11" s="239"/>
      <c r="LIF11" s="239"/>
      <c r="LIG11" s="239"/>
      <c r="LIH11" s="239"/>
      <c r="LII11" s="239"/>
      <c r="LIJ11" s="239"/>
      <c r="LIK11" s="239"/>
      <c r="LIL11" s="239"/>
      <c r="LIM11" s="239"/>
      <c r="LIN11" s="239"/>
      <c r="LIO11" s="239"/>
      <c r="LIP11" s="239"/>
      <c r="LIQ11" s="239"/>
      <c r="LIR11" s="239"/>
      <c r="LIS11" s="239"/>
      <c r="LIT11" s="239"/>
      <c r="LIU11" s="239"/>
      <c r="LIV11" s="239"/>
      <c r="LIW11" s="239"/>
      <c r="LIX11" s="239"/>
      <c r="LIY11" s="239"/>
      <c r="LIZ11" s="239"/>
      <c r="LJA11" s="239"/>
      <c r="LJB11" s="239"/>
      <c r="LJC11" s="239"/>
      <c r="LJD11" s="239"/>
      <c r="LJE11" s="239"/>
      <c r="LJF11" s="239"/>
      <c r="LJG11" s="239"/>
      <c r="LJH11" s="239"/>
      <c r="LJI11" s="239"/>
      <c r="LJJ11" s="239"/>
      <c r="LJK11" s="239"/>
      <c r="LJL11" s="239"/>
      <c r="LJM11" s="239"/>
      <c r="LJN11" s="239"/>
      <c r="LJO11" s="239"/>
      <c r="LJP11" s="239"/>
      <c r="LJQ11" s="239"/>
      <c r="LJR11" s="239"/>
      <c r="LJS11" s="239"/>
      <c r="LJT11" s="239"/>
      <c r="LJU11" s="239"/>
      <c r="LJV11" s="239"/>
      <c r="LJW11" s="239"/>
      <c r="LJX11" s="239"/>
      <c r="LJY11" s="239"/>
      <c r="LJZ11" s="239"/>
      <c r="LKA11" s="239"/>
      <c r="LKB11" s="239"/>
      <c r="LKC11" s="239"/>
      <c r="LKD11" s="239"/>
      <c r="LKE11" s="239"/>
      <c r="LKF11" s="239"/>
      <c r="LKG11" s="239"/>
      <c r="LKH11" s="239"/>
      <c r="LKI11" s="239"/>
      <c r="LKJ11" s="239"/>
      <c r="LKK11" s="239"/>
      <c r="LKL11" s="239"/>
      <c r="LKM11" s="239"/>
      <c r="LKN11" s="239"/>
      <c r="LKO11" s="239"/>
      <c r="LKP11" s="239"/>
      <c r="LKQ11" s="239"/>
      <c r="LKR11" s="239"/>
      <c r="LKS11" s="239"/>
      <c r="LKT11" s="239"/>
      <c r="LKU11" s="239"/>
      <c r="LKV11" s="239"/>
      <c r="LKW11" s="239"/>
      <c r="LKX11" s="239"/>
      <c r="LKY11" s="239"/>
      <c r="LKZ11" s="239"/>
      <c r="LLA11" s="239"/>
      <c r="LLB11" s="239"/>
      <c r="LLC11" s="239"/>
      <c r="LLD11" s="239"/>
      <c r="LLE11" s="239"/>
      <c r="LLF11" s="239"/>
      <c r="LLG11" s="239"/>
      <c r="LLH11" s="239"/>
      <c r="LLI11" s="239"/>
      <c r="LLJ11" s="239"/>
      <c r="LLK11" s="239"/>
      <c r="LLL11" s="239"/>
      <c r="LLM11" s="239"/>
      <c r="LLN11" s="239"/>
      <c r="LLO11" s="239"/>
      <c r="LLP11" s="239"/>
      <c r="LLQ11" s="239"/>
      <c r="LLR11" s="239"/>
      <c r="LLS11" s="239"/>
      <c r="LLT11" s="239"/>
      <c r="LLU11" s="239"/>
      <c r="LLV11" s="239"/>
      <c r="LLW11" s="239"/>
      <c r="LLX11" s="239"/>
      <c r="LLY11" s="239"/>
      <c r="LLZ11" s="239"/>
      <c r="LMA11" s="239"/>
      <c r="LMB11" s="239"/>
      <c r="LMC11" s="239"/>
      <c r="LMD11" s="239"/>
      <c r="LME11" s="239"/>
      <c r="LMF11" s="239"/>
      <c r="LMG11" s="239"/>
      <c r="LMH11" s="239"/>
      <c r="LMI11" s="239"/>
      <c r="LMJ11" s="239"/>
      <c r="LMK11" s="239"/>
      <c r="LML11" s="239"/>
      <c r="LMM11" s="239"/>
      <c r="LMN11" s="239"/>
      <c r="LMO11" s="239"/>
      <c r="LMP11" s="239"/>
      <c r="LMQ11" s="239"/>
      <c r="LMR11" s="239"/>
      <c r="LMS11" s="239"/>
      <c r="LMT11" s="239"/>
      <c r="LMU11" s="239"/>
      <c r="LMV11" s="239"/>
      <c r="LMW11" s="239"/>
      <c r="LMX11" s="239"/>
      <c r="LMY11" s="239"/>
      <c r="LMZ11" s="239"/>
      <c r="LNA11" s="239"/>
      <c r="LNB11" s="239"/>
      <c r="LNC11" s="239"/>
      <c r="LND11" s="239"/>
      <c r="LNE11" s="239"/>
      <c r="LNF11" s="239"/>
      <c r="LNG11" s="239"/>
      <c r="LNH11" s="239"/>
      <c r="LNI11" s="239"/>
      <c r="LNJ11" s="239"/>
      <c r="LNK11" s="239"/>
      <c r="LNL11" s="239"/>
      <c r="LNM11" s="239"/>
      <c r="LNN11" s="239"/>
      <c r="LNO11" s="239"/>
      <c r="LNP11" s="239"/>
      <c r="LNQ11" s="239"/>
      <c r="LNR11" s="239"/>
      <c r="LNS11" s="239"/>
      <c r="LNT11" s="239"/>
      <c r="LNU11" s="239"/>
      <c r="LNV11" s="239"/>
      <c r="LNW11" s="239"/>
      <c r="LNX11" s="239"/>
      <c r="LNY11" s="239"/>
      <c r="LNZ11" s="239"/>
      <c r="LOA11" s="239"/>
      <c r="LOB11" s="239"/>
      <c r="LOC11" s="239"/>
      <c r="LOD11" s="239"/>
      <c r="LOE11" s="239"/>
      <c r="LOF11" s="239"/>
      <c r="LOG11" s="239"/>
      <c r="LOH11" s="239"/>
      <c r="LOI11" s="239"/>
      <c r="LOJ11" s="239"/>
      <c r="LOK11" s="239"/>
      <c r="LOL11" s="239"/>
      <c r="LOM11" s="239"/>
      <c r="LON11" s="239"/>
      <c r="LOO11" s="239"/>
      <c r="LOP11" s="239"/>
      <c r="LOQ11" s="239"/>
      <c r="LOR11" s="239"/>
      <c r="LOS11" s="239"/>
      <c r="LOT11" s="239"/>
      <c r="LOU11" s="239"/>
      <c r="LOV11" s="239"/>
      <c r="LOW11" s="239"/>
      <c r="LOX11" s="239"/>
      <c r="LOY11" s="239"/>
      <c r="LOZ11" s="239"/>
      <c r="LPA11" s="239"/>
      <c r="LPB11" s="239"/>
      <c r="LPC11" s="239"/>
      <c r="LPD11" s="239"/>
      <c r="LPE11" s="239"/>
      <c r="LPF11" s="239"/>
      <c r="LPG11" s="239"/>
      <c r="LPH11" s="239"/>
      <c r="LPI11" s="239"/>
      <c r="LPJ11" s="239"/>
      <c r="LPK11" s="239"/>
      <c r="LPL11" s="239"/>
      <c r="LPM11" s="239"/>
      <c r="LPN11" s="239"/>
      <c r="LPO11" s="239"/>
      <c r="LPP11" s="239"/>
      <c r="LPQ11" s="239"/>
      <c r="LPR11" s="239"/>
      <c r="LPS11" s="239"/>
      <c r="LPT11" s="239"/>
      <c r="LPU11" s="239"/>
      <c r="LPV11" s="239"/>
      <c r="LPW11" s="239"/>
      <c r="LPX11" s="239"/>
      <c r="LPY11" s="239"/>
      <c r="LPZ11" s="239"/>
      <c r="LQA11" s="239"/>
      <c r="LQB11" s="239"/>
      <c r="LQC11" s="239"/>
      <c r="LQD11" s="239"/>
      <c r="LQE11" s="239"/>
      <c r="LQF11" s="239"/>
      <c r="LQG11" s="239"/>
      <c r="LQH11" s="239"/>
      <c r="LQI11" s="239"/>
      <c r="LQJ11" s="239"/>
      <c r="LQK11" s="239"/>
      <c r="LQL11" s="239"/>
      <c r="LQM11" s="239"/>
      <c r="LQN11" s="239"/>
      <c r="LQO11" s="239"/>
      <c r="LQP11" s="239"/>
      <c r="LQQ11" s="239"/>
      <c r="LQR11" s="239"/>
      <c r="LQS11" s="239"/>
      <c r="LQT11" s="239"/>
      <c r="LQU11" s="239"/>
      <c r="LQV11" s="239"/>
      <c r="LQW11" s="239"/>
      <c r="LQX11" s="239"/>
      <c r="LQY11" s="239"/>
      <c r="LQZ11" s="239"/>
      <c r="LRA11" s="239"/>
      <c r="LRB11" s="239"/>
      <c r="LRC11" s="239"/>
      <c r="LRD11" s="239"/>
      <c r="LRE11" s="239"/>
      <c r="LRF11" s="239"/>
      <c r="LRG11" s="239"/>
      <c r="LRH11" s="239"/>
      <c r="LRI11" s="239"/>
      <c r="LRJ11" s="239"/>
      <c r="LRK11" s="239"/>
      <c r="LRL11" s="239"/>
      <c r="LRM11" s="239"/>
      <c r="LRN11" s="239"/>
      <c r="LRO11" s="239"/>
      <c r="LRP11" s="239"/>
      <c r="LRQ11" s="239"/>
      <c r="LRR11" s="239"/>
      <c r="LRS11" s="239"/>
      <c r="LRT11" s="239"/>
      <c r="LRU11" s="239"/>
      <c r="LRV11" s="239"/>
      <c r="LRW11" s="239"/>
      <c r="LRX11" s="239"/>
      <c r="LRY11" s="239"/>
      <c r="LRZ11" s="239"/>
      <c r="LSA11" s="239"/>
      <c r="LSB11" s="239"/>
      <c r="LSC11" s="239"/>
      <c r="LSD11" s="239"/>
      <c r="LSE11" s="239"/>
      <c r="LSF11" s="239"/>
      <c r="LSG11" s="239"/>
      <c r="LSH11" s="239"/>
      <c r="LSI11" s="239"/>
      <c r="LSJ11" s="239"/>
      <c r="LSK11" s="239"/>
      <c r="LSL11" s="239"/>
      <c r="LSM11" s="239"/>
      <c r="LSN11" s="239"/>
      <c r="LSO11" s="239"/>
      <c r="LSP11" s="239"/>
      <c r="LSQ11" s="239"/>
      <c r="LSR11" s="239"/>
      <c r="LSS11" s="239"/>
      <c r="LST11" s="239"/>
      <c r="LSU11" s="239"/>
      <c r="LSV11" s="239"/>
      <c r="LSW11" s="239"/>
      <c r="LSX11" s="239"/>
      <c r="LSY11" s="239"/>
      <c r="LSZ11" s="239"/>
      <c r="LTA11" s="239"/>
      <c r="LTB11" s="239"/>
      <c r="LTC11" s="239"/>
      <c r="LTD11" s="239"/>
      <c r="LTE11" s="239"/>
      <c r="LTF11" s="239"/>
      <c r="LTG11" s="239"/>
      <c r="LTH11" s="239"/>
      <c r="LTI11" s="239"/>
      <c r="LTJ11" s="239"/>
      <c r="LTK11" s="239"/>
      <c r="LTL11" s="239"/>
      <c r="LTM11" s="239"/>
      <c r="LTN11" s="239"/>
      <c r="LTO11" s="239"/>
      <c r="LTP11" s="239"/>
      <c r="LTQ11" s="239"/>
      <c r="LTR11" s="239"/>
      <c r="LTS11" s="239"/>
      <c r="LTT11" s="239"/>
      <c r="LTU11" s="239"/>
      <c r="LTV11" s="239"/>
      <c r="LTW11" s="239"/>
      <c r="LTX11" s="239"/>
      <c r="LTY11" s="239"/>
      <c r="LTZ11" s="239"/>
      <c r="LUA11" s="239"/>
      <c r="LUB11" s="239"/>
      <c r="LUC11" s="239"/>
      <c r="LUD11" s="239"/>
      <c r="LUE11" s="239"/>
      <c r="LUF11" s="239"/>
      <c r="LUG11" s="239"/>
      <c r="LUH11" s="239"/>
      <c r="LUI11" s="239"/>
      <c r="LUJ11" s="239"/>
      <c r="LUK11" s="239"/>
      <c r="LUL11" s="239"/>
      <c r="LUM11" s="239"/>
      <c r="LUN11" s="239"/>
      <c r="LUO11" s="239"/>
      <c r="LUP11" s="239"/>
      <c r="LUQ11" s="239"/>
      <c r="LUR11" s="239"/>
      <c r="LUS11" s="239"/>
      <c r="LUT11" s="239"/>
      <c r="LUU11" s="239"/>
      <c r="LUV11" s="239"/>
      <c r="LUW11" s="239"/>
      <c r="LUX11" s="239"/>
      <c r="LUY11" s="239"/>
      <c r="LUZ11" s="239"/>
      <c r="LVA11" s="239"/>
      <c r="LVB11" s="239"/>
      <c r="LVC11" s="239"/>
      <c r="LVD11" s="239"/>
      <c r="LVE11" s="239"/>
      <c r="LVF11" s="239"/>
      <c r="LVG11" s="239"/>
      <c r="LVH11" s="239"/>
      <c r="LVI11" s="239"/>
      <c r="LVJ11" s="239"/>
      <c r="LVK11" s="239"/>
      <c r="LVL11" s="239"/>
      <c r="LVM11" s="239"/>
      <c r="LVN11" s="239"/>
      <c r="LVO11" s="239"/>
      <c r="LVP11" s="239"/>
      <c r="LVQ11" s="239"/>
      <c r="LVR11" s="239"/>
      <c r="LVS11" s="239"/>
      <c r="LVT11" s="239"/>
      <c r="LVU11" s="239"/>
      <c r="LVV11" s="239"/>
      <c r="LVW11" s="239"/>
      <c r="LVX11" s="239"/>
      <c r="LVY11" s="239"/>
      <c r="LVZ11" s="239"/>
      <c r="LWA11" s="239"/>
      <c r="LWB11" s="239"/>
      <c r="LWC11" s="239"/>
      <c r="LWD11" s="239"/>
      <c r="LWE11" s="239"/>
      <c r="LWF11" s="239"/>
      <c r="LWG11" s="239"/>
      <c r="LWH11" s="239"/>
      <c r="LWI11" s="239"/>
      <c r="LWJ11" s="239"/>
      <c r="LWK11" s="239"/>
      <c r="LWL11" s="239"/>
      <c r="LWM11" s="239"/>
      <c r="LWN11" s="239"/>
      <c r="LWO11" s="239"/>
      <c r="LWP11" s="239"/>
      <c r="LWQ11" s="239"/>
      <c r="LWR11" s="239"/>
      <c r="LWS11" s="239"/>
      <c r="LWT11" s="239"/>
      <c r="LWU11" s="239"/>
      <c r="LWV11" s="239"/>
      <c r="LWW11" s="239"/>
      <c r="LWX11" s="239"/>
      <c r="LWY11" s="239"/>
      <c r="LWZ11" s="239"/>
      <c r="LXA11" s="239"/>
      <c r="LXB11" s="239"/>
      <c r="LXC11" s="239"/>
      <c r="LXD11" s="239"/>
      <c r="LXE11" s="239"/>
      <c r="LXF11" s="239"/>
      <c r="LXG11" s="239"/>
      <c r="LXH11" s="239"/>
      <c r="LXI11" s="239"/>
      <c r="LXJ11" s="239"/>
      <c r="LXK11" s="239"/>
      <c r="LXL11" s="239"/>
      <c r="LXM11" s="239"/>
      <c r="LXN11" s="239"/>
      <c r="LXO11" s="239"/>
      <c r="LXP11" s="239"/>
      <c r="LXQ11" s="239"/>
      <c r="LXR11" s="239"/>
      <c r="LXS11" s="239"/>
      <c r="LXT11" s="239"/>
      <c r="LXU11" s="239"/>
      <c r="LXV11" s="239"/>
      <c r="LXW11" s="239"/>
      <c r="LXX11" s="239"/>
      <c r="LXY11" s="239"/>
      <c r="LXZ11" s="239"/>
      <c r="LYA11" s="239"/>
      <c r="LYB11" s="239"/>
      <c r="LYC11" s="239"/>
      <c r="LYD11" s="239"/>
      <c r="LYE11" s="239"/>
      <c r="LYF11" s="239"/>
      <c r="LYG11" s="239"/>
      <c r="LYH11" s="239"/>
      <c r="LYI11" s="239"/>
      <c r="LYJ11" s="239"/>
      <c r="LYK11" s="239"/>
      <c r="LYL11" s="239"/>
      <c r="LYM11" s="239"/>
      <c r="LYN11" s="239"/>
      <c r="LYO11" s="239"/>
      <c r="LYP11" s="239"/>
      <c r="LYQ11" s="239"/>
      <c r="LYR11" s="239"/>
      <c r="LYS11" s="239"/>
      <c r="LYT11" s="239"/>
      <c r="LYU11" s="239"/>
      <c r="LYV11" s="239"/>
      <c r="LYW11" s="239"/>
      <c r="LYX11" s="239"/>
      <c r="LYY11" s="239"/>
      <c r="LYZ11" s="239"/>
      <c r="LZA11" s="239"/>
      <c r="LZB11" s="239"/>
      <c r="LZC11" s="239"/>
      <c r="LZD11" s="239"/>
      <c r="LZE11" s="239"/>
      <c r="LZF11" s="239"/>
      <c r="LZG11" s="239"/>
      <c r="LZH11" s="239"/>
      <c r="LZI11" s="239"/>
      <c r="LZJ11" s="239"/>
      <c r="LZK11" s="239"/>
      <c r="LZL11" s="239"/>
      <c r="LZM11" s="239"/>
      <c r="LZN11" s="239"/>
      <c r="LZO11" s="239"/>
      <c r="LZP11" s="239"/>
      <c r="LZQ11" s="239"/>
      <c r="LZR11" s="239"/>
      <c r="LZS11" s="239"/>
      <c r="LZT11" s="239"/>
      <c r="LZU11" s="239"/>
      <c r="LZV11" s="239"/>
      <c r="LZW11" s="239"/>
      <c r="LZX11" s="239"/>
      <c r="LZY11" s="239"/>
      <c r="LZZ11" s="239"/>
      <c r="MAA11" s="239"/>
      <c r="MAB11" s="239"/>
      <c r="MAC11" s="239"/>
      <c r="MAD11" s="239"/>
      <c r="MAE11" s="239"/>
      <c r="MAF11" s="239"/>
      <c r="MAG11" s="239"/>
      <c r="MAH11" s="239"/>
      <c r="MAI11" s="239"/>
      <c r="MAJ11" s="239"/>
      <c r="MAK11" s="239"/>
      <c r="MAL11" s="239"/>
      <c r="MAM11" s="239"/>
      <c r="MAN11" s="239"/>
      <c r="MAO11" s="239"/>
      <c r="MAP11" s="239"/>
      <c r="MAQ11" s="239"/>
      <c r="MAR11" s="239"/>
      <c r="MAS11" s="239"/>
      <c r="MAT11" s="239"/>
      <c r="MAU11" s="239"/>
      <c r="MAV11" s="239"/>
      <c r="MAW11" s="239"/>
      <c r="MAX11" s="239"/>
      <c r="MAY11" s="239"/>
      <c r="MAZ11" s="239"/>
      <c r="MBA11" s="239"/>
      <c r="MBB11" s="239"/>
      <c r="MBC11" s="239"/>
      <c r="MBD11" s="239"/>
      <c r="MBE11" s="239"/>
      <c r="MBF11" s="239"/>
      <c r="MBG11" s="239"/>
      <c r="MBH11" s="239"/>
      <c r="MBI11" s="239"/>
      <c r="MBJ11" s="239"/>
      <c r="MBK11" s="239"/>
      <c r="MBL11" s="239"/>
      <c r="MBM11" s="239"/>
      <c r="MBN11" s="239"/>
      <c r="MBO11" s="239"/>
      <c r="MBP11" s="239"/>
      <c r="MBQ11" s="239"/>
      <c r="MBR11" s="239"/>
      <c r="MBS11" s="239"/>
      <c r="MBT11" s="239"/>
      <c r="MBU11" s="239"/>
      <c r="MBV11" s="239"/>
      <c r="MBW11" s="239"/>
      <c r="MBX11" s="239"/>
      <c r="MBY11" s="239"/>
      <c r="MBZ11" s="239"/>
      <c r="MCA11" s="239"/>
      <c r="MCB11" s="239"/>
      <c r="MCC11" s="239"/>
      <c r="MCD11" s="239"/>
      <c r="MCE11" s="239"/>
      <c r="MCF11" s="239"/>
      <c r="MCG11" s="239"/>
      <c r="MCH11" s="239"/>
      <c r="MCI11" s="239"/>
      <c r="MCJ11" s="239"/>
      <c r="MCK11" s="239"/>
      <c r="MCL11" s="239"/>
      <c r="MCM11" s="239"/>
      <c r="MCN11" s="239"/>
      <c r="MCO11" s="239"/>
      <c r="MCP11" s="239"/>
      <c r="MCQ11" s="239"/>
      <c r="MCR11" s="239"/>
      <c r="MCS11" s="239"/>
      <c r="MCT11" s="239"/>
      <c r="MCU11" s="239"/>
      <c r="MCV11" s="239"/>
      <c r="MCW11" s="239"/>
      <c r="MCX11" s="239"/>
      <c r="MCY11" s="239"/>
      <c r="MCZ11" s="239"/>
      <c r="MDA11" s="239"/>
      <c r="MDB11" s="239"/>
      <c r="MDC11" s="239"/>
      <c r="MDD11" s="239"/>
      <c r="MDE11" s="239"/>
      <c r="MDF11" s="239"/>
      <c r="MDG11" s="239"/>
      <c r="MDH11" s="239"/>
      <c r="MDI11" s="239"/>
      <c r="MDJ11" s="239"/>
      <c r="MDK11" s="239"/>
      <c r="MDL11" s="239"/>
      <c r="MDM11" s="239"/>
      <c r="MDN11" s="239"/>
      <c r="MDO11" s="239"/>
      <c r="MDP11" s="239"/>
      <c r="MDQ11" s="239"/>
      <c r="MDR11" s="239"/>
      <c r="MDS11" s="239"/>
      <c r="MDT11" s="239"/>
      <c r="MDU11" s="239"/>
      <c r="MDV11" s="239"/>
      <c r="MDW11" s="239"/>
    </row>
    <row r="12" spans="1:8915" s="47" customFormat="1" hidden="1">
      <c r="A12" s="52"/>
      <c r="B12" s="101">
        <v>45755</v>
      </c>
      <c r="C12" s="101" t="s">
        <v>193</v>
      </c>
      <c r="D12" s="119">
        <v>3877.9584000000445</v>
      </c>
      <c r="E12" s="119">
        <v>5347.53599999984</v>
      </c>
      <c r="F12" s="119">
        <v>617.62999999988824</v>
      </c>
      <c r="G12" s="119">
        <v>699.58000000013271</v>
      </c>
      <c r="H12" s="119">
        <v>910.12999999998283</v>
      </c>
      <c r="I12" s="119">
        <v>663.38000000000102</v>
      </c>
      <c r="J12" s="119">
        <v>1493.895600000018</v>
      </c>
      <c r="K12" s="119">
        <v>1950.3637000000235</v>
      </c>
      <c r="L12" s="119">
        <v>9708.7100000006067</v>
      </c>
      <c r="M12" s="119">
        <v>897.37999999988824</v>
      </c>
      <c r="N12" s="120">
        <v>456.06</v>
      </c>
      <c r="O12" s="120">
        <v>2278.1926999996172</v>
      </c>
      <c r="P12" s="141">
        <f t="shared" si="0"/>
        <v>28900.816400000047</v>
      </c>
      <c r="Q12" s="119">
        <v>15002.299999999874</v>
      </c>
      <c r="R12" s="119">
        <v>23022.231000000225</v>
      </c>
      <c r="S12" s="119">
        <v>1395.9435999999423</v>
      </c>
      <c r="T12" s="119">
        <v>1680.8159000000194</v>
      </c>
      <c r="U12" s="119">
        <v>2606.9958000000024</v>
      </c>
      <c r="V12" s="141">
        <f t="shared" si="1"/>
        <v>72609.102700000105</v>
      </c>
      <c r="W12" s="81"/>
      <c r="X12" s="262">
        <f>Summary!K12</f>
        <v>72609.102700000105</v>
      </c>
      <c r="Y12" s="239"/>
      <c r="Z12" s="281">
        <f t="shared" si="2"/>
        <v>0</v>
      </c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  <c r="AM12" s="239"/>
      <c r="AN12" s="239"/>
      <c r="AO12" s="239"/>
      <c r="AP12" s="239"/>
      <c r="AQ12" s="239"/>
      <c r="AR12" s="239"/>
      <c r="AS12" s="239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39"/>
      <c r="BL12" s="239"/>
      <c r="BM12" s="239"/>
      <c r="BN12" s="239"/>
      <c r="BO12" s="239"/>
      <c r="BP12" s="239"/>
      <c r="BQ12" s="239"/>
      <c r="BR12" s="239"/>
      <c r="BS12" s="239"/>
      <c r="BT12" s="239"/>
      <c r="BU12" s="239"/>
      <c r="BV12" s="239"/>
      <c r="BW12" s="239"/>
      <c r="BX12" s="239"/>
      <c r="BY12" s="239"/>
      <c r="BZ12" s="239"/>
      <c r="CA12" s="239"/>
      <c r="CB12" s="239"/>
      <c r="CC12" s="239"/>
      <c r="CD12" s="239"/>
      <c r="CE12" s="239"/>
      <c r="CF12" s="239"/>
      <c r="CG12" s="239"/>
      <c r="CH12" s="239"/>
      <c r="CI12" s="239"/>
      <c r="CJ12" s="239"/>
      <c r="CK12" s="239"/>
      <c r="CL12" s="239"/>
      <c r="CM12" s="239"/>
      <c r="CN12" s="239"/>
      <c r="CO12" s="239"/>
      <c r="CP12" s="239"/>
      <c r="CQ12" s="239"/>
      <c r="CR12" s="239"/>
      <c r="CS12" s="239"/>
      <c r="CT12" s="239"/>
      <c r="CU12" s="239"/>
      <c r="CV12" s="239"/>
      <c r="CW12" s="239"/>
      <c r="CX12" s="239"/>
      <c r="CY12" s="239"/>
      <c r="CZ12" s="239"/>
      <c r="DA12" s="239"/>
      <c r="DB12" s="239"/>
      <c r="DC12" s="239"/>
      <c r="DD12" s="239"/>
      <c r="DE12" s="239"/>
      <c r="DF12" s="239"/>
      <c r="DG12" s="239"/>
      <c r="DH12" s="239"/>
      <c r="DI12" s="239"/>
      <c r="DJ12" s="239"/>
      <c r="DK12" s="239"/>
      <c r="DL12" s="239"/>
      <c r="DM12" s="239"/>
      <c r="DN12" s="239"/>
      <c r="DO12" s="239"/>
      <c r="DP12" s="239"/>
      <c r="DQ12" s="239"/>
      <c r="DR12" s="239"/>
      <c r="DS12" s="239"/>
      <c r="DT12" s="239"/>
      <c r="DU12" s="239"/>
      <c r="DV12" s="239"/>
      <c r="DW12" s="239"/>
      <c r="DX12" s="239"/>
      <c r="DY12" s="239"/>
      <c r="DZ12" s="239"/>
      <c r="EA12" s="239"/>
      <c r="EB12" s="239"/>
      <c r="EC12" s="239"/>
      <c r="ED12" s="239"/>
      <c r="EE12" s="239"/>
      <c r="EF12" s="239"/>
      <c r="EG12" s="239"/>
      <c r="EH12" s="239"/>
      <c r="EI12" s="239"/>
      <c r="EJ12" s="239"/>
      <c r="EK12" s="239"/>
      <c r="EL12" s="239"/>
      <c r="EM12" s="239"/>
      <c r="EN12" s="239"/>
      <c r="EO12" s="239"/>
      <c r="EP12" s="239"/>
      <c r="EQ12" s="239"/>
      <c r="ER12" s="239"/>
      <c r="ES12" s="239"/>
      <c r="ET12" s="239"/>
      <c r="EU12" s="239"/>
      <c r="EV12" s="239"/>
      <c r="EW12" s="239"/>
      <c r="EX12" s="239"/>
      <c r="EY12" s="239"/>
      <c r="EZ12" s="239"/>
      <c r="FA12" s="239"/>
      <c r="FB12" s="239"/>
      <c r="FC12" s="239"/>
      <c r="FD12" s="239"/>
      <c r="FE12" s="239"/>
      <c r="FF12" s="239"/>
      <c r="FG12" s="239"/>
      <c r="FH12" s="239"/>
      <c r="FI12" s="239"/>
      <c r="FJ12" s="239"/>
      <c r="FK12" s="239"/>
      <c r="FL12" s="239"/>
      <c r="FM12" s="239"/>
      <c r="FN12" s="239"/>
      <c r="FO12" s="239"/>
      <c r="FP12" s="239"/>
      <c r="FQ12" s="239"/>
      <c r="FR12" s="239"/>
      <c r="FS12" s="239"/>
      <c r="FT12" s="239"/>
      <c r="FU12" s="239"/>
      <c r="FV12" s="239"/>
      <c r="FW12" s="239"/>
      <c r="FX12" s="239"/>
      <c r="FY12" s="239"/>
      <c r="FZ12" s="239"/>
      <c r="GA12" s="239"/>
      <c r="GB12" s="239"/>
      <c r="GC12" s="239"/>
      <c r="GD12" s="239"/>
      <c r="GE12" s="239"/>
      <c r="GF12" s="239"/>
      <c r="GG12" s="239"/>
      <c r="GH12" s="239"/>
      <c r="GI12" s="239"/>
      <c r="GJ12" s="239"/>
      <c r="GK12" s="239"/>
      <c r="GL12" s="239"/>
      <c r="GM12" s="239"/>
      <c r="GN12" s="239"/>
      <c r="GO12" s="239"/>
      <c r="GP12" s="239"/>
      <c r="GQ12" s="239"/>
      <c r="GR12" s="239"/>
      <c r="GS12" s="239"/>
      <c r="GT12" s="239"/>
      <c r="GU12" s="239"/>
      <c r="GV12" s="239"/>
      <c r="GW12" s="239"/>
      <c r="GX12" s="239"/>
      <c r="GY12" s="239"/>
      <c r="GZ12" s="239"/>
      <c r="HA12" s="239"/>
      <c r="HB12" s="239"/>
      <c r="HC12" s="239"/>
      <c r="HD12" s="239"/>
      <c r="HE12" s="239"/>
      <c r="HF12" s="239"/>
      <c r="HG12" s="239"/>
      <c r="HH12" s="239"/>
      <c r="HI12" s="239"/>
      <c r="HJ12" s="239"/>
      <c r="HK12" s="239"/>
      <c r="HL12" s="239"/>
      <c r="HM12" s="239"/>
      <c r="HN12" s="239"/>
      <c r="HO12" s="239"/>
      <c r="HP12" s="239"/>
      <c r="HQ12" s="239"/>
      <c r="HR12" s="239"/>
      <c r="HS12" s="239"/>
      <c r="HT12" s="239"/>
      <c r="HU12" s="239"/>
      <c r="HV12" s="239"/>
      <c r="HW12" s="239"/>
      <c r="HX12" s="239"/>
      <c r="HY12" s="239"/>
      <c r="HZ12" s="239"/>
      <c r="IA12" s="239"/>
      <c r="IB12" s="239"/>
      <c r="IC12" s="239"/>
      <c r="ID12" s="239"/>
      <c r="IE12" s="239"/>
      <c r="IF12" s="239"/>
      <c r="IG12" s="239"/>
      <c r="IH12" s="239"/>
      <c r="II12" s="239"/>
      <c r="IJ12" s="239"/>
      <c r="IK12" s="239"/>
      <c r="IL12" s="239"/>
      <c r="IM12" s="239"/>
      <c r="IN12" s="239"/>
      <c r="IO12" s="239"/>
      <c r="IP12" s="239"/>
      <c r="IQ12" s="239"/>
      <c r="IR12" s="239"/>
      <c r="IS12" s="239"/>
      <c r="IT12" s="239"/>
      <c r="IU12" s="239"/>
      <c r="IV12" s="239"/>
      <c r="IW12" s="239"/>
      <c r="IX12" s="239"/>
      <c r="IY12" s="239"/>
      <c r="IZ12" s="239"/>
      <c r="JA12" s="239"/>
      <c r="JB12" s="239"/>
      <c r="JC12" s="239"/>
      <c r="JD12" s="239"/>
      <c r="JE12" s="239"/>
      <c r="JF12" s="239"/>
      <c r="JG12" s="239"/>
      <c r="JH12" s="239"/>
      <c r="JI12" s="239"/>
      <c r="JJ12" s="239"/>
      <c r="JK12" s="239"/>
      <c r="JL12" s="239"/>
      <c r="JM12" s="239"/>
      <c r="JN12" s="239"/>
      <c r="JO12" s="239"/>
      <c r="JP12" s="239"/>
      <c r="JQ12" s="239"/>
      <c r="JR12" s="239"/>
      <c r="JS12" s="239"/>
      <c r="JT12" s="239"/>
      <c r="JU12" s="239"/>
      <c r="JV12" s="239"/>
      <c r="JW12" s="239"/>
      <c r="JX12" s="239"/>
      <c r="JY12" s="239"/>
      <c r="JZ12" s="239"/>
      <c r="KA12" s="239"/>
      <c r="KB12" s="239"/>
      <c r="KC12" s="239"/>
      <c r="KD12" s="239"/>
      <c r="KE12" s="239"/>
      <c r="KF12" s="239"/>
      <c r="KG12" s="239"/>
      <c r="KH12" s="239"/>
      <c r="KI12" s="239"/>
      <c r="KJ12" s="239"/>
      <c r="KK12" s="239"/>
      <c r="KL12" s="239"/>
      <c r="KM12" s="239"/>
      <c r="KN12" s="239"/>
      <c r="KO12" s="239"/>
      <c r="KP12" s="239"/>
      <c r="KQ12" s="239"/>
      <c r="KR12" s="239"/>
      <c r="KS12" s="239"/>
      <c r="KT12" s="239"/>
      <c r="KU12" s="239"/>
      <c r="KV12" s="239"/>
      <c r="KW12" s="239"/>
      <c r="KX12" s="239"/>
      <c r="KY12" s="239"/>
      <c r="KZ12" s="239"/>
      <c r="LA12" s="239"/>
      <c r="LB12" s="239"/>
      <c r="LC12" s="239"/>
      <c r="LD12" s="239"/>
      <c r="LE12" s="239"/>
      <c r="LF12" s="239"/>
      <c r="LG12" s="239"/>
      <c r="LH12" s="239"/>
      <c r="LI12" s="239"/>
      <c r="LJ12" s="239"/>
      <c r="LK12" s="239"/>
      <c r="LL12" s="239"/>
      <c r="LM12" s="239"/>
      <c r="LN12" s="239"/>
      <c r="LO12" s="239"/>
      <c r="LP12" s="239"/>
      <c r="LQ12" s="239"/>
      <c r="LR12" s="239"/>
      <c r="LS12" s="239"/>
      <c r="LT12" s="239"/>
      <c r="LU12" s="239"/>
      <c r="LV12" s="239"/>
      <c r="LW12" s="239"/>
      <c r="LX12" s="239"/>
      <c r="LY12" s="239"/>
      <c r="LZ12" s="239"/>
      <c r="MA12" s="239"/>
      <c r="MB12" s="239"/>
      <c r="MC12" s="239"/>
      <c r="MD12" s="239"/>
      <c r="ME12" s="239"/>
      <c r="MF12" s="239"/>
      <c r="MG12" s="239"/>
      <c r="MH12" s="239"/>
      <c r="MI12" s="239"/>
      <c r="MJ12" s="239"/>
      <c r="MK12" s="239"/>
      <c r="ML12" s="239"/>
      <c r="MM12" s="239"/>
      <c r="MN12" s="239"/>
      <c r="MO12" s="239"/>
      <c r="MP12" s="239"/>
      <c r="MQ12" s="239"/>
      <c r="MR12" s="239"/>
      <c r="MS12" s="239"/>
      <c r="MT12" s="239"/>
      <c r="MU12" s="239"/>
      <c r="MV12" s="239"/>
      <c r="MW12" s="239"/>
      <c r="MX12" s="239"/>
      <c r="MY12" s="239"/>
      <c r="MZ12" s="239"/>
      <c r="NA12" s="239"/>
      <c r="NB12" s="239"/>
      <c r="NC12" s="239"/>
      <c r="ND12" s="239"/>
      <c r="NE12" s="239"/>
      <c r="NF12" s="239"/>
      <c r="NG12" s="239"/>
      <c r="NH12" s="239"/>
      <c r="NI12" s="239"/>
      <c r="NJ12" s="239"/>
      <c r="NK12" s="239"/>
      <c r="NL12" s="239"/>
      <c r="NM12" s="239"/>
      <c r="NN12" s="239"/>
      <c r="NO12" s="239"/>
      <c r="NP12" s="239"/>
      <c r="NQ12" s="239"/>
      <c r="NR12" s="239"/>
      <c r="NS12" s="239"/>
      <c r="NT12" s="239"/>
      <c r="NU12" s="239"/>
      <c r="NV12" s="239"/>
      <c r="NW12" s="239"/>
      <c r="NX12" s="239"/>
      <c r="NY12" s="239"/>
      <c r="NZ12" s="239"/>
      <c r="OA12" s="239"/>
      <c r="OB12" s="239"/>
      <c r="OC12" s="239"/>
      <c r="OD12" s="239"/>
      <c r="OE12" s="239"/>
      <c r="OF12" s="239"/>
      <c r="OG12" s="239"/>
      <c r="OH12" s="239"/>
      <c r="OI12" s="239"/>
      <c r="OJ12" s="239"/>
      <c r="OK12" s="239"/>
      <c r="OL12" s="239"/>
      <c r="OM12" s="239"/>
      <c r="ON12" s="239"/>
      <c r="OO12" s="239"/>
      <c r="OP12" s="239"/>
      <c r="OQ12" s="239"/>
      <c r="OR12" s="239"/>
      <c r="OS12" s="239"/>
      <c r="OT12" s="239"/>
      <c r="OU12" s="239"/>
      <c r="OV12" s="239"/>
      <c r="OW12" s="239"/>
      <c r="OX12" s="239"/>
      <c r="OY12" s="239"/>
      <c r="OZ12" s="239"/>
      <c r="PA12" s="239"/>
      <c r="PB12" s="239"/>
      <c r="PC12" s="239"/>
      <c r="PD12" s="239"/>
      <c r="PE12" s="239"/>
      <c r="PF12" s="239"/>
      <c r="PG12" s="239"/>
      <c r="PH12" s="239"/>
      <c r="PI12" s="239"/>
      <c r="PJ12" s="239"/>
      <c r="PK12" s="239"/>
      <c r="PL12" s="239"/>
      <c r="PM12" s="239"/>
      <c r="PN12" s="239"/>
      <c r="PO12" s="239"/>
      <c r="PP12" s="239"/>
      <c r="PQ12" s="239"/>
      <c r="PR12" s="239"/>
      <c r="PS12" s="239"/>
      <c r="PT12" s="239"/>
      <c r="PU12" s="239"/>
      <c r="PV12" s="239"/>
      <c r="PW12" s="239"/>
      <c r="PX12" s="239"/>
      <c r="PY12" s="239"/>
      <c r="PZ12" s="239"/>
      <c r="QA12" s="239"/>
      <c r="QB12" s="239"/>
      <c r="QC12" s="239"/>
      <c r="QD12" s="239"/>
      <c r="QE12" s="239"/>
      <c r="QF12" s="239"/>
      <c r="QG12" s="239"/>
      <c r="QH12" s="239"/>
      <c r="QI12" s="239"/>
      <c r="QJ12" s="239"/>
      <c r="QK12" s="239"/>
      <c r="QL12" s="239"/>
      <c r="QM12" s="239"/>
      <c r="QN12" s="239"/>
      <c r="QO12" s="239"/>
      <c r="QP12" s="239"/>
      <c r="QQ12" s="239"/>
      <c r="QR12" s="239"/>
      <c r="QS12" s="239"/>
      <c r="QT12" s="239"/>
      <c r="QU12" s="239"/>
      <c r="QV12" s="239"/>
      <c r="QW12" s="239"/>
      <c r="QX12" s="239"/>
      <c r="QY12" s="239"/>
      <c r="QZ12" s="239"/>
      <c r="RA12" s="239"/>
      <c r="RB12" s="239"/>
      <c r="RC12" s="239"/>
      <c r="RD12" s="239"/>
      <c r="RE12" s="239"/>
      <c r="RF12" s="239"/>
      <c r="RG12" s="239"/>
      <c r="RH12" s="239"/>
      <c r="RI12" s="239"/>
      <c r="RJ12" s="239"/>
      <c r="RK12" s="239"/>
      <c r="RL12" s="239"/>
      <c r="RM12" s="239"/>
      <c r="RN12" s="239"/>
      <c r="RO12" s="239"/>
      <c r="RP12" s="239"/>
      <c r="RQ12" s="239"/>
      <c r="RR12" s="239"/>
      <c r="RS12" s="239"/>
      <c r="RT12" s="239"/>
      <c r="RU12" s="239"/>
      <c r="RV12" s="239"/>
      <c r="RW12" s="239"/>
      <c r="RX12" s="239"/>
      <c r="RY12" s="239"/>
      <c r="RZ12" s="239"/>
      <c r="SA12" s="239"/>
      <c r="SB12" s="239"/>
      <c r="SC12" s="239"/>
      <c r="SD12" s="239"/>
      <c r="SE12" s="239"/>
      <c r="SF12" s="239"/>
      <c r="SG12" s="239"/>
      <c r="SH12" s="239"/>
      <c r="SI12" s="239"/>
      <c r="SJ12" s="239"/>
      <c r="SK12" s="239"/>
      <c r="SL12" s="239"/>
      <c r="SM12" s="239"/>
      <c r="SN12" s="239"/>
      <c r="SO12" s="239"/>
      <c r="SP12" s="239"/>
      <c r="SQ12" s="239"/>
      <c r="SR12" s="239"/>
      <c r="SS12" s="239"/>
      <c r="ST12" s="239"/>
      <c r="SU12" s="239"/>
      <c r="SV12" s="239"/>
      <c r="SW12" s="239"/>
      <c r="SX12" s="239"/>
      <c r="SY12" s="239"/>
      <c r="SZ12" s="239"/>
      <c r="TA12" s="239"/>
      <c r="TB12" s="239"/>
      <c r="TC12" s="239"/>
      <c r="TD12" s="239"/>
      <c r="TE12" s="239"/>
      <c r="TF12" s="239"/>
      <c r="TG12" s="239"/>
      <c r="TH12" s="239"/>
      <c r="TI12" s="239"/>
      <c r="TJ12" s="239"/>
      <c r="TK12" s="239"/>
      <c r="TL12" s="239"/>
      <c r="TM12" s="239"/>
      <c r="TN12" s="239"/>
      <c r="TO12" s="239"/>
      <c r="TP12" s="239"/>
      <c r="TQ12" s="239"/>
      <c r="TR12" s="239"/>
      <c r="TS12" s="239"/>
      <c r="TT12" s="239"/>
      <c r="TU12" s="239"/>
      <c r="TV12" s="239"/>
      <c r="TW12" s="239"/>
      <c r="TX12" s="239"/>
      <c r="TY12" s="239"/>
      <c r="TZ12" s="239"/>
      <c r="UA12" s="239"/>
      <c r="UB12" s="239"/>
      <c r="UC12" s="239"/>
      <c r="UD12" s="239"/>
      <c r="UE12" s="239"/>
      <c r="UF12" s="239"/>
      <c r="UG12" s="239"/>
      <c r="UH12" s="239"/>
      <c r="UI12" s="239"/>
      <c r="UJ12" s="239"/>
      <c r="UK12" s="239"/>
      <c r="UL12" s="239"/>
      <c r="UM12" s="239"/>
      <c r="UN12" s="239"/>
      <c r="UO12" s="239"/>
      <c r="UP12" s="239"/>
      <c r="UQ12" s="239"/>
      <c r="UR12" s="239"/>
      <c r="US12" s="239"/>
      <c r="UT12" s="239"/>
      <c r="UU12" s="239"/>
      <c r="UV12" s="239"/>
      <c r="UW12" s="239"/>
      <c r="UX12" s="239"/>
      <c r="UY12" s="239"/>
      <c r="UZ12" s="239"/>
      <c r="VA12" s="239"/>
      <c r="VB12" s="239"/>
      <c r="VC12" s="239"/>
      <c r="VD12" s="239"/>
      <c r="VE12" s="239"/>
      <c r="VF12" s="239"/>
      <c r="VG12" s="239"/>
      <c r="VH12" s="239"/>
      <c r="VI12" s="239"/>
      <c r="VJ12" s="239"/>
      <c r="VK12" s="239"/>
      <c r="VL12" s="239"/>
      <c r="VM12" s="239"/>
      <c r="VN12" s="239"/>
      <c r="VO12" s="239"/>
      <c r="VP12" s="239"/>
      <c r="VQ12" s="239"/>
      <c r="VR12" s="239"/>
      <c r="VS12" s="239"/>
      <c r="VT12" s="239"/>
      <c r="VU12" s="239"/>
      <c r="VV12" s="239"/>
      <c r="VW12" s="239"/>
      <c r="VX12" s="239"/>
      <c r="VY12" s="239"/>
      <c r="VZ12" s="239"/>
      <c r="WA12" s="239"/>
      <c r="WB12" s="239"/>
      <c r="WC12" s="239"/>
      <c r="WD12" s="239"/>
      <c r="WE12" s="239"/>
      <c r="WF12" s="239"/>
      <c r="WG12" s="239"/>
      <c r="WH12" s="239"/>
      <c r="WI12" s="239"/>
      <c r="WJ12" s="239"/>
      <c r="WK12" s="239"/>
      <c r="WL12" s="239"/>
      <c r="WM12" s="239"/>
      <c r="WN12" s="239"/>
      <c r="WO12" s="239"/>
      <c r="WP12" s="239"/>
      <c r="WQ12" s="239"/>
      <c r="WR12" s="239"/>
      <c r="WS12" s="239"/>
      <c r="WT12" s="239"/>
      <c r="WU12" s="239"/>
      <c r="WV12" s="239"/>
      <c r="WW12" s="239"/>
      <c r="WX12" s="239"/>
      <c r="WY12" s="239"/>
      <c r="WZ12" s="239"/>
      <c r="XA12" s="239"/>
      <c r="XB12" s="239"/>
      <c r="XC12" s="239"/>
      <c r="XD12" s="239"/>
      <c r="XE12" s="239"/>
      <c r="XF12" s="239"/>
      <c r="XG12" s="239"/>
      <c r="XH12" s="239"/>
      <c r="XI12" s="239"/>
      <c r="XJ12" s="239"/>
      <c r="XK12" s="239"/>
      <c r="XL12" s="239"/>
      <c r="XM12" s="239"/>
      <c r="XN12" s="239"/>
      <c r="XO12" s="239"/>
      <c r="XP12" s="239"/>
      <c r="XQ12" s="239"/>
      <c r="XR12" s="239"/>
      <c r="XS12" s="239"/>
      <c r="XT12" s="239"/>
      <c r="XU12" s="239"/>
      <c r="XV12" s="239"/>
      <c r="XW12" s="239"/>
      <c r="XX12" s="239"/>
      <c r="XY12" s="239"/>
      <c r="XZ12" s="239"/>
      <c r="YA12" s="239"/>
      <c r="YB12" s="239"/>
      <c r="YC12" s="239"/>
      <c r="YD12" s="239"/>
      <c r="YE12" s="239"/>
      <c r="YF12" s="239"/>
      <c r="YG12" s="239"/>
      <c r="YH12" s="239"/>
      <c r="YI12" s="239"/>
      <c r="YJ12" s="239"/>
      <c r="YK12" s="239"/>
      <c r="YL12" s="239"/>
      <c r="YM12" s="239"/>
      <c r="YN12" s="239"/>
      <c r="YO12" s="239"/>
      <c r="YP12" s="239"/>
      <c r="YQ12" s="239"/>
      <c r="YR12" s="239"/>
      <c r="YS12" s="239"/>
      <c r="YT12" s="239"/>
      <c r="YU12" s="239"/>
      <c r="YV12" s="239"/>
      <c r="YW12" s="239"/>
      <c r="YX12" s="239"/>
      <c r="YY12" s="239"/>
      <c r="YZ12" s="239"/>
      <c r="ZA12" s="239"/>
      <c r="ZB12" s="239"/>
      <c r="ZC12" s="239"/>
      <c r="ZD12" s="239"/>
      <c r="ZE12" s="239"/>
      <c r="ZF12" s="239"/>
      <c r="ZG12" s="239"/>
      <c r="ZH12" s="239"/>
      <c r="ZI12" s="239"/>
      <c r="ZJ12" s="239"/>
      <c r="ZK12" s="239"/>
      <c r="ZL12" s="239"/>
      <c r="ZM12" s="239"/>
      <c r="ZN12" s="239"/>
      <c r="ZO12" s="239"/>
      <c r="ZP12" s="239"/>
      <c r="ZQ12" s="239"/>
      <c r="ZR12" s="239"/>
      <c r="ZS12" s="239"/>
      <c r="ZT12" s="239"/>
      <c r="ZU12" s="239"/>
      <c r="ZV12" s="239"/>
      <c r="ZW12" s="239"/>
      <c r="ZX12" s="239"/>
      <c r="ZY12" s="239"/>
      <c r="ZZ12" s="239"/>
      <c r="AAA12" s="239"/>
      <c r="AAB12" s="239"/>
      <c r="AAC12" s="239"/>
      <c r="AAD12" s="239"/>
      <c r="AAE12" s="239"/>
      <c r="AAF12" s="239"/>
      <c r="AAG12" s="239"/>
      <c r="AAH12" s="239"/>
      <c r="AAI12" s="239"/>
      <c r="AAJ12" s="239"/>
      <c r="AAK12" s="239"/>
      <c r="AAL12" s="239"/>
      <c r="AAM12" s="239"/>
      <c r="AAN12" s="239"/>
      <c r="AAO12" s="239"/>
      <c r="AAP12" s="239"/>
      <c r="AAQ12" s="239"/>
      <c r="AAR12" s="239"/>
      <c r="AAS12" s="239"/>
      <c r="AAT12" s="239"/>
      <c r="AAU12" s="239"/>
      <c r="AAV12" s="239"/>
      <c r="AAW12" s="239"/>
      <c r="AAX12" s="239"/>
      <c r="AAY12" s="239"/>
      <c r="AAZ12" s="239"/>
      <c r="ABA12" s="239"/>
      <c r="ABB12" s="239"/>
      <c r="ABC12" s="239"/>
      <c r="ABD12" s="239"/>
      <c r="ABE12" s="239"/>
      <c r="ABF12" s="239"/>
      <c r="ABG12" s="239"/>
      <c r="ABH12" s="239"/>
      <c r="ABI12" s="239"/>
      <c r="ABJ12" s="239"/>
      <c r="ABK12" s="239"/>
      <c r="ABL12" s="239"/>
      <c r="ABM12" s="239"/>
      <c r="ABN12" s="239"/>
      <c r="ABO12" s="239"/>
      <c r="ABP12" s="239"/>
      <c r="ABQ12" s="239"/>
      <c r="ABR12" s="239"/>
      <c r="ABS12" s="239"/>
      <c r="ABT12" s="239"/>
      <c r="ABU12" s="239"/>
      <c r="ABV12" s="239"/>
      <c r="ABW12" s="239"/>
      <c r="ABX12" s="239"/>
      <c r="ABY12" s="239"/>
      <c r="ABZ12" s="239"/>
      <c r="ACA12" s="239"/>
      <c r="ACB12" s="239"/>
      <c r="ACC12" s="239"/>
      <c r="ACD12" s="239"/>
      <c r="ACE12" s="239"/>
      <c r="ACF12" s="239"/>
      <c r="ACG12" s="239"/>
      <c r="ACH12" s="239"/>
      <c r="ACI12" s="239"/>
      <c r="ACJ12" s="239"/>
      <c r="ACK12" s="239"/>
      <c r="ACL12" s="239"/>
      <c r="ACM12" s="239"/>
      <c r="ACN12" s="239"/>
      <c r="ACO12" s="239"/>
      <c r="ACP12" s="239"/>
      <c r="ACQ12" s="239"/>
      <c r="ACR12" s="239"/>
      <c r="ACS12" s="239"/>
      <c r="ACT12" s="239"/>
      <c r="ACU12" s="239"/>
      <c r="ACV12" s="239"/>
      <c r="ACW12" s="239"/>
      <c r="ACX12" s="239"/>
      <c r="ACY12" s="239"/>
      <c r="ACZ12" s="239"/>
      <c r="ADA12" s="239"/>
      <c r="ADB12" s="239"/>
      <c r="ADC12" s="239"/>
      <c r="ADD12" s="239"/>
      <c r="ADE12" s="239"/>
      <c r="ADF12" s="239"/>
      <c r="ADG12" s="239"/>
      <c r="ADH12" s="239"/>
      <c r="ADI12" s="239"/>
      <c r="ADJ12" s="239"/>
      <c r="ADK12" s="239"/>
      <c r="ADL12" s="239"/>
      <c r="ADM12" s="239"/>
      <c r="ADN12" s="239"/>
      <c r="ADO12" s="239"/>
      <c r="ADP12" s="239"/>
      <c r="ADQ12" s="239"/>
      <c r="ADR12" s="239"/>
      <c r="ADS12" s="239"/>
      <c r="ADT12" s="239"/>
      <c r="ADU12" s="239"/>
      <c r="ADV12" s="239"/>
      <c r="ADW12" s="239"/>
      <c r="ADX12" s="239"/>
      <c r="ADY12" s="239"/>
      <c r="ADZ12" s="239"/>
      <c r="AEA12" s="239"/>
      <c r="AEB12" s="239"/>
      <c r="AEC12" s="239"/>
      <c r="AED12" s="239"/>
      <c r="AEE12" s="239"/>
      <c r="AEF12" s="239"/>
      <c r="AEG12" s="239"/>
      <c r="AEH12" s="239"/>
      <c r="AEI12" s="239"/>
      <c r="AEJ12" s="239"/>
      <c r="AEK12" s="239"/>
      <c r="AEL12" s="239"/>
      <c r="AEM12" s="239"/>
      <c r="AEN12" s="239"/>
      <c r="AEO12" s="239"/>
      <c r="AEP12" s="239"/>
      <c r="AEQ12" s="239"/>
      <c r="AER12" s="239"/>
      <c r="AES12" s="239"/>
      <c r="AET12" s="239"/>
      <c r="AEU12" s="239"/>
      <c r="AEV12" s="239"/>
      <c r="AEW12" s="239"/>
      <c r="AEX12" s="239"/>
      <c r="AEY12" s="239"/>
      <c r="AEZ12" s="239"/>
      <c r="AFA12" s="239"/>
      <c r="AFB12" s="239"/>
      <c r="AFC12" s="239"/>
      <c r="AFD12" s="239"/>
      <c r="AFE12" s="239"/>
      <c r="AFF12" s="239"/>
      <c r="AFG12" s="239"/>
      <c r="AFH12" s="239"/>
      <c r="AFI12" s="239"/>
      <c r="AFJ12" s="239"/>
      <c r="AFK12" s="239"/>
      <c r="AFL12" s="239"/>
      <c r="AFM12" s="239"/>
      <c r="AFN12" s="239"/>
      <c r="AFO12" s="239"/>
      <c r="AFP12" s="239"/>
      <c r="AFQ12" s="239"/>
      <c r="AFR12" s="239"/>
      <c r="AFS12" s="239"/>
      <c r="AFT12" s="239"/>
      <c r="AFU12" s="239"/>
      <c r="AFV12" s="239"/>
      <c r="AFW12" s="239"/>
      <c r="AFX12" s="239"/>
      <c r="AFY12" s="239"/>
      <c r="AFZ12" s="239"/>
      <c r="AGA12" s="239"/>
      <c r="AGB12" s="239"/>
      <c r="AGC12" s="239"/>
      <c r="AGD12" s="239"/>
      <c r="AGE12" s="239"/>
      <c r="AGF12" s="239"/>
      <c r="AGG12" s="239"/>
      <c r="AGH12" s="239"/>
      <c r="AGI12" s="239"/>
      <c r="AGJ12" s="239"/>
      <c r="AGK12" s="239"/>
      <c r="AGL12" s="239"/>
      <c r="AGM12" s="239"/>
      <c r="AGN12" s="239"/>
      <c r="AGO12" s="239"/>
      <c r="AGP12" s="239"/>
      <c r="AGQ12" s="239"/>
      <c r="AGR12" s="239"/>
      <c r="AGS12" s="239"/>
      <c r="AGT12" s="239"/>
      <c r="AGU12" s="239"/>
      <c r="AGV12" s="239"/>
      <c r="AGW12" s="239"/>
      <c r="AGX12" s="239"/>
      <c r="AGY12" s="239"/>
      <c r="AGZ12" s="239"/>
      <c r="AHA12" s="239"/>
      <c r="AHB12" s="239"/>
      <c r="AHC12" s="239"/>
      <c r="AHD12" s="239"/>
      <c r="AHE12" s="239"/>
      <c r="AHF12" s="239"/>
      <c r="AHG12" s="239"/>
      <c r="AHH12" s="239"/>
      <c r="AHI12" s="239"/>
      <c r="AHJ12" s="239"/>
      <c r="AHK12" s="239"/>
      <c r="AHL12" s="239"/>
      <c r="AHM12" s="239"/>
      <c r="AHN12" s="239"/>
      <c r="AHO12" s="239"/>
      <c r="AHP12" s="239"/>
      <c r="AHQ12" s="239"/>
      <c r="AHR12" s="239"/>
      <c r="AHS12" s="239"/>
      <c r="AHT12" s="239"/>
      <c r="AHU12" s="239"/>
      <c r="AHV12" s="239"/>
      <c r="AHW12" s="239"/>
      <c r="AHX12" s="239"/>
      <c r="AHY12" s="239"/>
      <c r="AHZ12" s="239"/>
      <c r="AIA12" s="239"/>
      <c r="AIB12" s="239"/>
      <c r="AIC12" s="239"/>
      <c r="AID12" s="239"/>
      <c r="AIE12" s="239"/>
      <c r="AIF12" s="239"/>
      <c r="AIG12" s="239"/>
      <c r="AIH12" s="239"/>
      <c r="AII12" s="239"/>
      <c r="AIJ12" s="239"/>
      <c r="AIK12" s="239"/>
      <c r="AIL12" s="239"/>
      <c r="AIM12" s="239"/>
      <c r="AIN12" s="239"/>
      <c r="AIO12" s="239"/>
      <c r="AIP12" s="239"/>
      <c r="AIQ12" s="239"/>
      <c r="AIR12" s="239"/>
      <c r="AIS12" s="239"/>
      <c r="AIT12" s="239"/>
      <c r="AIU12" s="239"/>
      <c r="AIV12" s="239"/>
      <c r="AIW12" s="239"/>
      <c r="AIX12" s="239"/>
      <c r="AIY12" s="239"/>
      <c r="AIZ12" s="239"/>
      <c r="AJA12" s="239"/>
      <c r="AJB12" s="239"/>
      <c r="AJC12" s="239"/>
      <c r="AJD12" s="239"/>
      <c r="AJE12" s="239"/>
      <c r="AJF12" s="239"/>
      <c r="AJG12" s="239"/>
      <c r="AJH12" s="239"/>
      <c r="AJI12" s="239"/>
      <c r="AJJ12" s="239"/>
      <c r="AJK12" s="239"/>
      <c r="AJL12" s="239"/>
      <c r="AJM12" s="239"/>
      <c r="AJN12" s="239"/>
      <c r="AJO12" s="239"/>
      <c r="AJP12" s="239"/>
      <c r="AJQ12" s="239"/>
      <c r="AJR12" s="239"/>
      <c r="AJS12" s="239"/>
      <c r="AJT12" s="239"/>
      <c r="AJU12" s="239"/>
      <c r="AJV12" s="239"/>
      <c r="AJW12" s="239"/>
      <c r="AJX12" s="239"/>
      <c r="AJY12" s="239"/>
      <c r="AJZ12" s="239"/>
      <c r="AKA12" s="239"/>
      <c r="AKB12" s="239"/>
      <c r="AKC12" s="239"/>
      <c r="AKD12" s="239"/>
      <c r="AKE12" s="239"/>
      <c r="AKF12" s="239"/>
      <c r="AKG12" s="239"/>
      <c r="AKH12" s="239"/>
      <c r="AKI12" s="239"/>
      <c r="AKJ12" s="239"/>
      <c r="AKK12" s="239"/>
      <c r="AKL12" s="239"/>
      <c r="AKM12" s="239"/>
      <c r="AKN12" s="239"/>
      <c r="AKO12" s="239"/>
      <c r="AKP12" s="239"/>
      <c r="AKQ12" s="239"/>
      <c r="AKR12" s="239"/>
      <c r="AKS12" s="239"/>
      <c r="AKT12" s="239"/>
      <c r="AKU12" s="239"/>
      <c r="AKV12" s="239"/>
      <c r="AKW12" s="239"/>
      <c r="AKX12" s="239"/>
      <c r="AKY12" s="239"/>
      <c r="AKZ12" s="239"/>
      <c r="ALA12" s="239"/>
      <c r="ALB12" s="239"/>
      <c r="ALC12" s="239"/>
      <c r="ALD12" s="239"/>
      <c r="ALE12" s="239"/>
      <c r="ALF12" s="239"/>
      <c r="ALG12" s="239"/>
      <c r="ALH12" s="239"/>
      <c r="ALI12" s="239"/>
      <c r="ALJ12" s="239"/>
      <c r="ALK12" s="239"/>
      <c r="ALL12" s="239"/>
      <c r="ALM12" s="239"/>
      <c r="ALN12" s="239"/>
      <c r="ALO12" s="239"/>
      <c r="ALP12" s="239"/>
      <c r="ALQ12" s="239"/>
      <c r="ALR12" s="239"/>
      <c r="ALS12" s="239"/>
      <c r="ALT12" s="239"/>
      <c r="ALU12" s="239"/>
      <c r="ALV12" s="239"/>
      <c r="ALW12" s="239"/>
      <c r="ALX12" s="239"/>
      <c r="ALY12" s="239"/>
      <c r="ALZ12" s="239"/>
      <c r="AMA12" s="239"/>
      <c r="AMB12" s="239"/>
      <c r="AMC12" s="239"/>
      <c r="AMD12" s="239"/>
      <c r="AME12" s="239"/>
      <c r="AMF12" s="239"/>
      <c r="AMG12" s="239"/>
      <c r="AMH12" s="239"/>
      <c r="AMI12" s="239"/>
      <c r="AMJ12" s="239"/>
      <c r="AMK12" s="239"/>
      <c r="AML12" s="239"/>
      <c r="AMM12" s="239"/>
      <c r="AMN12" s="239"/>
      <c r="AMO12" s="239"/>
      <c r="AMP12" s="239"/>
      <c r="AMQ12" s="239"/>
      <c r="AMR12" s="239"/>
      <c r="AMS12" s="239"/>
      <c r="AMT12" s="239"/>
      <c r="AMU12" s="239"/>
      <c r="AMV12" s="239"/>
      <c r="AMW12" s="239"/>
      <c r="AMX12" s="239"/>
      <c r="AMY12" s="239"/>
      <c r="AMZ12" s="239"/>
      <c r="ANA12" s="239"/>
      <c r="ANB12" s="239"/>
      <c r="ANC12" s="239"/>
      <c r="AND12" s="239"/>
      <c r="ANE12" s="239"/>
      <c r="ANF12" s="239"/>
      <c r="ANG12" s="239"/>
      <c r="ANH12" s="239"/>
      <c r="ANI12" s="239"/>
      <c r="ANJ12" s="239"/>
      <c r="ANK12" s="239"/>
      <c r="ANL12" s="239"/>
      <c r="ANM12" s="239"/>
      <c r="ANN12" s="239"/>
      <c r="ANO12" s="239"/>
      <c r="ANP12" s="239"/>
      <c r="ANQ12" s="239"/>
      <c r="ANR12" s="239"/>
      <c r="ANS12" s="239"/>
      <c r="ANT12" s="239"/>
      <c r="ANU12" s="239"/>
      <c r="ANV12" s="239"/>
      <c r="ANW12" s="239"/>
      <c r="ANX12" s="239"/>
      <c r="ANY12" s="239"/>
      <c r="ANZ12" s="239"/>
      <c r="AOA12" s="239"/>
      <c r="AOB12" s="239"/>
      <c r="AOC12" s="239"/>
      <c r="AOD12" s="239"/>
      <c r="AOE12" s="239"/>
      <c r="AOF12" s="239"/>
      <c r="AOG12" s="239"/>
      <c r="AOH12" s="239"/>
      <c r="AOI12" s="239"/>
      <c r="AOJ12" s="239"/>
      <c r="AOK12" s="239"/>
      <c r="AOL12" s="239"/>
      <c r="AOM12" s="239"/>
      <c r="AON12" s="239"/>
      <c r="AOO12" s="239"/>
      <c r="AOP12" s="239"/>
      <c r="AOQ12" s="239"/>
      <c r="AOR12" s="239"/>
      <c r="AOS12" s="239"/>
      <c r="AOT12" s="239"/>
      <c r="AOU12" s="239"/>
      <c r="AOV12" s="239"/>
      <c r="AOW12" s="239"/>
      <c r="AOX12" s="239"/>
      <c r="AOY12" s="239"/>
      <c r="AOZ12" s="239"/>
      <c r="APA12" s="239"/>
      <c r="APB12" s="239"/>
      <c r="APC12" s="239"/>
      <c r="APD12" s="239"/>
      <c r="APE12" s="239"/>
      <c r="APF12" s="239"/>
      <c r="APG12" s="239"/>
      <c r="APH12" s="239"/>
      <c r="API12" s="239"/>
      <c r="APJ12" s="239"/>
      <c r="APK12" s="239"/>
      <c r="APL12" s="239"/>
      <c r="APM12" s="239"/>
      <c r="APN12" s="239"/>
      <c r="APO12" s="239"/>
      <c r="APP12" s="239"/>
      <c r="APQ12" s="239"/>
      <c r="APR12" s="239"/>
      <c r="APS12" s="239"/>
      <c r="APT12" s="239"/>
      <c r="APU12" s="239"/>
      <c r="APV12" s="239"/>
      <c r="APW12" s="239"/>
      <c r="APX12" s="239"/>
      <c r="APY12" s="239"/>
      <c r="APZ12" s="239"/>
      <c r="AQA12" s="239"/>
      <c r="AQB12" s="239"/>
      <c r="AQC12" s="239"/>
      <c r="AQD12" s="239"/>
      <c r="AQE12" s="239"/>
      <c r="AQF12" s="239"/>
      <c r="AQG12" s="239"/>
      <c r="AQH12" s="239"/>
      <c r="AQI12" s="239"/>
      <c r="AQJ12" s="239"/>
      <c r="AQK12" s="239"/>
      <c r="AQL12" s="239"/>
      <c r="AQM12" s="239"/>
      <c r="AQN12" s="239"/>
      <c r="AQO12" s="239"/>
      <c r="AQP12" s="239"/>
      <c r="AQQ12" s="239"/>
      <c r="AQR12" s="239"/>
      <c r="AQS12" s="239"/>
      <c r="AQT12" s="239"/>
      <c r="AQU12" s="239"/>
      <c r="AQV12" s="239"/>
      <c r="AQW12" s="239"/>
      <c r="AQX12" s="239"/>
      <c r="AQY12" s="239"/>
      <c r="AQZ12" s="239"/>
      <c r="ARA12" s="239"/>
      <c r="ARB12" s="239"/>
      <c r="ARC12" s="239"/>
      <c r="ARD12" s="239"/>
      <c r="ARE12" s="239"/>
      <c r="ARF12" s="239"/>
      <c r="ARG12" s="239"/>
      <c r="ARH12" s="239"/>
      <c r="ARI12" s="239"/>
      <c r="ARJ12" s="239"/>
      <c r="ARK12" s="239"/>
      <c r="ARL12" s="239"/>
      <c r="ARM12" s="239"/>
      <c r="ARN12" s="239"/>
      <c r="ARO12" s="239"/>
      <c r="ARP12" s="239"/>
      <c r="ARQ12" s="239"/>
      <c r="ARR12" s="239"/>
      <c r="ARS12" s="239"/>
      <c r="ART12" s="239"/>
      <c r="ARU12" s="239"/>
      <c r="ARV12" s="239"/>
      <c r="ARW12" s="239"/>
      <c r="ARX12" s="239"/>
      <c r="ARY12" s="239"/>
      <c r="ARZ12" s="239"/>
      <c r="ASA12" s="239"/>
      <c r="ASB12" s="239"/>
      <c r="ASC12" s="239"/>
      <c r="ASD12" s="239"/>
      <c r="ASE12" s="239"/>
      <c r="ASF12" s="239"/>
      <c r="ASG12" s="239"/>
      <c r="ASH12" s="239"/>
      <c r="ASI12" s="239"/>
      <c r="ASJ12" s="239"/>
      <c r="ASK12" s="239"/>
      <c r="ASL12" s="239"/>
      <c r="ASM12" s="239"/>
      <c r="ASN12" s="239"/>
      <c r="ASO12" s="239"/>
      <c r="ASP12" s="239"/>
      <c r="ASQ12" s="239"/>
      <c r="ASR12" s="239"/>
      <c r="ASS12" s="239"/>
      <c r="AST12" s="239"/>
      <c r="ASU12" s="239"/>
      <c r="ASV12" s="239"/>
      <c r="ASW12" s="239"/>
      <c r="ASX12" s="239"/>
      <c r="ASY12" s="239"/>
      <c r="ASZ12" s="239"/>
      <c r="ATA12" s="239"/>
      <c r="ATB12" s="239"/>
      <c r="ATC12" s="239"/>
      <c r="ATD12" s="239"/>
      <c r="ATE12" s="239"/>
      <c r="ATF12" s="239"/>
      <c r="ATG12" s="239"/>
      <c r="ATH12" s="239"/>
      <c r="ATI12" s="239"/>
      <c r="ATJ12" s="239"/>
      <c r="ATK12" s="239"/>
      <c r="ATL12" s="239"/>
      <c r="ATM12" s="239"/>
      <c r="ATN12" s="239"/>
      <c r="ATO12" s="239"/>
      <c r="ATP12" s="239"/>
      <c r="ATQ12" s="239"/>
      <c r="ATR12" s="239"/>
      <c r="ATS12" s="239"/>
      <c r="ATT12" s="239"/>
      <c r="ATU12" s="239"/>
      <c r="ATV12" s="239"/>
      <c r="ATW12" s="239"/>
      <c r="ATX12" s="239"/>
      <c r="ATY12" s="239"/>
      <c r="ATZ12" s="239"/>
      <c r="AUA12" s="239"/>
      <c r="AUB12" s="239"/>
      <c r="AUC12" s="239"/>
      <c r="AUD12" s="239"/>
      <c r="AUE12" s="239"/>
      <c r="AUF12" s="239"/>
      <c r="AUG12" s="239"/>
      <c r="AUH12" s="239"/>
      <c r="AUI12" s="239"/>
      <c r="AUJ12" s="239"/>
      <c r="AUK12" s="239"/>
      <c r="AUL12" s="239"/>
      <c r="AUM12" s="239"/>
      <c r="AUN12" s="239"/>
      <c r="AUO12" s="239"/>
      <c r="AUP12" s="239"/>
      <c r="AUQ12" s="239"/>
      <c r="AUR12" s="239"/>
      <c r="AUS12" s="239"/>
      <c r="AUT12" s="239"/>
      <c r="AUU12" s="239"/>
      <c r="AUV12" s="239"/>
      <c r="AUW12" s="239"/>
      <c r="AUX12" s="239"/>
      <c r="AUY12" s="239"/>
      <c r="AUZ12" s="239"/>
      <c r="AVA12" s="239"/>
      <c r="AVB12" s="239"/>
      <c r="AVC12" s="239"/>
      <c r="AVD12" s="239"/>
      <c r="AVE12" s="239"/>
      <c r="AVF12" s="239"/>
      <c r="AVG12" s="239"/>
      <c r="AVH12" s="239"/>
      <c r="AVI12" s="239"/>
      <c r="AVJ12" s="239"/>
      <c r="AVK12" s="239"/>
      <c r="AVL12" s="239"/>
      <c r="AVM12" s="239"/>
      <c r="AVN12" s="239"/>
      <c r="AVO12" s="239"/>
      <c r="AVP12" s="239"/>
      <c r="AVQ12" s="239"/>
      <c r="AVR12" s="239"/>
      <c r="AVS12" s="239"/>
      <c r="AVT12" s="239"/>
      <c r="AVU12" s="239"/>
      <c r="AVV12" s="239"/>
      <c r="AVW12" s="239"/>
      <c r="AVX12" s="239"/>
      <c r="AVY12" s="239"/>
      <c r="AVZ12" s="239"/>
      <c r="AWA12" s="239"/>
      <c r="AWB12" s="239"/>
      <c r="AWC12" s="239"/>
      <c r="AWD12" s="239"/>
      <c r="AWE12" s="239"/>
      <c r="AWF12" s="239"/>
      <c r="AWG12" s="239"/>
      <c r="AWH12" s="239"/>
      <c r="AWI12" s="239"/>
      <c r="AWJ12" s="239"/>
      <c r="AWK12" s="239"/>
      <c r="AWL12" s="239"/>
      <c r="AWM12" s="239"/>
      <c r="AWN12" s="239"/>
      <c r="AWO12" s="239"/>
      <c r="AWP12" s="239"/>
      <c r="AWQ12" s="239"/>
      <c r="AWR12" s="239"/>
      <c r="AWS12" s="239"/>
      <c r="AWT12" s="239"/>
      <c r="AWU12" s="239"/>
      <c r="AWV12" s="239"/>
      <c r="AWW12" s="239"/>
      <c r="AWX12" s="239"/>
      <c r="AWY12" s="239"/>
      <c r="AWZ12" s="239"/>
      <c r="AXA12" s="239"/>
      <c r="AXB12" s="239"/>
      <c r="AXC12" s="239"/>
      <c r="AXD12" s="239"/>
      <c r="AXE12" s="239"/>
      <c r="AXF12" s="239"/>
      <c r="AXG12" s="239"/>
      <c r="AXH12" s="239"/>
      <c r="AXI12" s="239"/>
      <c r="AXJ12" s="239"/>
      <c r="AXK12" s="239"/>
      <c r="AXL12" s="239"/>
      <c r="AXM12" s="239"/>
      <c r="AXN12" s="239"/>
      <c r="AXO12" s="239"/>
      <c r="AXP12" s="239"/>
      <c r="AXQ12" s="239"/>
      <c r="AXR12" s="239"/>
      <c r="AXS12" s="239"/>
      <c r="AXT12" s="239"/>
      <c r="AXU12" s="239"/>
      <c r="AXV12" s="239"/>
      <c r="AXW12" s="239"/>
      <c r="AXX12" s="239"/>
      <c r="AXY12" s="239"/>
      <c r="AXZ12" s="239"/>
      <c r="AYA12" s="239"/>
      <c r="AYB12" s="239"/>
      <c r="AYC12" s="239"/>
      <c r="AYD12" s="239"/>
      <c r="AYE12" s="239"/>
      <c r="AYF12" s="239"/>
      <c r="AYG12" s="239"/>
      <c r="AYH12" s="239"/>
      <c r="AYI12" s="239"/>
      <c r="AYJ12" s="239"/>
      <c r="AYK12" s="239"/>
      <c r="AYL12" s="239"/>
      <c r="AYM12" s="239"/>
      <c r="AYN12" s="239"/>
      <c r="AYO12" s="239"/>
      <c r="AYP12" s="239"/>
      <c r="AYQ12" s="239"/>
      <c r="AYR12" s="239"/>
      <c r="AYS12" s="239"/>
      <c r="AYT12" s="239"/>
      <c r="AYU12" s="239"/>
      <c r="AYV12" s="239"/>
      <c r="AYW12" s="239"/>
      <c r="AYX12" s="239"/>
      <c r="AYY12" s="239"/>
      <c r="AYZ12" s="239"/>
      <c r="AZA12" s="239"/>
      <c r="AZB12" s="239"/>
      <c r="AZC12" s="239"/>
      <c r="AZD12" s="239"/>
      <c r="AZE12" s="239"/>
      <c r="AZF12" s="239"/>
      <c r="AZG12" s="239"/>
      <c r="AZH12" s="239"/>
      <c r="AZI12" s="239"/>
      <c r="AZJ12" s="239"/>
      <c r="AZK12" s="239"/>
      <c r="AZL12" s="239"/>
      <c r="AZM12" s="239"/>
      <c r="AZN12" s="239"/>
      <c r="AZO12" s="239"/>
      <c r="AZP12" s="239"/>
      <c r="AZQ12" s="239"/>
      <c r="AZR12" s="239"/>
      <c r="AZS12" s="239"/>
      <c r="AZT12" s="239"/>
      <c r="AZU12" s="239"/>
      <c r="AZV12" s="239"/>
      <c r="AZW12" s="239"/>
      <c r="AZX12" s="239"/>
      <c r="AZY12" s="239"/>
      <c r="AZZ12" s="239"/>
      <c r="BAA12" s="239"/>
      <c r="BAB12" s="239"/>
      <c r="BAC12" s="239"/>
      <c r="BAD12" s="239"/>
      <c r="BAE12" s="239"/>
      <c r="BAF12" s="239"/>
      <c r="BAG12" s="239"/>
      <c r="BAH12" s="239"/>
      <c r="BAI12" s="239"/>
      <c r="BAJ12" s="239"/>
      <c r="BAK12" s="239"/>
      <c r="BAL12" s="239"/>
      <c r="BAM12" s="239"/>
      <c r="BAN12" s="239"/>
      <c r="BAO12" s="239"/>
      <c r="BAP12" s="239"/>
      <c r="BAQ12" s="239"/>
      <c r="BAR12" s="239"/>
      <c r="BAS12" s="239"/>
      <c r="BAT12" s="239"/>
      <c r="BAU12" s="239"/>
      <c r="BAV12" s="239"/>
      <c r="BAW12" s="239"/>
      <c r="BAX12" s="239"/>
      <c r="BAY12" s="239"/>
      <c r="BAZ12" s="239"/>
      <c r="BBA12" s="239"/>
      <c r="BBB12" s="239"/>
      <c r="BBC12" s="239"/>
      <c r="BBD12" s="239"/>
      <c r="BBE12" s="239"/>
      <c r="BBF12" s="239"/>
      <c r="BBG12" s="239"/>
      <c r="BBH12" s="239"/>
      <c r="BBI12" s="239"/>
      <c r="BBJ12" s="239"/>
      <c r="BBK12" s="239"/>
      <c r="BBL12" s="239"/>
      <c r="BBM12" s="239"/>
      <c r="BBN12" s="239"/>
      <c r="BBO12" s="239"/>
      <c r="BBP12" s="239"/>
      <c r="BBQ12" s="239"/>
      <c r="BBR12" s="239"/>
      <c r="BBS12" s="239"/>
      <c r="BBT12" s="239"/>
      <c r="BBU12" s="239"/>
      <c r="BBV12" s="239"/>
      <c r="BBW12" s="239"/>
      <c r="BBX12" s="239"/>
      <c r="BBY12" s="239"/>
      <c r="BBZ12" s="239"/>
      <c r="BCA12" s="239"/>
      <c r="BCB12" s="239"/>
      <c r="BCC12" s="239"/>
      <c r="BCD12" s="239"/>
      <c r="BCE12" s="239"/>
      <c r="BCF12" s="239"/>
      <c r="BCG12" s="239"/>
      <c r="BCH12" s="239"/>
      <c r="BCI12" s="239"/>
      <c r="BCJ12" s="239"/>
      <c r="BCK12" s="239"/>
      <c r="BCL12" s="239"/>
      <c r="BCM12" s="239"/>
      <c r="BCN12" s="239"/>
      <c r="BCO12" s="239"/>
      <c r="BCP12" s="239"/>
      <c r="BCQ12" s="239"/>
      <c r="BCR12" s="239"/>
      <c r="BCS12" s="239"/>
      <c r="BCT12" s="239"/>
      <c r="BCU12" s="239"/>
      <c r="BCV12" s="239"/>
      <c r="BCW12" s="239"/>
      <c r="BCX12" s="239"/>
      <c r="BCY12" s="239"/>
      <c r="BCZ12" s="239"/>
      <c r="BDA12" s="239"/>
      <c r="BDB12" s="239"/>
      <c r="BDC12" s="239"/>
      <c r="BDD12" s="239"/>
      <c r="BDE12" s="239"/>
      <c r="BDF12" s="239"/>
      <c r="BDG12" s="239"/>
      <c r="BDH12" s="239"/>
      <c r="BDI12" s="239"/>
      <c r="BDJ12" s="239"/>
      <c r="BDK12" s="239"/>
      <c r="BDL12" s="239"/>
      <c r="BDM12" s="239"/>
      <c r="BDN12" s="239"/>
      <c r="BDO12" s="239"/>
      <c r="BDP12" s="239"/>
      <c r="BDQ12" s="239"/>
      <c r="BDR12" s="239"/>
      <c r="BDS12" s="239"/>
      <c r="BDT12" s="239"/>
      <c r="BDU12" s="239"/>
      <c r="BDV12" s="239"/>
      <c r="BDW12" s="239"/>
      <c r="BDX12" s="239"/>
      <c r="BDY12" s="239"/>
      <c r="BDZ12" s="239"/>
      <c r="BEA12" s="239"/>
      <c r="BEB12" s="239"/>
      <c r="BEC12" s="239"/>
      <c r="BED12" s="239"/>
      <c r="BEE12" s="239"/>
      <c r="BEF12" s="239"/>
      <c r="BEG12" s="239"/>
      <c r="BEH12" s="239"/>
      <c r="BEI12" s="239"/>
      <c r="BEJ12" s="239"/>
      <c r="BEK12" s="239"/>
      <c r="BEL12" s="239"/>
      <c r="BEM12" s="239"/>
      <c r="BEN12" s="239"/>
      <c r="BEO12" s="239"/>
      <c r="BEP12" s="239"/>
      <c r="BEQ12" s="239"/>
      <c r="BER12" s="239"/>
      <c r="BES12" s="239"/>
      <c r="BET12" s="239"/>
      <c r="BEU12" s="239"/>
      <c r="BEV12" s="239"/>
      <c r="BEW12" s="239"/>
      <c r="BEX12" s="239"/>
      <c r="BEY12" s="239"/>
      <c r="BEZ12" s="239"/>
      <c r="BFA12" s="239"/>
      <c r="BFB12" s="239"/>
      <c r="BFC12" s="239"/>
      <c r="BFD12" s="239"/>
      <c r="BFE12" s="239"/>
      <c r="BFF12" s="239"/>
      <c r="BFG12" s="239"/>
      <c r="BFH12" s="239"/>
      <c r="BFI12" s="239"/>
      <c r="BFJ12" s="239"/>
      <c r="BFK12" s="239"/>
      <c r="BFL12" s="239"/>
      <c r="BFM12" s="239"/>
      <c r="BFN12" s="239"/>
      <c r="BFO12" s="239"/>
      <c r="BFP12" s="239"/>
      <c r="BFQ12" s="239"/>
      <c r="BFR12" s="239"/>
      <c r="BFS12" s="239"/>
      <c r="BFT12" s="239"/>
      <c r="BFU12" s="239"/>
      <c r="BFV12" s="239"/>
      <c r="BFW12" s="239"/>
      <c r="BFX12" s="239"/>
      <c r="BFY12" s="239"/>
      <c r="BFZ12" s="239"/>
      <c r="BGA12" s="239"/>
      <c r="BGB12" s="239"/>
      <c r="BGC12" s="239"/>
      <c r="BGD12" s="239"/>
      <c r="BGE12" s="239"/>
      <c r="BGF12" s="239"/>
      <c r="BGG12" s="239"/>
      <c r="BGH12" s="239"/>
      <c r="BGI12" s="239"/>
      <c r="BGJ12" s="239"/>
      <c r="BGK12" s="239"/>
      <c r="BGL12" s="239"/>
      <c r="BGM12" s="239"/>
      <c r="BGN12" s="239"/>
      <c r="BGO12" s="239"/>
      <c r="BGP12" s="239"/>
      <c r="BGQ12" s="239"/>
      <c r="BGR12" s="239"/>
      <c r="BGS12" s="239"/>
      <c r="BGT12" s="239"/>
      <c r="BGU12" s="239"/>
      <c r="BGV12" s="239"/>
      <c r="BGW12" s="239"/>
      <c r="BGX12" s="239"/>
      <c r="BGY12" s="239"/>
      <c r="BGZ12" s="239"/>
      <c r="BHA12" s="239"/>
      <c r="BHB12" s="239"/>
      <c r="BHC12" s="239"/>
      <c r="BHD12" s="239"/>
      <c r="BHE12" s="239"/>
      <c r="BHF12" s="239"/>
      <c r="BHG12" s="239"/>
      <c r="BHH12" s="239"/>
      <c r="BHI12" s="239"/>
      <c r="BHJ12" s="239"/>
      <c r="BHK12" s="239"/>
      <c r="BHL12" s="239"/>
      <c r="BHM12" s="239"/>
      <c r="BHN12" s="239"/>
      <c r="BHO12" s="239"/>
      <c r="BHP12" s="239"/>
      <c r="BHQ12" s="239"/>
      <c r="BHR12" s="239"/>
      <c r="BHS12" s="239"/>
      <c r="BHT12" s="239"/>
      <c r="BHU12" s="239"/>
      <c r="BHV12" s="239"/>
      <c r="BHW12" s="239"/>
      <c r="BHX12" s="239"/>
      <c r="BHY12" s="239"/>
      <c r="BHZ12" s="239"/>
      <c r="BIA12" s="239"/>
      <c r="BIB12" s="239"/>
      <c r="BIC12" s="239"/>
      <c r="BID12" s="239"/>
      <c r="BIE12" s="239"/>
      <c r="BIF12" s="239"/>
      <c r="BIG12" s="239"/>
      <c r="BIH12" s="239"/>
      <c r="BII12" s="239"/>
      <c r="BIJ12" s="239"/>
      <c r="BIK12" s="239"/>
      <c r="BIL12" s="239"/>
      <c r="BIM12" s="239"/>
      <c r="BIN12" s="239"/>
      <c r="BIO12" s="239"/>
      <c r="BIP12" s="239"/>
      <c r="BIQ12" s="239"/>
      <c r="BIR12" s="239"/>
      <c r="BIS12" s="239"/>
      <c r="BIT12" s="239"/>
      <c r="BIU12" s="239"/>
      <c r="BIV12" s="239"/>
      <c r="BIW12" s="239"/>
      <c r="BIX12" s="239"/>
      <c r="BIY12" s="239"/>
      <c r="BIZ12" s="239"/>
      <c r="BJA12" s="239"/>
      <c r="BJB12" s="239"/>
      <c r="BJC12" s="239"/>
      <c r="BJD12" s="239"/>
      <c r="BJE12" s="239"/>
      <c r="BJF12" s="239"/>
      <c r="BJG12" s="239"/>
      <c r="BJH12" s="239"/>
      <c r="BJI12" s="239"/>
      <c r="BJJ12" s="239"/>
      <c r="BJK12" s="239"/>
      <c r="BJL12" s="239"/>
      <c r="BJM12" s="239"/>
      <c r="BJN12" s="239"/>
      <c r="BJO12" s="239"/>
      <c r="BJP12" s="239"/>
      <c r="BJQ12" s="239"/>
      <c r="BJR12" s="239"/>
      <c r="BJS12" s="239"/>
      <c r="BJT12" s="239"/>
      <c r="BJU12" s="239"/>
      <c r="BJV12" s="239"/>
      <c r="BJW12" s="239"/>
      <c r="BJX12" s="239"/>
      <c r="BJY12" s="239"/>
      <c r="BJZ12" s="239"/>
      <c r="BKA12" s="239"/>
      <c r="BKB12" s="239"/>
      <c r="BKC12" s="239"/>
      <c r="BKD12" s="239"/>
      <c r="BKE12" s="239"/>
      <c r="BKF12" s="239"/>
      <c r="BKG12" s="239"/>
      <c r="BKH12" s="239"/>
      <c r="BKI12" s="239"/>
      <c r="BKJ12" s="239"/>
      <c r="BKK12" s="239"/>
      <c r="BKL12" s="239"/>
      <c r="BKM12" s="239"/>
      <c r="BKN12" s="239"/>
      <c r="BKO12" s="239"/>
      <c r="BKP12" s="239"/>
      <c r="BKQ12" s="239"/>
      <c r="BKR12" s="239"/>
      <c r="BKS12" s="239"/>
      <c r="BKT12" s="239"/>
      <c r="BKU12" s="239"/>
      <c r="BKV12" s="239"/>
      <c r="BKW12" s="239"/>
      <c r="BKX12" s="239"/>
      <c r="BKY12" s="239"/>
      <c r="BKZ12" s="239"/>
      <c r="BLA12" s="239"/>
      <c r="BLB12" s="239"/>
      <c r="BLC12" s="239"/>
      <c r="BLD12" s="239"/>
      <c r="BLE12" s="239"/>
      <c r="BLF12" s="239"/>
      <c r="BLG12" s="239"/>
      <c r="BLH12" s="239"/>
      <c r="BLI12" s="239"/>
      <c r="BLJ12" s="239"/>
      <c r="BLK12" s="239"/>
      <c r="BLL12" s="239"/>
      <c r="BLM12" s="239"/>
      <c r="BLN12" s="239"/>
      <c r="BLO12" s="239"/>
      <c r="BLP12" s="239"/>
      <c r="BLQ12" s="239"/>
      <c r="BLR12" s="239"/>
      <c r="BLS12" s="239"/>
      <c r="BLT12" s="239"/>
      <c r="BLU12" s="239"/>
      <c r="BLV12" s="239"/>
      <c r="BLW12" s="239"/>
      <c r="BLX12" s="239"/>
      <c r="BLY12" s="239"/>
      <c r="BLZ12" s="239"/>
      <c r="BMA12" s="239"/>
      <c r="BMB12" s="239"/>
      <c r="BMC12" s="239"/>
      <c r="BMD12" s="239"/>
      <c r="BME12" s="239"/>
      <c r="BMF12" s="239"/>
      <c r="BMG12" s="239"/>
      <c r="BMH12" s="239"/>
      <c r="BMI12" s="239"/>
      <c r="BMJ12" s="239"/>
      <c r="BMK12" s="239"/>
      <c r="BML12" s="239"/>
      <c r="BMM12" s="239"/>
      <c r="BMN12" s="239"/>
      <c r="BMO12" s="239"/>
      <c r="BMP12" s="239"/>
      <c r="BMQ12" s="239"/>
      <c r="BMR12" s="239"/>
      <c r="BMS12" s="239"/>
      <c r="BMT12" s="239"/>
      <c r="BMU12" s="239"/>
      <c r="BMV12" s="239"/>
      <c r="BMW12" s="239"/>
      <c r="BMX12" s="239"/>
      <c r="BMY12" s="239"/>
      <c r="BMZ12" s="239"/>
      <c r="BNA12" s="239"/>
      <c r="BNB12" s="239"/>
      <c r="BNC12" s="239"/>
      <c r="BND12" s="239"/>
      <c r="BNE12" s="239"/>
      <c r="BNF12" s="239"/>
      <c r="BNG12" s="239"/>
      <c r="BNH12" s="239"/>
      <c r="BNI12" s="239"/>
      <c r="BNJ12" s="239"/>
      <c r="BNK12" s="239"/>
      <c r="BNL12" s="239"/>
      <c r="BNM12" s="239"/>
      <c r="BNN12" s="239"/>
      <c r="BNO12" s="239"/>
      <c r="BNP12" s="239"/>
      <c r="BNQ12" s="239"/>
      <c r="BNR12" s="239"/>
      <c r="BNS12" s="239"/>
      <c r="BNT12" s="239"/>
      <c r="BNU12" s="239"/>
      <c r="BNV12" s="239"/>
      <c r="BNW12" s="239"/>
      <c r="BNX12" s="239"/>
      <c r="BNY12" s="239"/>
      <c r="BNZ12" s="239"/>
      <c r="BOA12" s="239"/>
      <c r="BOB12" s="239"/>
      <c r="BOC12" s="239"/>
      <c r="BOD12" s="239"/>
      <c r="BOE12" s="239"/>
      <c r="BOF12" s="239"/>
      <c r="BOG12" s="239"/>
      <c r="BOH12" s="239"/>
      <c r="BOI12" s="239"/>
      <c r="BOJ12" s="239"/>
      <c r="BOK12" s="239"/>
      <c r="BOL12" s="239"/>
      <c r="BOM12" s="239"/>
      <c r="BON12" s="239"/>
      <c r="BOO12" s="239"/>
      <c r="BOP12" s="239"/>
      <c r="BOQ12" s="239"/>
      <c r="BOR12" s="239"/>
      <c r="BOS12" s="239"/>
      <c r="BOT12" s="239"/>
      <c r="BOU12" s="239"/>
      <c r="BOV12" s="239"/>
      <c r="BOW12" s="239"/>
      <c r="BOX12" s="239"/>
      <c r="BOY12" s="239"/>
      <c r="BOZ12" s="239"/>
      <c r="BPA12" s="239"/>
      <c r="BPB12" s="239"/>
      <c r="BPC12" s="239"/>
      <c r="BPD12" s="239"/>
      <c r="BPE12" s="239"/>
      <c r="BPF12" s="239"/>
      <c r="BPG12" s="239"/>
      <c r="BPH12" s="239"/>
      <c r="BPI12" s="239"/>
      <c r="BPJ12" s="239"/>
      <c r="BPK12" s="239"/>
      <c r="BPL12" s="239"/>
      <c r="BPM12" s="239"/>
      <c r="BPN12" s="239"/>
      <c r="BPO12" s="239"/>
      <c r="BPP12" s="239"/>
      <c r="BPQ12" s="239"/>
      <c r="BPR12" s="239"/>
      <c r="BPS12" s="239"/>
      <c r="BPT12" s="239"/>
      <c r="BPU12" s="239"/>
      <c r="BPV12" s="239"/>
      <c r="BPW12" s="239"/>
      <c r="BPX12" s="239"/>
      <c r="BPY12" s="239"/>
      <c r="BPZ12" s="239"/>
      <c r="BQA12" s="239"/>
      <c r="BQB12" s="239"/>
      <c r="BQC12" s="239"/>
      <c r="BQD12" s="239"/>
      <c r="BQE12" s="239"/>
      <c r="BQF12" s="239"/>
      <c r="BQG12" s="239"/>
      <c r="BQH12" s="239"/>
      <c r="BQI12" s="239"/>
      <c r="BQJ12" s="239"/>
      <c r="BQK12" s="239"/>
      <c r="BQL12" s="239"/>
      <c r="BQM12" s="239"/>
      <c r="BQN12" s="239"/>
      <c r="BQO12" s="239"/>
      <c r="BQP12" s="239"/>
      <c r="BQQ12" s="239"/>
      <c r="BQR12" s="239"/>
      <c r="BQS12" s="239"/>
      <c r="BQT12" s="239"/>
      <c r="BQU12" s="239"/>
      <c r="BQV12" s="239"/>
      <c r="BQW12" s="239"/>
      <c r="BQX12" s="239"/>
      <c r="BQY12" s="239"/>
      <c r="BQZ12" s="239"/>
      <c r="BRA12" s="239"/>
      <c r="BRB12" s="239"/>
      <c r="BRC12" s="239"/>
      <c r="BRD12" s="239"/>
      <c r="BRE12" s="239"/>
      <c r="BRF12" s="239"/>
      <c r="BRG12" s="239"/>
      <c r="BRH12" s="239"/>
      <c r="BRI12" s="239"/>
      <c r="BRJ12" s="239"/>
      <c r="BRK12" s="239"/>
      <c r="BRL12" s="239"/>
      <c r="BRM12" s="239"/>
      <c r="BRN12" s="239"/>
      <c r="BRO12" s="239"/>
      <c r="BRP12" s="239"/>
      <c r="BRQ12" s="239"/>
      <c r="BRR12" s="239"/>
      <c r="BRS12" s="239"/>
      <c r="BRT12" s="239"/>
      <c r="BRU12" s="239"/>
      <c r="BRV12" s="239"/>
      <c r="BRW12" s="239"/>
      <c r="BRX12" s="239"/>
      <c r="BRY12" s="239"/>
      <c r="BRZ12" s="239"/>
      <c r="BSA12" s="239"/>
      <c r="BSB12" s="239"/>
      <c r="BSC12" s="239"/>
      <c r="BSD12" s="239"/>
      <c r="BSE12" s="239"/>
      <c r="BSF12" s="239"/>
      <c r="BSG12" s="239"/>
      <c r="BSH12" s="239"/>
      <c r="BSI12" s="239"/>
      <c r="BSJ12" s="239"/>
      <c r="BSK12" s="239"/>
      <c r="BSL12" s="239"/>
      <c r="BSM12" s="239"/>
      <c r="BSN12" s="239"/>
      <c r="BSO12" s="239"/>
      <c r="BSP12" s="239"/>
      <c r="BSQ12" s="239"/>
      <c r="BSR12" s="239"/>
      <c r="BSS12" s="239"/>
      <c r="BST12" s="239"/>
      <c r="BSU12" s="239"/>
      <c r="BSV12" s="239"/>
      <c r="BSW12" s="239"/>
      <c r="BSX12" s="239"/>
      <c r="BSY12" s="239"/>
      <c r="BSZ12" s="239"/>
      <c r="BTA12" s="239"/>
      <c r="BTB12" s="239"/>
      <c r="BTC12" s="239"/>
      <c r="BTD12" s="239"/>
      <c r="BTE12" s="239"/>
      <c r="BTF12" s="239"/>
      <c r="BTG12" s="239"/>
      <c r="BTH12" s="239"/>
      <c r="BTI12" s="239"/>
      <c r="BTJ12" s="239"/>
      <c r="BTK12" s="239"/>
      <c r="BTL12" s="239"/>
      <c r="BTM12" s="239"/>
      <c r="BTN12" s="239"/>
      <c r="BTO12" s="239"/>
      <c r="BTP12" s="239"/>
      <c r="BTQ12" s="239"/>
      <c r="BTR12" s="239"/>
      <c r="BTS12" s="239"/>
      <c r="BTT12" s="239"/>
      <c r="BTU12" s="239"/>
      <c r="BTV12" s="239"/>
      <c r="BTW12" s="239"/>
      <c r="BTX12" s="239"/>
      <c r="BTY12" s="239"/>
      <c r="BTZ12" s="239"/>
      <c r="BUA12" s="239"/>
      <c r="BUB12" s="239"/>
      <c r="BUC12" s="239"/>
      <c r="BUD12" s="239"/>
      <c r="BUE12" s="239"/>
      <c r="BUF12" s="239"/>
      <c r="BUG12" s="239"/>
      <c r="BUH12" s="239"/>
      <c r="BUI12" s="239"/>
      <c r="BUJ12" s="239"/>
      <c r="BUK12" s="239"/>
      <c r="BUL12" s="239"/>
      <c r="BUM12" s="239"/>
      <c r="BUN12" s="239"/>
      <c r="BUO12" s="239"/>
      <c r="BUP12" s="239"/>
      <c r="BUQ12" s="239"/>
      <c r="BUR12" s="239"/>
      <c r="BUS12" s="239"/>
      <c r="BUT12" s="239"/>
      <c r="BUU12" s="239"/>
      <c r="BUV12" s="239"/>
      <c r="BUW12" s="239"/>
      <c r="BUX12" s="239"/>
      <c r="BUY12" s="239"/>
      <c r="BUZ12" s="239"/>
      <c r="BVA12" s="239"/>
      <c r="BVB12" s="239"/>
      <c r="BVC12" s="239"/>
      <c r="BVD12" s="239"/>
      <c r="BVE12" s="239"/>
      <c r="BVF12" s="239"/>
      <c r="BVG12" s="239"/>
      <c r="BVH12" s="239"/>
      <c r="BVI12" s="239"/>
      <c r="BVJ12" s="239"/>
      <c r="BVK12" s="239"/>
      <c r="BVL12" s="239"/>
      <c r="BVM12" s="239"/>
      <c r="BVN12" s="239"/>
      <c r="BVO12" s="239"/>
      <c r="BVP12" s="239"/>
      <c r="BVQ12" s="239"/>
      <c r="BVR12" s="239"/>
      <c r="BVS12" s="239"/>
      <c r="BVT12" s="239"/>
      <c r="BVU12" s="239"/>
      <c r="BVV12" s="239"/>
      <c r="BVW12" s="239"/>
      <c r="BVX12" s="239"/>
      <c r="BVY12" s="239"/>
      <c r="BVZ12" s="239"/>
      <c r="BWA12" s="239"/>
      <c r="BWB12" s="239"/>
      <c r="BWC12" s="239"/>
      <c r="BWD12" s="239"/>
      <c r="BWE12" s="239"/>
      <c r="BWF12" s="239"/>
      <c r="BWG12" s="239"/>
      <c r="BWH12" s="239"/>
      <c r="BWI12" s="239"/>
      <c r="BWJ12" s="239"/>
      <c r="BWK12" s="239"/>
      <c r="BWL12" s="239"/>
      <c r="BWM12" s="239"/>
      <c r="BWN12" s="239"/>
      <c r="BWO12" s="239"/>
      <c r="BWP12" s="239"/>
      <c r="BWQ12" s="239"/>
      <c r="BWR12" s="239"/>
      <c r="BWS12" s="239"/>
      <c r="BWT12" s="239"/>
      <c r="BWU12" s="239"/>
      <c r="BWV12" s="239"/>
      <c r="BWW12" s="239"/>
      <c r="BWX12" s="239"/>
      <c r="BWY12" s="239"/>
      <c r="BWZ12" s="239"/>
      <c r="BXA12" s="239"/>
      <c r="BXB12" s="239"/>
      <c r="BXC12" s="239"/>
      <c r="BXD12" s="239"/>
      <c r="BXE12" s="239"/>
      <c r="BXF12" s="239"/>
      <c r="BXG12" s="239"/>
      <c r="BXH12" s="239"/>
      <c r="BXI12" s="239"/>
      <c r="BXJ12" s="239"/>
      <c r="BXK12" s="239"/>
      <c r="BXL12" s="239"/>
      <c r="BXM12" s="239"/>
      <c r="BXN12" s="239"/>
      <c r="BXO12" s="239"/>
      <c r="BXP12" s="239"/>
      <c r="BXQ12" s="239"/>
      <c r="BXR12" s="239"/>
      <c r="BXS12" s="239"/>
      <c r="BXT12" s="239"/>
      <c r="BXU12" s="239"/>
      <c r="BXV12" s="239"/>
      <c r="BXW12" s="239"/>
      <c r="BXX12" s="239"/>
      <c r="BXY12" s="239"/>
      <c r="BXZ12" s="239"/>
      <c r="BYA12" s="239"/>
      <c r="BYB12" s="239"/>
      <c r="BYC12" s="239"/>
      <c r="BYD12" s="239"/>
      <c r="BYE12" s="239"/>
      <c r="BYF12" s="239"/>
      <c r="BYG12" s="239"/>
      <c r="BYH12" s="239"/>
      <c r="BYI12" s="239"/>
      <c r="BYJ12" s="239"/>
      <c r="BYK12" s="239"/>
      <c r="BYL12" s="239"/>
      <c r="BYM12" s="239"/>
      <c r="BYN12" s="239"/>
      <c r="BYO12" s="239"/>
      <c r="BYP12" s="239"/>
      <c r="BYQ12" s="239"/>
      <c r="BYR12" s="239"/>
      <c r="BYS12" s="239"/>
      <c r="BYT12" s="239"/>
      <c r="BYU12" s="239"/>
      <c r="BYV12" s="239"/>
      <c r="BYW12" s="239"/>
      <c r="BYX12" s="239"/>
      <c r="BYY12" s="239"/>
      <c r="BYZ12" s="239"/>
      <c r="BZA12" s="239"/>
      <c r="BZB12" s="239"/>
      <c r="BZC12" s="239"/>
      <c r="BZD12" s="239"/>
      <c r="BZE12" s="239"/>
      <c r="BZF12" s="239"/>
      <c r="BZG12" s="239"/>
      <c r="BZH12" s="239"/>
      <c r="BZI12" s="239"/>
      <c r="BZJ12" s="239"/>
      <c r="BZK12" s="239"/>
      <c r="BZL12" s="239"/>
      <c r="BZM12" s="239"/>
      <c r="BZN12" s="239"/>
      <c r="BZO12" s="239"/>
      <c r="BZP12" s="239"/>
      <c r="BZQ12" s="239"/>
      <c r="BZR12" s="239"/>
      <c r="BZS12" s="239"/>
      <c r="BZT12" s="239"/>
      <c r="BZU12" s="239"/>
      <c r="BZV12" s="239"/>
      <c r="BZW12" s="239"/>
      <c r="BZX12" s="239"/>
      <c r="BZY12" s="239"/>
      <c r="BZZ12" s="239"/>
      <c r="CAA12" s="239"/>
      <c r="CAB12" s="239"/>
      <c r="CAC12" s="239"/>
      <c r="CAD12" s="239"/>
      <c r="CAE12" s="239"/>
      <c r="CAF12" s="239"/>
      <c r="CAG12" s="239"/>
      <c r="CAH12" s="239"/>
      <c r="CAI12" s="239"/>
      <c r="CAJ12" s="239"/>
      <c r="CAK12" s="239"/>
      <c r="CAL12" s="239"/>
      <c r="CAM12" s="239"/>
      <c r="CAN12" s="239"/>
      <c r="CAO12" s="239"/>
      <c r="CAP12" s="239"/>
      <c r="CAQ12" s="239"/>
      <c r="CAR12" s="239"/>
      <c r="CAS12" s="239"/>
      <c r="CAT12" s="239"/>
      <c r="CAU12" s="239"/>
      <c r="CAV12" s="239"/>
      <c r="CAW12" s="239"/>
      <c r="CAX12" s="239"/>
      <c r="CAY12" s="239"/>
      <c r="CAZ12" s="239"/>
      <c r="CBA12" s="239"/>
      <c r="CBB12" s="239"/>
      <c r="CBC12" s="239"/>
      <c r="CBD12" s="239"/>
      <c r="CBE12" s="239"/>
      <c r="CBF12" s="239"/>
      <c r="CBG12" s="239"/>
      <c r="CBH12" s="239"/>
      <c r="CBI12" s="239"/>
      <c r="CBJ12" s="239"/>
      <c r="CBK12" s="239"/>
      <c r="CBL12" s="239"/>
      <c r="CBM12" s="239"/>
      <c r="CBN12" s="239"/>
      <c r="CBO12" s="239"/>
      <c r="CBP12" s="239"/>
      <c r="CBQ12" s="239"/>
      <c r="CBR12" s="239"/>
      <c r="CBS12" s="239"/>
      <c r="CBT12" s="239"/>
      <c r="CBU12" s="239"/>
      <c r="CBV12" s="239"/>
      <c r="CBW12" s="239"/>
      <c r="CBX12" s="239"/>
      <c r="CBY12" s="239"/>
      <c r="CBZ12" s="239"/>
      <c r="CCA12" s="239"/>
      <c r="CCB12" s="239"/>
      <c r="CCC12" s="239"/>
      <c r="CCD12" s="239"/>
      <c r="CCE12" s="239"/>
      <c r="CCF12" s="239"/>
      <c r="CCG12" s="239"/>
      <c r="CCH12" s="239"/>
      <c r="CCI12" s="239"/>
      <c r="CCJ12" s="239"/>
      <c r="CCK12" s="239"/>
      <c r="CCL12" s="239"/>
      <c r="CCM12" s="239"/>
      <c r="CCN12" s="239"/>
      <c r="CCO12" s="239"/>
      <c r="CCP12" s="239"/>
      <c r="CCQ12" s="239"/>
      <c r="CCR12" s="239"/>
      <c r="CCS12" s="239"/>
      <c r="CCT12" s="239"/>
      <c r="CCU12" s="239"/>
      <c r="CCV12" s="239"/>
      <c r="CCW12" s="239"/>
      <c r="CCX12" s="239"/>
      <c r="CCY12" s="239"/>
      <c r="CCZ12" s="239"/>
      <c r="CDA12" s="239"/>
      <c r="CDB12" s="239"/>
      <c r="CDC12" s="239"/>
      <c r="CDD12" s="239"/>
      <c r="CDE12" s="239"/>
      <c r="CDF12" s="239"/>
      <c r="CDG12" s="239"/>
      <c r="CDH12" s="239"/>
      <c r="CDI12" s="239"/>
      <c r="CDJ12" s="239"/>
      <c r="CDK12" s="239"/>
      <c r="CDL12" s="239"/>
      <c r="CDM12" s="239"/>
      <c r="CDN12" s="239"/>
      <c r="CDO12" s="239"/>
      <c r="CDP12" s="239"/>
      <c r="CDQ12" s="239"/>
      <c r="CDR12" s="239"/>
      <c r="CDS12" s="239"/>
      <c r="CDT12" s="239"/>
      <c r="CDU12" s="239"/>
      <c r="CDV12" s="239"/>
      <c r="CDW12" s="239"/>
      <c r="CDX12" s="239"/>
      <c r="CDY12" s="239"/>
      <c r="CDZ12" s="239"/>
      <c r="CEA12" s="239"/>
      <c r="CEB12" s="239"/>
      <c r="CEC12" s="239"/>
      <c r="CED12" s="239"/>
      <c r="CEE12" s="239"/>
      <c r="CEF12" s="239"/>
      <c r="CEG12" s="239"/>
      <c r="CEH12" s="239"/>
      <c r="CEI12" s="239"/>
      <c r="CEJ12" s="239"/>
      <c r="CEK12" s="239"/>
      <c r="CEL12" s="239"/>
      <c r="CEM12" s="239"/>
      <c r="CEN12" s="239"/>
      <c r="CEO12" s="239"/>
      <c r="CEP12" s="239"/>
      <c r="CEQ12" s="239"/>
      <c r="CER12" s="239"/>
      <c r="CES12" s="239"/>
      <c r="CET12" s="239"/>
      <c r="CEU12" s="239"/>
      <c r="CEV12" s="239"/>
      <c r="CEW12" s="239"/>
      <c r="CEX12" s="239"/>
      <c r="CEY12" s="239"/>
      <c r="CEZ12" s="239"/>
      <c r="CFA12" s="239"/>
      <c r="CFB12" s="239"/>
      <c r="CFC12" s="239"/>
      <c r="CFD12" s="239"/>
      <c r="CFE12" s="239"/>
      <c r="CFF12" s="239"/>
      <c r="CFG12" s="239"/>
      <c r="CFH12" s="239"/>
      <c r="CFI12" s="239"/>
      <c r="CFJ12" s="239"/>
      <c r="CFK12" s="239"/>
      <c r="CFL12" s="239"/>
      <c r="CFM12" s="239"/>
      <c r="CFN12" s="239"/>
      <c r="CFO12" s="239"/>
      <c r="CFP12" s="239"/>
      <c r="CFQ12" s="239"/>
      <c r="CFR12" s="239"/>
      <c r="CFS12" s="239"/>
      <c r="CFT12" s="239"/>
      <c r="CFU12" s="239"/>
      <c r="CFV12" s="239"/>
      <c r="CFW12" s="239"/>
      <c r="CFX12" s="239"/>
      <c r="CFY12" s="239"/>
      <c r="CFZ12" s="239"/>
      <c r="CGA12" s="239"/>
      <c r="CGB12" s="239"/>
      <c r="CGC12" s="239"/>
      <c r="CGD12" s="239"/>
      <c r="CGE12" s="239"/>
      <c r="CGF12" s="239"/>
      <c r="CGG12" s="239"/>
      <c r="CGH12" s="239"/>
      <c r="CGI12" s="239"/>
      <c r="CGJ12" s="239"/>
      <c r="CGK12" s="239"/>
      <c r="CGL12" s="239"/>
      <c r="CGM12" s="239"/>
      <c r="CGN12" s="239"/>
      <c r="CGO12" s="239"/>
      <c r="CGP12" s="239"/>
      <c r="CGQ12" s="239"/>
      <c r="CGR12" s="239"/>
      <c r="CGS12" s="239"/>
      <c r="CGT12" s="239"/>
      <c r="CGU12" s="239"/>
      <c r="CGV12" s="239"/>
      <c r="CGW12" s="239"/>
      <c r="CGX12" s="239"/>
      <c r="CGY12" s="239"/>
      <c r="CGZ12" s="239"/>
      <c r="CHA12" s="239"/>
      <c r="CHB12" s="239"/>
      <c r="CHC12" s="239"/>
      <c r="CHD12" s="239"/>
      <c r="CHE12" s="239"/>
      <c r="CHF12" s="239"/>
      <c r="CHG12" s="239"/>
      <c r="CHH12" s="239"/>
      <c r="CHI12" s="239"/>
      <c r="CHJ12" s="239"/>
      <c r="CHK12" s="239"/>
      <c r="CHL12" s="239"/>
      <c r="CHM12" s="239"/>
      <c r="CHN12" s="239"/>
      <c r="CHO12" s="239"/>
      <c r="CHP12" s="239"/>
      <c r="CHQ12" s="239"/>
      <c r="CHR12" s="239"/>
      <c r="CHS12" s="239"/>
      <c r="CHT12" s="239"/>
      <c r="CHU12" s="239"/>
      <c r="CHV12" s="239"/>
      <c r="CHW12" s="239"/>
      <c r="CHX12" s="239"/>
      <c r="CHY12" s="239"/>
      <c r="CHZ12" s="239"/>
      <c r="CIA12" s="239"/>
      <c r="CIB12" s="239"/>
      <c r="CIC12" s="239"/>
      <c r="CID12" s="239"/>
      <c r="CIE12" s="239"/>
      <c r="CIF12" s="239"/>
      <c r="CIG12" s="239"/>
      <c r="CIH12" s="239"/>
      <c r="CII12" s="239"/>
      <c r="CIJ12" s="239"/>
      <c r="CIK12" s="239"/>
      <c r="CIL12" s="239"/>
      <c r="CIM12" s="239"/>
      <c r="CIN12" s="239"/>
      <c r="CIO12" s="239"/>
      <c r="CIP12" s="239"/>
      <c r="CIQ12" s="239"/>
      <c r="CIR12" s="239"/>
      <c r="CIS12" s="239"/>
      <c r="CIT12" s="239"/>
      <c r="CIU12" s="239"/>
      <c r="CIV12" s="239"/>
      <c r="CIW12" s="239"/>
      <c r="CIX12" s="239"/>
      <c r="CIY12" s="239"/>
      <c r="CIZ12" s="239"/>
      <c r="CJA12" s="239"/>
      <c r="CJB12" s="239"/>
      <c r="CJC12" s="239"/>
      <c r="CJD12" s="239"/>
      <c r="CJE12" s="239"/>
      <c r="CJF12" s="239"/>
      <c r="CJG12" s="239"/>
      <c r="CJH12" s="239"/>
      <c r="CJI12" s="239"/>
      <c r="CJJ12" s="239"/>
      <c r="CJK12" s="239"/>
      <c r="CJL12" s="239"/>
      <c r="CJM12" s="239"/>
      <c r="CJN12" s="239"/>
      <c r="CJO12" s="239"/>
      <c r="CJP12" s="239"/>
      <c r="CJQ12" s="239"/>
      <c r="CJR12" s="239"/>
      <c r="CJS12" s="239"/>
      <c r="CJT12" s="239"/>
      <c r="CJU12" s="239"/>
      <c r="CJV12" s="239"/>
      <c r="CJW12" s="239"/>
      <c r="CJX12" s="239"/>
      <c r="CJY12" s="239"/>
      <c r="CJZ12" s="239"/>
      <c r="CKA12" s="239"/>
      <c r="CKB12" s="239"/>
      <c r="CKC12" s="239"/>
      <c r="CKD12" s="239"/>
      <c r="CKE12" s="239"/>
      <c r="CKF12" s="239"/>
      <c r="CKG12" s="239"/>
      <c r="CKH12" s="239"/>
      <c r="CKI12" s="239"/>
      <c r="CKJ12" s="239"/>
      <c r="CKK12" s="239"/>
      <c r="CKL12" s="239"/>
      <c r="CKM12" s="239"/>
      <c r="CKN12" s="239"/>
      <c r="CKO12" s="239"/>
      <c r="CKP12" s="239"/>
      <c r="CKQ12" s="239"/>
      <c r="CKR12" s="239"/>
      <c r="CKS12" s="239"/>
      <c r="CKT12" s="239"/>
      <c r="CKU12" s="239"/>
      <c r="CKV12" s="239"/>
      <c r="CKW12" s="239"/>
      <c r="CKX12" s="239"/>
      <c r="CKY12" s="239"/>
      <c r="CKZ12" s="239"/>
      <c r="CLA12" s="239"/>
      <c r="CLB12" s="239"/>
      <c r="CLC12" s="239"/>
      <c r="CLD12" s="239"/>
      <c r="CLE12" s="239"/>
      <c r="CLF12" s="239"/>
      <c r="CLG12" s="239"/>
      <c r="CLH12" s="239"/>
      <c r="CLI12" s="239"/>
      <c r="CLJ12" s="239"/>
      <c r="CLK12" s="239"/>
      <c r="CLL12" s="239"/>
      <c r="CLM12" s="239"/>
      <c r="CLN12" s="239"/>
      <c r="CLO12" s="239"/>
      <c r="CLP12" s="239"/>
      <c r="CLQ12" s="239"/>
      <c r="CLR12" s="239"/>
      <c r="CLS12" s="239"/>
      <c r="CLT12" s="239"/>
      <c r="CLU12" s="239"/>
      <c r="CLV12" s="239"/>
      <c r="CLW12" s="239"/>
      <c r="CLX12" s="239"/>
      <c r="CLY12" s="239"/>
      <c r="CLZ12" s="239"/>
      <c r="CMA12" s="239"/>
      <c r="CMB12" s="239"/>
      <c r="CMC12" s="239"/>
      <c r="CMD12" s="239"/>
      <c r="CME12" s="239"/>
      <c r="CMF12" s="239"/>
      <c r="CMG12" s="239"/>
      <c r="CMH12" s="239"/>
      <c r="CMI12" s="239"/>
      <c r="CMJ12" s="239"/>
      <c r="CMK12" s="239"/>
      <c r="CML12" s="239"/>
      <c r="CMM12" s="239"/>
      <c r="CMN12" s="239"/>
      <c r="CMO12" s="239"/>
      <c r="CMP12" s="239"/>
      <c r="CMQ12" s="239"/>
      <c r="CMR12" s="239"/>
      <c r="CMS12" s="239"/>
      <c r="CMT12" s="239"/>
      <c r="CMU12" s="239"/>
      <c r="CMV12" s="239"/>
      <c r="CMW12" s="239"/>
      <c r="CMX12" s="239"/>
      <c r="CMY12" s="239"/>
      <c r="CMZ12" s="239"/>
      <c r="CNA12" s="239"/>
      <c r="CNB12" s="239"/>
      <c r="CNC12" s="239"/>
      <c r="CND12" s="239"/>
      <c r="CNE12" s="239"/>
      <c r="CNF12" s="239"/>
      <c r="CNG12" s="239"/>
      <c r="CNH12" s="239"/>
      <c r="CNI12" s="239"/>
      <c r="CNJ12" s="239"/>
      <c r="CNK12" s="239"/>
      <c r="CNL12" s="239"/>
      <c r="CNM12" s="239"/>
      <c r="CNN12" s="239"/>
      <c r="CNO12" s="239"/>
      <c r="CNP12" s="239"/>
      <c r="CNQ12" s="239"/>
      <c r="CNR12" s="239"/>
      <c r="CNS12" s="239"/>
      <c r="CNT12" s="239"/>
      <c r="CNU12" s="239"/>
      <c r="CNV12" s="239"/>
      <c r="CNW12" s="239"/>
      <c r="CNX12" s="239"/>
      <c r="CNY12" s="239"/>
      <c r="CNZ12" s="239"/>
      <c r="COA12" s="239"/>
      <c r="COB12" s="239"/>
      <c r="COC12" s="239"/>
      <c r="COD12" s="239"/>
      <c r="COE12" s="239"/>
      <c r="COF12" s="239"/>
      <c r="COG12" s="239"/>
      <c r="COH12" s="239"/>
      <c r="COI12" s="239"/>
      <c r="COJ12" s="239"/>
      <c r="COK12" s="239"/>
      <c r="COL12" s="239"/>
      <c r="COM12" s="239"/>
      <c r="CON12" s="239"/>
      <c r="COO12" s="239"/>
      <c r="COP12" s="239"/>
      <c r="COQ12" s="239"/>
      <c r="COR12" s="239"/>
      <c r="COS12" s="239"/>
      <c r="COT12" s="239"/>
      <c r="COU12" s="239"/>
      <c r="COV12" s="239"/>
      <c r="COW12" s="239"/>
      <c r="COX12" s="239"/>
      <c r="COY12" s="239"/>
      <c r="COZ12" s="239"/>
      <c r="CPA12" s="239"/>
      <c r="CPB12" s="239"/>
      <c r="CPC12" s="239"/>
      <c r="CPD12" s="239"/>
      <c r="CPE12" s="239"/>
      <c r="CPF12" s="239"/>
      <c r="CPG12" s="239"/>
      <c r="CPH12" s="239"/>
      <c r="CPI12" s="239"/>
      <c r="CPJ12" s="239"/>
      <c r="CPK12" s="239"/>
      <c r="CPL12" s="239"/>
      <c r="CPM12" s="239"/>
      <c r="CPN12" s="239"/>
      <c r="CPO12" s="239"/>
      <c r="CPP12" s="239"/>
      <c r="CPQ12" s="239"/>
      <c r="CPR12" s="239"/>
      <c r="CPS12" s="239"/>
      <c r="CPT12" s="239"/>
      <c r="CPU12" s="239"/>
      <c r="CPV12" s="239"/>
      <c r="CPW12" s="239"/>
      <c r="CPX12" s="239"/>
      <c r="CPY12" s="239"/>
      <c r="CPZ12" s="239"/>
      <c r="CQA12" s="239"/>
      <c r="CQB12" s="239"/>
      <c r="CQC12" s="239"/>
      <c r="CQD12" s="239"/>
      <c r="CQE12" s="239"/>
      <c r="CQF12" s="239"/>
      <c r="CQG12" s="239"/>
      <c r="CQH12" s="239"/>
      <c r="CQI12" s="239"/>
      <c r="CQJ12" s="239"/>
      <c r="CQK12" s="239"/>
      <c r="CQL12" s="239"/>
      <c r="CQM12" s="239"/>
      <c r="CQN12" s="239"/>
      <c r="CQO12" s="239"/>
      <c r="CQP12" s="239"/>
      <c r="CQQ12" s="239"/>
      <c r="CQR12" s="239"/>
      <c r="CQS12" s="239"/>
      <c r="CQT12" s="239"/>
      <c r="CQU12" s="239"/>
      <c r="CQV12" s="239"/>
      <c r="CQW12" s="239"/>
      <c r="CQX12" s="239"/>
      <c r="CQY12" s="239"/>
      <c r="CQZ12" s="239"/>
      <c r="CRA12" s="239"/>
      <c r="CRB12" s="239"/>
      <c r="CRC12" s="239"/>
      <c r="CRD12" s="239"/>
      <c r="CRE12" s="239"/>
      <c r="CRF12" s="239"/>
      <c r="CRG12" s="239"/>
      <c r="CRH12" s="239"/>
      <c r="CRI12" s="239"/>
      <c r="CRJ12" s="239"/>
      <c r="CRK12" s="239"/>
      <c r="CRL12" s="239"/>
      <c r="CRM12" s="239"/>
      <c r="CRN12" s="239"/>
      <c r="CRO12" s="239"/>
      <c r="CRP12" s="239"/>
      <c r="CRQ12" s="239"/>
      <c r="CRR12" s="239"/>
      <c r="CRS12" s="239"/>
      <c r="CRT12" s="239"/>
      <c r="CRU12" s="239"/>
      <c r="CRV12" s="239"/>
      <c r="CRW12" s="239"/>
      <c r="CRX12" s="239"/>
      <c r="CRY12" s="239"/>
      <c r="CRZ12" s="239"/>
      <c r="CSA12" s="239"/>
      <c r="CSB12" s="239"/>
      <c r="CSC12" s="239"/>
      <c r="CSD12" s="239"/>
      <c r="CSE12" s="239"/>
      <c r="CSF12" s="239"/>
      <c r="CSG12" s="239"/>
      <c r="CSH12" s="239"/>
      <c r="CSI12" s="239"/>
      <c r="CSJ12" s="239"/>
      <c r="CSK12" s="239"/>
      <c r="CSL12" s="239"/>
      <c r="CSM12" s="239"/>
      <c r="CSN12" s="239"/>
      <c r="CSO12" s="239"/>
      <c r="CSP12" s="239"/>
      <c r="CSQ12" s="239"/>
      <c r="CSR12" s="239"/>
      <c r="CSS12" s="239"/>
      <c r="CST12" s="239"/>
      <c r="CSU12" s="239"/>
      <c r="CSV12" s="239"/>
      <c r="CSW12" s="239"/>
      <c r="CSX12" s="239"/>
      <c r="CSY12" s="239"/>
      <c r="CSZ12" s="239"/>
      <c r="CTA12" s="239"/>
      <c r="CTB12" s="239"/>
      <c r="CTC12" s="239"/>
      <c r="CTD12" s="239"/>
      <c r="CTE12" s="239"/>
      <c r="CTF12" s="239"/>
      <c r="CTG12" s="239"/>
      <c r="CTH12" s="239"/>
      <c r="CTI12" s="239"/>
      <c r="CTJ12" s="239"/>
      <c r="CTK12" s="239"/>
      <c r="CTL12" s="239"/>
      <c r="CTM12" s="239"/>
      <c r="CTN12" s="239"/>
      <c r="CTO12" s="239"/>
      <c r="CTP12" s="239"/>
      <c r="CTQ12" s="239"/>
      <c r="CTR12" s="239"/>
      <c r="CTS12" s="239"/>
      <c r="CTT12" s="239"/>
      <c r="CTU12" s="239"/>
      <c r="CTV12" s="239"/>
      <c r="CTW12" s="239"/>
      <c r="CTX12" s="239"/>
      <c r="CTY12" s="239"/>
      <c r="CTZ12" s="239"/>
      <c r="CUA12" s="239"/>
      <c r="CUB12" s="239"/>
      <c r="CUC12" s="239"/>
      <c r="CUD12" s="239"/>
      <c r="CUE12" s="239"/>
      <c r="CUF12" s="239"/>
      <c r="CUG12" s="239"/>
      <c r="CUH12" s="239"/>
      <c r="CUI12" s="239"/>
      <c r="CUJ12" s="239"/>
      <c r="CUK12" s="239"/>
      <c r="CUL12" s="239"/>
      <c r="CUM12" s="239"/>
      <c r="CUN12" s="239"/>
      <c r="CUO12" s="239"/>
      <c r="CUP12" s="239"/>
      <c r="CUQ12" s="239"/>
      <c r="CUR12" s="239"/>
      <c r="CUS12" s="239"/>
      <c r="CUT12" s="239"/>
      <c r="CUU12" s="239"/>
      <c r="CUV12" s="239"/>
      <c r="CUW12" s="239"/>
      <c r="CUX12" s="239"/>
      <c r="CUY12" s="239"/>
      <c r="CUZ12" s="239"/>
      <c r="CVA12" s="239"/>
      <c r="CVB12" s="239"/>
      <c r="CVC12" s="239"/>
      <c r="CVD12" s="239"/>
      <c r="CVE12" s="239"/>
      <c r="CVF12" s="239"/>
      <c r="CVG12" s="239"/>
      <c r="CVH12" s="239"/>
      <c r="CVI12" s="239"/>
      <c r="CVJ12" s="239"/>
      <c r="CVK12" s="239"/>
      <c r="CVL12" s="239"/>
      <c r="CVM12" s="239"/>
      <c r="CVN12" s="239"/>
      <c r="CVO12" s="239"/>
      <c r="CVP12" s="239"/>
      <c r="CVQ12" s="239"/>
      <c r="CVR12" s="239"/>
      <c r="CVS12" s="239"/>
      <c r="CVT12" s="239"/>
      <c r="CVU12" s="239"/>
      <c r="CVV12" s="239"/>
      <c r="CVW12" s="239"/>
      <c r="CVX12" s="239"/>
      <c r="CVY12" s="239"/>
      <c r="CVZ12" s="239"/>
      <c r="CWA12" s="239"/>
      <c r="CWB12" s="239"/>
      <c r="CWC12" s="239"/>
      <c r="CWD12" s="239"/>
      <c r="CWE12" s="239"/>
      <c r="CWF12" s="239"/>
      <c r="CWG12" s="239"/>
      <c r="CWH12" s="239"/>
      <c r="CWI12" s="239"/>
      <c r="CWJ12" s="239"/>
      <c r="CWK12" s="239"/>
      <c r="CWL12" s="239"/>
      <c r="CWM12" s="239"/>
      <c r="CWN12" s="239"/>
      <c r="CWO12" s="239"/>
      <c r="CWP12" s="239"/>
      <c r="CWQ12" s="239"/>
      <c r="CWR12" s="239"/>
      <c r="CWS12" s="239"/>
      <c r="CWT12" s="239"/>
      <c r="CWU12" s="239"/>
      <c r="CWV12" s="239"/>
      <c r="CWW12" s="239"/>
      <c r="CWX12" s="239"/>
      <c r="CWY12" s="239"/>
      <c r="CWZ12" s="239"/>
      <c r="CXA12" s="239"/>
      <c r="CXB12" s="239"/>
      <c r="CXC12" s="239"/>
      <c r="CXD12" s="239"/>
      <c r="CXE12" s="239"/>
      <c r="CXF12" s="239"/>
      <c r="CXG12" s="239"/>
      <c r="CXH12" s="239"/>
      <c r="CXI12" s="239"/>
      <c r="CXJ12" s="239"/>
      <c r="CXK12" s="239"/>
      <c r="CXL12" s="239"/>
      <c r="CXM12" s="239"/>
      <c r="CXN12" s="239"/>
      <c r="CXO12" s="239"/>
      <c r="CXP12" s="239"/>
      <c r="CXQ12" s="239"/>
      <c r="CXR12" s="239"/>
      <c r="CXS12" s="239"/>
      <c r="CXT12" s="239"/>
      <c r="CXU12" s="239"/>
      <c r="CXV12" s="239"/>
      <c r="CXW12" s="239"/>
      <c r="CXX12" s="239"/>
      <c r="CXY12" s="239"/>
      <c r="CXZ12" s="239"/>
      <c r="CYA12" s="239"/>
      <c r="CYB12" s="239"/>
      <c r="CYC12" s="239"/>
      <c r="CYD12" s="239"/>
      <c r="CYE12" s="239"/>
      <c r="CYF12" s="239"/>
      <c r="CYG12" s="239"/>
      <c r="CYH12" s="239"/>
      <c r="CYI12" s="239"/>
      <c r="CYJ12" s="239"/>
      <c r="CYK12" s="239"/>
      <c r="CYL12" s="239"/>
      <c r="CYM12" s="239"/>
      <c r="CYN12" s="239"/>
      <c r="CYO12" s="239"/>
      <c r="CYP12" s="239"/>
      <c r="CYQ12" s="239"/>
      <c r="CYR12" s="239"/>
      <c r="CYS12" s="239"/>
      <c r="CYT12" s="239"/>
      <c r="CYU12" s="239"/>
      <c r="CYV12" s="239"/>
      <c r="CYW12" s="239"/>
      <c r="CYX12" s="239"/>
      <c r="CYY12" s="239"/>
      <c r="CYZ12" s="239"/>
      <c r="CZA12" s="239"/>
      <c r="CZB12" s="239"/>
      <c r="CZC12" s="239"/>
      <c r="CZD12" s="239"/>
      <c r="CZE12" s="239"/>
      <c r="CZF12" s="239"/>
      <c r="CZG12" s="239"/>
      <c r="CZH12" s="239"/>
      <c r="CZI12" s="239"/>
      <c r="CZJ12" s="239"/>
      <c r="CZK12" s="239"/>
      <c r="CZL12" s="239"/>
      <c r="CZM12" s="239"/>
      <c r="CZN12" s="239"/>
      <c r="CZO12" s="239"/>
      <c r="CZP12" s="239"/>
      <c r="CZQ12" s="239"/>
      <c r="CZR12" s="239"/>
      <c r="CZS12" s="239"/>
      <c r="CZT12" s="239"/>
      <c r="CZU12" s="239"/>
      <c r="CZV12" s="239"/>
      <c r="CZW12" s="239"/>
      <c r="CZX12" s="239"/>
      <c r="CZY12" s="239"/>
      <c r="CZZ12" s="239"/>
      <c r="DAA12" s="239"/>
      <c r="DAB12" s="239"/>
      <c r="DAC12" s="239"/>
      <c r="DAD12" s="239"/>
      <c r="DAE12" s="239"/>
      <c r="DAF12" s="239"/>
      <c r="DAG12" s="239"/>
      <c r="DAH12" s="239"/>
      <c r="DAI12" s="239"/>
      <c r="DAJ12" s="239"/>
      <c r="DAK12" s="239"/>
      <c r="DAL12" s="239"/>
      <c r="DAM12" s="239"/>
      <c r="DAN12" s="239"/>
      <c r="DAO12" s="239"/>
      <c r="DAP12" s="239"/>
      <c r="DAQ12" s="239"/>
      <c r="DAR12" s="239"/>
      <c r="DAS12" s="239"/>
      <c r="DAT12" s="239"/>
      <c r="DAU12" s="239"/>
      <c r="DAV12" s="239"/>
      <c r="DAW12" s="239"/>
      <c r="DAX12" s="239"/>
      <c r="DAY12" s="239"/>
      <c r="DAZ12" s="239"/>
      <c r="DBA12" s="239"/>
      <c r="DBB12" s="239"/>
      <c r="DBC12" s="239"/>
      <c r="DBD12" s="239"/>
      <c r="DBE12" s="239"/>
      <c r="DBF12" s="239"/>
      <c r="DBG12" s="239"/>
      <c r="DBH12" s="239"/>
      <c r="DBI12" s="239"/>
      <c r="DBJ12" s="239"/>
      <c r="DBK12" s="239"/>
      <c r="DBL12" s="239"/>
      <c r="DBM12" s="239"/>
      <c r="DBN12" s="239"/>
      <c r="DBO12" s="239"/>
      <c r="DBP12" s="239"/>
      <c r="DBQ12" s="239"/>
      <c r="DBR12" s="239"/>
      <c r="DBS12" s="239"/>
      <c r="DBT12" s="239"/>
      <c r="DBU12" s="239"/>
      <c r="DBV12" s="239"/>
      <c r="DBW12" s="239"/>
      <c r="DBX12" s="239"/>
      <c r="DBY12" s="239"/>
      <c r="DBZ12" s="239"/>
      <c r="DCA12" s="239"/>
      <c r="DCB12" s="239"/>
      <c r="DCC12" s="239"/>
      <c r="DCD12" s="239"/>
      <c r="DCE12" s="239"/>
      <c r="DCF12" s="239"/>
      <c r="DCG12" s="239"/>
      <c r="DCH12" s="239"/>
      <c r="DCI12" s="239"/>
      <c r="DCJ12" s="239"/>
      <c r="DCK12" s="239"/>
      <c r="DCL12" s="239"/>
      <c r="DCM12" s="239"/>
      <c r="DCN12" s="239"/>
      <c r="DCO12" s="239"/>
      <c r="DCP12" s="239"/>
      <c r="DCQ12" s="239"/>
      <c r="DCR12" s="239"/>
      <c r="DCS12" s="239"/>
      <c r="DCT12" s="239"/>
      <c r="DCU12" s="239"/>
      <c r="DCV12" s="239"/>
      <c r="DCW12" s="239"/>
      <c r="DCX12" s="239"/>
      <c r="DCY12" s="239"/>
      <c r="DCZ12" s="239"/>
      <c r="DDA12" s="239"/>
      <c r="DDB12" s="239"/>
      <c r="DDC12" s="239"/>
      <c r="DDD12" s="239"/>
      <c r="DDE12" s="239"/>
      <c r="DDF12" s="239"/>
      <c r="DDG12" s="239"/>
      <c r="DDH12" s="239"/>
      <c r="DDI12" s="239"/>
      <c r="DDJ12" s="239"/>
      <c r="DDK12" s="239"/>
      <c r="DDL12" s="239"/>
      <c r="DDM12" s="239"/>
      <c r="DDN12" s="239"/>
      <c r="DDO12" s="239"/>
      <c r="DDP12" s="239"/>
      <c r="DDQ12" s="239"/>
      <c r="DDR12" s="239"/>
      <c r="DDS12" s="239"/>
      <c r="DDT12" s="239"/>
      <c r="DDU12" s="239"/>
      <c r="DDV12" s="239"/>
      <c r="DDW12" s="239"/>
      <c r="DDX12" s="239"/>
      <c r="DDY12" s="239"/>
      <c r="DDZ12" s="239"/>
      <c r="DEA12" s="239"/>
      <c r="DEB12" s="239"/>
      <c r="DEC12" s="239"/>
      <c r="DED12" s="239"/>
      <c r="DEE12" s="239"/>
      <c r="DEF12" s="239"/>
      <c r="DEG12" s="239"/>
      <c r="DEH12" s="239"/>
      <c r="DEI12" s="239"/>
      <c r="DEJ12" s="239"/>
      <c r="DEK12" s="239"/>
      <c r="DEL12" s="239"/>
      <c r="DEM12" s="239"/>
      <c r="DEN12" s="239"/>
      <c r="DEO12" s="239"/>
      <c r="DEP12" s="239"/>
      <c r="DEQ12" s="239"/>
      <c r="DER12" s="239"/>
      <c r="DES12" s="239"/>
      <c r="DET12" s="239"/>
      <c r="DEU12" s="239"/>
      <c r="DEV12" s="239"/>
      <c r="DEW12" s="239"/>
      <c r="DEX12" s="239"/>
      <c r="DEY12" s="239"/>
      <c r="DEZ12" s="239"/>
      <c r="DFA12" s="239"/>
      <c r="DFB12" s="239"/>
      <c r="DFC12" s="239"/>
      <c r="DFD12" s="239"/>
      <c r="DFE12" s="239"/>
      <c r="DFF12" s="239"/>
      <c r="DFG12" s="239"/>
      <c r="DFH12" s="239"/>
      <c r="DFI12" s="239"/>
      <c r="DFJ12" s="239"/>
      <c r="DFK12" s="239"/>
      <c r="DFL12" s="239"/>
      <c r="DFM12" s="239"/>
      <c r="DFN12" s="239"/>
      <c r="DFO12" s="239"/>
      <c r="DFP12" s="239"/>
      <c r="DFQ12" s="239"/>
      <c r="DFR12" s="239"/>
      <c r="DFS12" s="239"/>
      <c r="DFT12" s="239"/>
      <c r="DFU12" s="239"/>
      <c r="DFV12" s="239"/>
      <c r="DFW12" s="239"/>
      <c r="DFX12" s="239"/>
      <c r="DFY12" s="239"/>
      <c r="DFZ12" s="239"/>
      <c r="DGA12" s="239"/>
      <c r="DGB12" s="239"/>
      <c r="DGC12" s="239"/>
      <c r="DGD12" s="239"/>
      <c r="DGE12" s="239"/>
      <c r="DGF12" s="239"/>
      <c r="DGG12" s="239"/>
      <c r="DGH12" s="239"/>
      <c r="DGI12" s="239"/>
      <c r="DGJ12" s="239"/>
      <c r="DGK12" s="239"/>
      <c r="DGL12" s="239"/>
      <c r="DGM12" s="239"/>
      <c r="DGN12" s="239"/>
      <c r="DGO12" s="239"/>
      <c r="DGP12" s="239"/>
      <c r="DGQ12" s="239"/>
      <c r="DGR12" s="239"/>
      <c r="DGS12" s="239"/>
      <c r="DGT12" s="239"/>
      <c r="DGU12" s="239"/>
      <c r="DGV12" s="239"/>
      <c r="DGW12" s="239"/>
      <c r="DGX12" s="239"/>
      <c r="DGY12" s="239"/>
      <c r="DGZ12" s="239"/>
      <c r="DHA12" s="239"/>
      <c r="DHB12" s="239"/>
      <c r="DHC12" s="239"/>
      <c r="DHD12" s="239"/>
      <c r="DHE12" s="239"/>
      <c r="DHF12" s="239"/>
      <c r="DHG12" s="239"/>
      <c r="DHH12" s="239"/>
      <c r="DHI12" s="239"/>
      <c r="DHJ12" s="239"/>
      <c r="DHK12" s="239"/>
      <c r="DHL12" s="239"/>
      <c r="DHM12" s="239"/>
      <c r="DHN12" s="239"/>
      <c r="DHO12" s="239"/>
      <c r="DHP12" s="239"/>
      <c r="DHQ12" s="239"/>
      <c r="DHR12" s="239"/>
      <c r="DHS12" s="239"/>
      <c r="DHT12" s="239"/>
      <c r="DHU12" s="239"/>
      <c r="DHV12" s="239"/>
      <c r="DHW12" s="239"/>
      <c r="DHX12" s="239"/>
      <c r="DHY12" s="239"/>
      <c r="DHZ12" s="239"/>
      <c r="DIA12" s="239"/>
      <c r="DIB12" s="239"/>
      <c r="DIC12" s="239"/>
      <c r="DID12" s="239"/>
      <c r="DIE12" s="239"/>
      <c r="DIF12" s="239"/>
      <c r="DIG12" s="239"/>
      <c r="DIH12" s="239"/>
      <c r="DII12" s="239"/>
      <c r="DIJ12" s="239"/>
      <c r="DIK12" s="239"/>
      <c r="DIL12" s="239"/>
      <c r="DIM12" s="239"/>
      <c r="DIN12" s="239"/>
      <c r="DIO12" s="239"/>
      <c r="DIP12" s="239"/>
      <c r="DIQ12" s="239"/>
      <c r="DIR12" s="239"/>
      <c r="DIS12" s="239"/>
      <c r="DIT12" s="239"/>
      <c r="DIU12" s="239"/>
      <c r="DIV12" s="239"/>
      <c r="DIW12" s="239"/>
      <c r="DIX12" s="239"/>
      <c r="DIY12" s="239"/>
      <c r="DIZ12" s="239"/>
      <c r="DJA12" s="239"/>
      <c r="DJB12" s="239"/>
      <c r="DJC12" s="239"/>
      <c r="DJD12" s="239"/>
      <c r="DJE12" s="239"/>
      <c r="DJF12" s="239"/>
      <c r="DJG12" s="239"/>
      <c r="DJH12" s="239"/>
      <c r="DJI12" s="239"/>
      <c r="DJJ12" s="239"/>
      <c r="DJK12" s="239"/>
      <c r="DJL12" s="239"/>
      <c r="DJM12" s="239"/>
      <c r="DJN12" s="239"/>
      <c r="DJO12" s="239"/>
      <c r="DJP12" s="239"/>
      <c r="DJQ12" s="239"/>
      <c r="DJR12" s="239"/>
      <c r="DJS12" s="239"/>
      <c r="DJT12" s="239"/>
      <c r="DJU12" s="239"/>
      <c r="DJV12" s="239"/>
      <c r="DJW12" s="239"/>
      <c r="DJX12" s="239"/>
      <c r="DJY12" s="239"/>
      <c r="DJZ12" s="239"/>
      <c r="DKA12" s="239"/>
      <c r="DKB12" s="239"/>
      <c r="DKC12" s="239"/>
      <c r="DKD12" s="239"/>
      <c r="DKE12" s="239"/>
      <c r="DKF12" s="239"/>
      <c r="DKG12" s="239"/>
      <c r="DKH12" s="239"/>
      <c r="DKI12" s="239"/>
      <c r="DKJ12" s="239"/>
      <c r="DKK12" s="239"/>
      <c r="DKL12" s="239"/>
      <c r="DKM12" s="239"/>
      <c r="DKN12" s="239"/>
      <c r="DKO12" s="239"/>
      <c r="DKP12" s="239"/>
      <c r="DKQ12" s="239"/>
      <c r="DKR12" s="239"/>
      <c r="DKS12" s="239"/>
      <c r="DKT12" s="239"/>
      <c r="DKU12" s="239"/>
      <c r="DKV12" s="239"/>
      <c r="DKW12" s="239"/>
      <c r="DKX12" s="239"/>
      <c r="DKY12" s="239"/>
      <c r="DKZ12" s="239"/>
      <c r="DLA12" s="239"/>
      <c r="DLB12" s="239"/>
      <c r="DLC12" s="239"/>
      <c r="DLD12" s="239"/>
      <c r="DLE12" s="239"/>
      <c r="DLF12" s="239"/>
      <c r="DLG12" s="239"/>
      <c r="DLH12" s="239"/>
      <c r="DLI12" s="239"/>
      <c r="DLJ12" s="239"/>
      <c r="DLK12" s="239"/>
      <c r="DLL12" s="239"/>
      <c r="DLM12" s="239"/>
      <c r="DLN12" s="239"/>
      <c r="DLO12" s="239"/>
      <c r="DLP12" s="239"/>
      <c r="DLQ12" s="239"/>
      <c r="DLR12" s="239"/>
      <c r="DLS12" s="239"/>
      <c r="DLT12" s="239"/>
      <c r="DLU12" s="239"/>
      <c r="DLV12" s="239"/>
      <c r="DLW12" s="239"/>
      <c r="DLX12" s="239"/>
      <c r="DLY12" s="239"/>
      <c r="DLZ12" s="239"/>
      <c r="DMA12" s="239"/>
      <c r="DMB12" s="239"/>
      <c r="DMC12" s="239"/>
      <c r="DMD12" s="239"/>
      <c r="DME12" s="239"/>
      <c r="DMF12" s="239"/>
      <c r="DMG12" s="239"/>
      <c r="DMH12" s="239"/>
      <c r="DMI12" s="239"/>
      <c r="DMJ12" s="239"/>
      <c r="DMK12" s="239"/>
      <c r="DML12" s="239"/>
      <c r="DMM12" s="239"/>
      <c r="DMN12" s="239"/>
      <c r="DMO12" s="239"/>
      <c r="DMP12" s="239"/>
      <c r="DMQ12" s="239"/>
      <c r="DMR12" s="239"/>
      <c r="DMS12" s="239"/>
      <c r="DMT12" s="239"/>
      <c r="DMU12" s="239"/>
      <c r="DMV12" s="239"/>
      <c r="DMW12" s="239"/>
      <c r="DMX12" s="239"/>
      <c r="DMY12" s="239"/>
      <c r="DMZ12" s="239"/>
      <c r="DNA12" s="239"/>
      <c r="DNB12" s="239"/>
      <c r="DNC12" s="239"/>
      <c r="DND12" s="239"/>
      <c r="DNE12" s="239"/>
      <c r="DNF12" s="239"/>
      <c r="DNG12" s="239"/>
      <c r="DNH12" s="239"/>
      <c r="DNI12" s="239"/>
      <c r="DNJ12" s="239"/>
      <c r="DNK12" s="239"/>
      <c r="DNL12" s="239"/>
      <c r="DNM12" s="239"/>
      <c r="DNN12" s="239"/>
      <c r="DNO12" s="239"/>
      <c r="DNP12" s="239"/>
      <c r="DNQ12" s="239"/>
      <c r="DNR12" s="239"/>
      <c r="DNS12" s="239"/>
      <c r="DNT12" s="239"/>
      <c r="DNU12" s="239"/>
      <c r="DNV12" s="239"/>
      <c r="DNW12" s="239"/>
      <c r="DNX12" s="239"/>
      <c r="DNY12" s="239"/>
      <c r="DNZ12" s="239"/>
      <c r="DOA12" s="239"/>
      <c r="DOB12" s="239"/>
      <c r="DOC12" s="239"/>
      <c r="DOD12" s="239"/>
      <c r="DOE12" s="239"/>
      <c r="DOF12" s="239"/>
      <c r="DOG12" s="239"/>
      <c r="DOH12" s="239"/>
      <c r="DOI12" s="239"/>
      <c r="DOJ12" s="239"/>
      <c r="DOK12" s="239"/>
      <c r="DOL12" s="239"/>
      <c r="DOM12" s="239"/>
      <c r="DON12" s="239"/>
      <c r="DOO12" s="239"/>
      <c r="DOP12" s="239"/>
      <c r="DOQ12" s="239"/>
      <c r="DOR12" s="239"/>
      <c r="DOS12" s="239"/>
      <c r="DOT12" s="239"/>
      <c r="DOU12" s="239"/>
      <c r="DOV12" s="239"/>
      <c r="DOW12" s="239"/>
      <c r="DOX12" s="239"/>
      <c r="DOY12" s="239"/>
      <c r="DOZ12" s="239"/>
      <c r="DPA12" s="239"/>
      <c r="DPB12" s="239"/>
      <c r="DPC12" s="239"/>
      <c r="DPD12" s="239"/>
      <c r="DPE12" s="239"/>
      <c r="DPF12" s="239"/>
      <c r="DPG12" s="239"/>
      <c r="DPH12" s="239"/>
      <c r="DPI12" s="239"/>
      <c r="DPJ12" s="239"/>
      <c r="DPK12" s="239"/>
      <c r="DPL12" s="239"/>
      <c r="DPM12" s="239"/>
      <c r="DPN12" s="239"/>
      <c r="DPO12" s="239"/>
      <c r="DPP12" s="239"/>
      <c r="DPQ12" s="239"/>
      <c r="DPR12" s="239"/>
      <c r="DPS12" s="239"/>
      <c r="DPT12" s="239"/>
      <c r="DPU12" s="239"/>
      <c r="DPV12" s="239"/>
      <c r="DPW12" s="239"/>
      <c r="DPX12" s="239"/>
      <c r="DPY12" s="239"/>
      <c r="DPZ12" s="239"/>
      <c r="DQA12" s="239"/>
      <c r="DQB12" s="239"/>
      <c r="DQC12" s="239"/>
      <c r="DQD12" s="239"/>
      <c r="DQE12" s="239"/>
      <c r="DQF12" s="239"/>
      <c r="DQG12" s="239"/>
      <c r="DQH12" s="239"/>
      <c r="DQI12" s="239"/>
      <c r="DQJ12" s="239"/>
      <c r="DQK12" s="239"/>
      <c r="DQL12" s="239"/>
      <c r="DQM12" s="239"/>
      <c r="DQN12" s="239"/>
      <c r="DQO12" s="239"/>
      <c r="DQP12" s="239"/>
      <c r="DQQ12" s="239"/>
      <c r="DQR12" s="239"/>
      <c r="DQS12" s="239"/>
      <c r="DQT12" s="239"/>
      <c r="DQU12" s="239"/>
      <c r="DQV12" s="239"/>
      <c r="DQW12" s="239"/>
      <c r="DQX12" s="239"/>
      <c r="DQY12" s="239"/>
      <c r="DQZ12" s="239"/>
      <c r="DRA12" s="239"/>
      <c r="DRB12" s="239"/>
      <c r="DRC12" s="239"/>
      <c r="DRD12" s="239"/>
      <c r="DRE12" s="239"/>
      <c r="DRF12" s="239"/>
      <c r="DRG12" s="239"/>
      <c r="DRH12" s="239"/>
      <c r="DRI12" s="239"/>
      <c r="DRJ12" s="239"/>
      <c r="DRK12" s="239"/>
      <c r="DRL12" s="239"/>
      <c r="DRM12" s="239"/>
      <c r="DRN12" s="239"/>
      <c r="DRO12" s="239"/>
      <c r="DRP12" s="239"/>
      <c r="DRQ12" s="239"/>
      <c r="DRR12" s="239"/>
      <c r="DRS12" s="239"/>
      <c r="DRT12" s="239"/>
      <c r="DRU12" s="239"/>
      <c r="DRV12" s="239"/>
      <c r="DRW12" s="239"/>
      <c r="DRX12" s="239"/>
      <c r="DRY12" s="239"/>
      <c r="DRZ12" s="239"/>
      <c r="DSA12" s="239"/>
      <c r="DSB12" s="239"/>
      <c r="DSC12" s="239"/>
      <c r="DSD12" s="239"/>
      <c r="DSE12" s="239"/>
      <c r="DSF12" s="239"/>
      <c r="DSG12" s="239"/>
      <c r="DSH12" s="239"/>
      <c r="DSI12" s="239"/>
      <c r="DSJ12" s="239"/>
      <c r="DSK12" s="239"/>
      <c r="DSL12" s="239"/>
      <c r="DSM12" s="239"/>
      <c r="DSN12" s="239"/>
      <c r="DSO12" s="239"/>
      <c r="DSP12" s="239"/>
      <c r="DSQ12" s="239"/>
      <c r="DSR12" s="239"/>
      <c r="DSS12" s="239"/>
      <c r="DST12" s="239"/>
      <c r="DSU12" s="239"/>
      <c r="DSV12" s="239"/>
      <c r="DSW12" s="239"/>
      <c r="DSX12" s="239"/>
      <c r="DSY12" s="239"/>
      <c r="DSZ12" s="239"/>
      <c r="DTA12" s="239"/>
      <c r="DTB12" s="239"/>
      <c r="DTC12" s="239"/>
      <c r="DTD12" s="239"/>
      <c r="DTE12" s="239"/>
      <c r="DTF12" s="239"/>
      <c r="DTG12" s="239"/>
      <c r="DTH12" s="239"/>
      <c r="DTI12" s="239"/>
      <c r="DTJ12" s="239"/>
      <c r="DTK12" s="239"/>
      <c r="DTL12" s="239"/>
      <c r="DTM12" s="239"/>
      <c r="DTN12" s="239"/>
      <c r="DTO12" s="239"/>
      <c r="DTP12" s="239"/>
      <c r="DTQ12" s="239"/>
      <c r="DTR12" s="239"/>
      <c r="DTS12" s="239"/>
      <c r="DTT12" s="239"/>
      <c r="DTU12" s="239"/>
      <c r="DTV12" s="239"/>
      <c r="DTW12" s="239"/>
      <c r="DTX12" s="239"/>
      <c r="DTY12" s="239"/>
      <c r="DTZ12" s="239"/>
      <c r="DUA12" s="239"/>
      <c r="DUB12" s="239"/>
      <c r="DUC12" s="239"/>
      <c r="DUD12" s="239"/>
      <c r="DUE12" s="239"/>
      <c r="DUF12" s="239"/>
      <c r="DUG12" s="239"/>
      <c r="DUH12" s="239"/>
      <c r="DUI12" s="239"/>
      <c r="DUJ12" s="239"/>
      <c r="DUK12" s="239"/>
      <c r="DUL12" s="239"/>
      <c r="DUM12" s="239"/>
      <c r="DUN12" s="239"/>
      <c r="DUO12" s="239"/>
      <c r="DUP12" s="239"/>
      <c r="DUQ12" s="239"/>
      <c r="DUR12" s="239"/>
      <c r="DUS12" s="239"/>
      <c r="DUT12" s="239"/>
      <c r="DUU12" s="239"/>
      <c r="DUV12" s="239"/>
      <c r="DUW12" s="239"/>
      <c r="DUX12" s="239"/>
      <c r="DUY12" s="239"/>
      <c r="DUZ12" s="239"/>
      <c r="DVA12" s="239"/>
      <c r="DVB12" s="239"/>
      <c r="DVC12" s="239"/>
      <c r="DVD12" s="239"/>
      <c r="DVE12" s="239"/>
      <c r="DVF12" s="239"/>
      <c r="DVG12" s="239"/>
      <c r="DVH12" s="239"/>
      <c r="DVI12" s="239"/>
      <c r="DVJ12" s="239"/>
      <c r="DVK12" s="239"/>
      <c r="DVL12" s="239"/>
      <c r="DVM12" s="239"/>
      <c r="DVN12" s="239"/>
      <c r="DVO12" s="239"/>
      <c r="DVP12" s="239"/>
      <c r="DVQ12" s="239"/>
      <c r="DVR12" s="239"/>
      <c r="DVS12" s="239"/>
      <c r="DVT12" s="239"/>
      <c r="DVU12" s="239"/>
      <c r="DVV12" s="239"/>
      <c r="DVW12" s="239"/>
      <c r="DVX12" s="239"/>
      <c r="DVY12" s="239"/>
      <c r="DVZ12" s="239"/>
      <c r="DWA12" s="239"/>
      <c r="DWB12" s="239"/>
      <c r="DWC12" s="239"/>
      <c r="DWD12" s="239"/>
      <c r="DWE12" s="239"/>
      <c r="DWF12" s="239"/>
      <c r="DWG12" s="239"/>
      <c r="DWH12" s="239"/>
      <c r="DWI12" s="239"/>
      <c r="DWJ12" s="239"/>
      <c r="DWK12" s="239"/>
      <c r="DWL12" s="239"/>
      <c r="DWM12" s="239"/>
      <c r="DWN12" s="239"/>
      <c r="DWO12" s="239"/>
      <c r="DWP12" s="239"/>
      <c r="DWQ12" s="239"/>
      <c r="DWR12" s="239"/>
      <c r="DWS12" s="239"/>
      <c r="DWT12" s="239"/>
      <c r="DWU12" s="239"/>
      <c r="DWV12" s="239"/>
      <c r="DWW12" s="239"/>
      <c r="DWX12" s="239"/>
      <c r="DWY12" s="239"/>
      <c r="DWZ12" s="239"/>
      <c r="DXA12" s="239"/>
      <c r="DXB12" s="239"/>
      <c r="DXC12" s="239"/>
      <c r="DXD12" s="239"/>
      <c r="DXE12" s="239"/>
      <c r="DXF12" s="239"/>
      <c r="DXG12" s="239"/>
      <c r="DXH12" s="239"/>
      <c r="DXI12" s="239"/>
      <c r="DXJ12" s="239"/>
      <c r="DXK12" s="239"/>
      <c r="DXL12" s="239"/>
      <c r="DXM12" s="239"/>
      <c r="DXN12" s="239"/>
      <c r="DXO12" s="239"/>
      <c r="DXP12" s="239"/>
      <c r="DXQ12" s="239"/>
      <c r="DXR12" s="239"/>
      <c r="DXS12" s="239"/>
      <c r="DXT12" s="239"/>
      <c r="DXU12" s="239"/>
      <c r="DXV12" s="239"/>
      <c r="DXW12" s="239"/>
      <c r="DXX12" s="239"/>
      <c r="DXY12" s="239"/>
      <c r="DXZ12" s="239"/>
      <c r="DYA12" s="239"/>
      <c r="DYB12" s="239"/>
      <c r="DYC12" s="239"/>
      <c r="DYD12" s="239"/>
      <c r="DYE12" s="239"/>
      <c r="DYF12" s="239"/>
      <c r="DYG12" s="239"/>
      <c r="DYH12" s="239"/>
      <c r="DYI12" s="239"/>
      <c r="DYJ12" s="239"/>
      <c r="DYK12" s="239"/>
      <c r="DYL12" s="239"/>
      <c r="DYM12" s="239"/>
      <c r="DYN12" s="239"/>
      <c r="DYO12" s="239"/>
      <c r="DYP12" s="239"/>
      <c r="DYQ12" s="239"/>
      <c r="DYR12" s="239"/>
      <c r="DYS12" s="239"/>
      <c r="DYT12" s="239"/>
      <c r="DYU12" s="239"/>
      <c r="DYV12" s="239"/>
      <c r="DYW12" s="239"/>
      <c r="DYX12" s="239"/>
      <c r="DYY12" s="239"/>
      <c r="DYZ12" s="239"/>
      <c r="DZA12" s="239"/>
      <c r="DZB12" s="239"/>
      <c r="DZC12" s="239"/>
      <c r="DZD12" s="239"/>
      <c r="DZE12" s="239"/>
      <c r="DZF12" s="239"/>
      <c r="DZG12" s="239"/>
      <c r="DZH12" s="239"/>
      <c r="DZI12" s="239"/>
      <c r="DZJ12" s="239"/>
      <c r="DZK12" s="239"/>
      <c r="DZL12" s="239"/>
      <c r="DZM12" s="239"/>
      <c r="DZN12" s="239"/>
      <c r="DZO12" s="239"/>
      <c r="DZP12" s="239"/>
      <c r="DZQ12" s="239"/>
      <c r="DZR12" s="239"/>
      <c r="DZS12" s="239"/>
      <c r="DZT12" s="239"/>
      <c r="DZU12" s="239"/>
      <c r="DZV12" s="239"/>
      <c r="DZW12" s="239"/>
      <c r="DZX12" s="239"/>
      <c r="DZY12" s="239"/>
      <c r="DZZ12" s="239"/>
      <c r="EAA12" s="239"/>
      <c r="EAB12" s="239"/>
      <c r="EAC12" s="239"/>
      <c r="EAD12" s="239"/>
      <c r="EAE12" s="239"/>
      <c r="EAF12" s="239"/>
      <c r="EAG12" s="239"/>
      <c r="EAH12" s="239"/>
      <c r="EAI12" s="239"/>
      <c r="EAJ12" s="239"/>
      <c r="EAK12" s="239"/>
      <c r="EAL12" s="239"/>
      <c r="EAM12" s="239"/>
      <c r="EAN12" s="239"/>
      <c r="EAO12" s="239"/>
      <c r="EAP12" s="239"/>
      <c r="EAQ12" s="239"/>
      <c r="EAR12" s="239"/>
      <c r="EAS12" s="239"/>
      <c r="EAT12" s="239"/>
      <c r="EAU12" s="239"/>
      <c r="EAV12" s="239"/>
      <c r="EAW12" s="239"/>
      <c r="EAX12" s="239"/>
      <c r="EAY12" s="239"/>
      <c r="EAZ12" s="239"/>
      <c r="EBA12" s="239"/>
      <c r="EBB12" s="239"/>
      <c r="EBC12" s="239"/>
      <c r="EBD12" s="239"/>
      <c r="EBE12" s="239"/>
      <c r="EBF12" s="239"/>
      <c r="EBG12" s="239"/>
      <c r="EBH12" s="239"/>
      <c r="EBI12" s="239"/>
      <c r="EBJ12" s="239"/>
      <c r="EBK12" s="239"/>
      <c r="EBL12" s="239"/>
      <c r="EBM12" s="239"/>
      <c r="EBN12" s="239"/>
      <c r="EBO12" s="239"/>
      <c r="EBP12" s="239"/>
      <c r="EBQ12" s="239"/>
      <c r="EBR12" s="239"/>
      <c r="EBS12" s="239"/>
      <c r="EBT12" s="239"/>
      <c r="EBU12" s="239"/>
      <c r="EBV12" s="239"/>
      <c r="EBW12" s="239"/>
      <c r="EBX12" s="239"/>
      <c r="EBY12" s="239"/>
      <c r="EBZ12" s="239"/>
      <c r="ECA12" s="239"/>
      <c r="ECB12" s="239"/>
      <c r="ECC12" s="239"/>
      <c r="ECD12" s="239"/>
      <c r="ECE12" s="239"/>
      <c r="ECF12" s="239"/>
      <c r="ECG12" s="239"/>
      <c r="ECH12" s="239"/>
      <c r="ECI12" s="239"/>
      <c r="ECJ12" s="239"/>
      <c r="ECK12" s="239"/>
      <c r="ECL12" s="239"/>
      <c r="ECM12" s="239"/>
      <c r="ECN12" s="239"/>
      <c r="ECO12" s="239"/>
      <c r="ECP12" s="239"/>
      <c r="ECQ12" s="239"/>
      <c r="ECR12" s="239"/>
      <c r="ECS12" s="239"/>
      <c r="ECT12" s="239"/>
      <c r="ECU12" s="239"/>
      <c r="ECV12" s="239"/>
      <c r="ECW12" s="239"/>
      <c r="ECX12" s="239"/>
      <c r="ECY12" s="239"/>
      <c r="ECZ12" s="239"/>
      <c r="EDA12" s="239"/>
      <c r="EDB12" s="239"/>
      <c r="EDC12" s="239"/>
      <c r="EDD12" s="239"/>
      <c r="EDE12" s="239"/>
      <c r="EDF12" s="239"/>
      <c r="EDG12" s="239"/>
      <c r="EDH12" s="239"/>
      <c r="EDI12" s="239"/>
      <c r="EDJ12" s="239"/>
      <c r="EDK12" s="239"/>
      <c r="EDL12" s="239"/>
      <c r="EDM12" s="239"/>
      <c r="EDN12" s="239"/>
      <c r="EDO12" s="239"/>
      <c r="EDP12" s="239"/>
      <c r="EDQ12" s="239"/>
      <c r="EDR12" s="239"/>
      <c r="EDS12" s="239"/>
      <c r="EDT12" s="239"/>
      <c r="EDU12" s="239"/>
      <c r="EDV12" s="239"/>
      <c r="EDW12" s="239"/>
      <c r="EDX12" s="239"/>
      <c r="EDY12" s="239"/>
      <c r="EDZ12" s="239"/>
      <c r="EEA12" s="239"/>
      <c r="EEB12" s="239"/>
      <c r="EEC12" s="239"/>
      <c r="EED12" s="239"/>
      <c r="EEE12" s="239"/>
      <c r="EEF12" s="239"/>
      <c r="EEG12" s="239"/>
      <c r="EEH12" s="239"/>
      <c r="EEI12" s="239"/>
      <c r="EEJ12" s="239"/>
      <c r="EEK12" s="239"/>
      <c r="EEL12" s="239"/>
      <c r="EEM12" s="239"/>
      <c r="EEN12" s="239"/>
      <c r="EEO12" s="239"/>
      <c r="EEP12" s="239"/>
      <c r="EEQ12" s="239"/>
      <c r="EER12" s="239"/>
      <c r="EES12" s="239"/>
      <c r="EET12" s="239"/>
      <c r="EEU12" s="239"/>
      <c r="EEV12" s="239"/>
      <c r="EEW12" s="239"/>
      <c r="EEX12" s="239"/>
      <c r="EEY12" s="239"/>
      <c r="EEZ12" s="239"/>
      <c r="EFA12" s="239"/>
      <c r="EFB12" s="239"/>
      <c r="EFC12" s="239"/>
      <c r="EFD12" s="239"/>
      <c r="EFE12" s="239"/>
      <c r="EFF12" s="239"/>
      <c r="EFG12" s="239"/>
      <c r="EFH12" s="239"/>
      <c r="EFI12" s="239"/>
      <c r="EFJ12" s="239"/>
      <c r="EFK12" s="239"/>
      <c r="EFL12" s="239"/>
      <c r="EFM12" s="239"/>
      <c r="EFN12" s="239"/>
      <c r="EFO12" s="239"/>
      <c r="EFP12" s="239"/>
      <c r="EFQ12" s="239"/>
      <c r="EFR12" s="239"/>
      <c r="EFS12" s="239"/>
      <c r="EFT12" s="239"/>
      <c r="EFU12" s="239"/>
      <c r="EFV12" s="239"/>
      <c r="EFW12" s="239"/>
      <c r="EFX12" s="239"/>
      <c r="EFY12" s="239"/>
      <c r="EFZ12" s="239"/>
      <c r="EGA12" s="239"/>
      <c r="EGB12" s="239"/>
      <c r="EGC12" s="239"/>
      <c r="EGD12" s="239"/>
      <c r="EGE12" s="239"/>
      <c r="EGF12" s="239"/>
      <c r="EGG12" s="239"/>
      <c r="EGH12" s="239"/>
      <c r="EGI12" s="239"/>
      <c r="EGJ12" s="239"/>
      <c r="EGK12" s="239"/>
      <c r="EGL12" s="239"/>
      <c r="EGM12" s="239"/>
      <c r="EGN12" s="239"/>
      <c r="EGO12" s="239"/>
      <c r="EGP12" s="239"/>
      <c r="EGQ12" s="239"/>
      <c r="EGR12" s="239"/>
      <c r="EGS12" s="239"/>
      <c r="EGT12" s="239"/>
      <c r="EGU12" s="239"/>
      <c r="EGV12" s="239"/>
      <c r="EGW12" s="239"/>
      <c r="EGX12" s="239"/>
      <c r="EGY12" s="239"/>
      <c r="EGZ12" s="239"/>
      <c r="EHA12" s="239"/>
      <c r="EHB12" s="239"/>
      <c r="EHC12" s="239"/>
      <c r="EHD12" s="239"/>
      <c r="EHE12" s="239"/>
      <c r="EHF12" s="239"/>
      <c r="EHG12" s="239"/>
      <c r="EHH12" s="239"/>
      <c r="EHI12" s="239"/>
      <c r="EHJ12" s="239"/>
      <c r="EHK12" s="239"/>
      <c r="EHL12" s="239"/>
      <c r="EHM12" s="239"/>
      <c r="EHN12" s="239"/>
      <c r="EHO12" s="239"/>
      <c r="EHP12" s="239"/>
      <c r="EHQ12" s="239"/>
      <c r="EHR12" s="239"/>
      <c r="EHS12" s="239"/>
      <c r="EHT12" s="239"/>
      <c r="EHU12" s="239"/>
      <c r="EHV12" s="239"/>
      <c r="EHW12" s="239"/>
      <c r="EHX12" s="239"/>
      <c r="EHY12" s="239"/>
      <c r="EHZ12" s="239"/>
      <c r="EIA12" s="239"/>
      <c r="EIB12" s="239"/>
      <c r="EIC12" s="239"/>
      <c r="EID12" s="239"/>
      <c r="EIE12" s="239"/>
      <c r="EIF12" s="239"/>
      <c r="EIG12" s="239"/>
      <c r="EIH12" s="239"/>
      <c r="EII12" s="239"/>
      <c r="EIJ12" s="239"/>
      <c r="EIK12" s="239"/>
      <c r="EIL12" s="239"/>
      <c r="EIM12" s="239"/>
      <c r="EIN12" s="239"/>
      <c r="EIO12" s="239"/>
      <c r="EIP12" s="239"/>
      <c r="EIQ12" s="239"/>
      <c r="EIR12" s="239"/>
      <c r="EIS12" s="239"/>
      <c r="EIT12" s="239"/>
      <c r="EIU12" s="239"/>
      <c r="EIV12" s="239"/>
      <c r="EIW12" s="239"/>
      <c r="EIX12" s="239"/>
      <c r="EIY12" s="239"/>
      <c r="EIZ12" s="239"/>
      <c r="EJA12" s="239"/>
      <c r="EJB12" s="239"/>
      <c r="EJC12" s="239"/>
      <c r="EJD12" s="239"/>
      <c r="EJE12" s="239"/>
      <c r="EJF12" s="239"/>
      <c r="EJG12" s="239"/>
      <c r="EJH12" s="239"/>
      <c r="EJI12" s="239"/>
      <c r="EJJ12" s="239"/>
      <c r="EJK12" s="239"/>
      <c r="EJL12" s="239"/>
      <c r="EJM12" s="239"/>
      <c r="EJN12" s="239"/>
      <c r="EJO12" s="239"/>
      <c r="EJP12" s="239"/>
      <c r="EJQ12" s="239"/>
      <c r="EJR12" s="239"/>
      <c r="EJS12" s="239"/>
      <c r="EJT12" s="239"/>
      <c r="EJU12" s="239"/>
      <c r="EJV12" s="239"/>
      <c r="EJW12" s="239"/>
      <c r="EJX12" s="239"/>
      <c r="EJY12" s="239"/>
      <c r="EJZ12" s="239"/>
      <c r="EKA12" s="239"/>
      <c r="EKB12" s="239"/>
      <c r="EKC12" s="239"/>
      <c r="EKD12" s="239"/>
      <c r="EKE12" s="239"/>
      <c r="EKF12" s="239"/>
      <c r="EKG12" s="239"/>
      <c r="EKH12" s="239"/>
      <c r="EKI12" s="239"/>
      <c r="EKJ12" s="239"/>
      <c r="EKK12" s="239"/>
      <c r="EKL12" s="239"/>
      <c r="EKM12" s="239"/>
      <c r="EKN12" s="239"/>
      <c r="EKO12" s="239"/>
      <c r="EKP12" s="239"/>
      <c r="EKQ12" s="239"/>
      <c r="EKR12" s="239"/>
      <c r="EKS12" s="239"/>
      <c r="EKT12" s="239"/>
      <c r="EKU12" s="239"/>
      <c r="EKV12" s="239"/>
      <c r="EKW12" s="239"/>
      <c r="EKX12" s="239"/>
      <c r="EKY12" s="239"/>
      <c r="EKZ12" s="239"/>
      <c r="ELA12" s="239"/>
      <c r="ELB12" s="239"/>
      <c r="ELC12" s="239"/>
      <c r="ELD12" s="239"/>
      <c r="ELE12" s="239"/>
      <c r="ELF12" s="239"/>
      <c r="ELG12" s="239"/>
      <c r="ELH12" s="239"/>
      <c r="ELI12" s="239"/>
      <c r="ELJ12" s="239"/>
      <c r="ELK12" s="239"/>
      <c r="ELL12" s="239"/>
      <c r="ELM12" s="239"/>
      <c r="ELN12" s="239"/>
      <c r="ELO12" s="239"/>
      <c r="ELP12" s="239"/>
      <c r="ELQ12" s="239"/>
      <c r="ELR12" s="239"/>
      <c r="ELS12" s="239"/>
      <c r="ELT12" s="239"/>
      <c r="ELU12" s="239"/>
      <c r="ELV12" s="239"/>
      <c r="ELW12" s="239"/>
      <c r="ELX12" s="239"/>
      <c r="ELY12" s="239"/>
      <c r="ELZ12" s="239"/>
      <c r="EMA12" s="239"/>
      <c r="EMB12" s="239"/>
      <c r="EMC12" s="239"/>
      <c r="EMD12" s="239"/>
      <c r="EME12" s="239"/>
      <c r="EMF12" s="239"/>
      <c r="EMG12" s="239"/>
      <c r="EMH12" s="239"/>
      <c r="EMI12" s="239"/>
      <c r="EMJ12" s="239"/>
      <c r="EMK12" s="239"/>
      <c r="EML12" s="239"/>
      <c r="EMM12" s="239"/>
      <c r="EMN12" s="239"/>
      <c r="EMO12" s="239"/>
      <c r="EMP12" s="239"/>
      <c r="EMQ12" s="239"/>
      <c r="EMR12" s="239"/>
      <c r="EMS12" s="239"/>
      <c r="EMT12" s="239"/>
      <c r="EMU12" s="239"/>
      <c r="EMV12" s="239"/>
      <c r="EMW12" s="239"/>
      <c r="EMX12" s="239"/>
      <c r="EMY12" s="239"/>
      <c r="EMZ12" s="239"/>
      <c r="ENA12" s="239"/>
      <c r="ENB12" s="239"/>
      <c r="ENC12" s="239"/>
      <c r="END12" s="239"/>
      <c r="ENE12" s="239"/>
      <c r="ENF12" s="239"/>
      <c r="ENG12" s="239"/>
      <c r="ENH12" s="239"/>
      <c r="ENI12" s="239"/>
      <c r="ENJ12" s="239"/>
      <c r="ENK12" s="239"/>
      <c r="ENL12" s="239"/>
      <c r="ENM12" s="239"/>
      <c r="ENN12" s="239"/>
      <c r="ENO12" s="239"/>
      <c r="ENP12" s="239"/>
      <c r="ENQ12" s="239"/>
      <c r="ENR12" s="239"/>
      <c r="ENS12" s="239"/>
      <c r="ENT12" s="239"/>
      <c r="ENU12" s="239"/>
      <c r="ENV12" s="239"/>
      <c r="ENW12" s="239"/>
      <c r="ENX12" s="239"/>
      <c r="ENY12" s="239"/>
      <c r="ENZ12" s="239"/>
      <c r="EOA12" s="239"/>
      <c r="EOB12" s="239"/>
      <c r="EOC12" s="239"/>
      <c r="EOD12" s="239"/>
      <c r="EOE12" s="239"/>
      <c r="EOF12" s="239"/>
      <c r="EOG12" s="239"/>
      <c r="EOH12" s="239"/>
      <c r="EOI12" s="239"/>
      <c r="EOJ12" s="239"/>
      <c r="EOK12" s="239"/>
      <c r="EOL12" s="239"/>
      <c r="EOM12" s="239"/>
      <c r="EON12" s="239"/>
      <c r="EOO12" s="239"/>
      <c r="EOP12" s="239"/>
      <c r="EOQ12" s="239"/>
      <c r="EOR12" s="239"/>
      <c r="EOS12" s="239"/>
      <c r="EOT12" s="239"/>
      <c r="EOU12" s="239"/>
      <c r="EOV12" s="239"/>
      <c r="EOW12" s="239"/>
      <c r="EOX12" s="239"/>
      <c r="EOY12" s="239"/>
      <c r="EOZ12" s="239"/>
      <c r="EPA12" s="239"/>
      <c r="EPB12" s="239"/>
      <c r="EPC12" s="239"/>
      <c r="EPD12" s="239"/>
      <c r="EPE12" s="239"/>
      <c r="EPF12" s="239"/>
      <c r="EPG12" s="239"/>
      <c r="EPH12" s="239"/>
      <c r="EPI12" s="239"/>
      <c r="EPJ12" s="239"/>
      <c r="EPK12" s="239"/>
      <c r="EPL12" s="239"/>
      <c r="EPM12" s="239"/>
      <c r="EPN12" s="239"/>
      <c r="EPO12" s="239"/>
      <c r="EPP12" s="239"/>
      <c r="EPQ12" s="239"/>
      <c r="EPR12" s="239"/>
      <c r="EPS12" s="239"/>
      <c r="EPT12" s="239"/>
      <c r="EPU12" s="239"/>
      <c r="EPV12" s="239"/>
      <c r="EPW12" s="239"/>
      <c r="EPX12" s="239"/>
      <c r="EPY12" s="239"/>
      <c r="EPZ12" s="239"/>
      <c r="EQA12" s="239"/>
      <c r="EQB12" s="239"/>
      <c r="EQC12" s="239"/>
      <c r="EQD12" s="239"/>
      <c r="EQE12" s="239"/>
      <c r="EQF12" s="239"/>
      <c r="EQG12" s="239"/>
      <c r="EQH12" s="239"/>
      <c r="EQI12" s="239"/>
      <c r="EQJ12" s="239"/>
      <c r="EQK12" s="239"/>
      <c r="EQL12" s="239"/>
      <c r="EQM12" s="239"/>
      <c r="EQN12" s="239"/>
      <c r="EQO12" s="239"/>
      <c r="EQP12" s="239"/>
      <c r="EQQ12" s="239"/>
      <c r="EQR12" s="239"/>
      <c r="EQS12" s="239"/>
      <c r="EQT12" s="239"/>
      <c r="EQU12" s="239"/>
      <c r="EQV12" s="239"/>
      <c r="EQW12" s="239"/>
      <c r="EQX12" s="239"/>
      <c r="EQY12" s="239"/>
      <c r="EQZ12" s="239"/>
      <c r="ERA12" s="239"/>
      <c r="ERB12" s="239"/>
      <c r="ERC12" s="239"/>
      <c r="ERD12" s="239"/>
      <c r="ERE12" s="239"/>
      <c r="ERF12" s="239"/>
      <c r="ERG12" s="239"/>
      <c r="ERH12" s="239"/>
      <c r="ERI12" s="239"/>
      <c r="ERJ12" s="239"/>
      <c r="ERK12" s="239"/>
      <c r="ERL12" s="239"/>
      <c r="ERM12" s="239"/>
      <c r="ERN12" s="239"/>
      <c r="ERO12" s="239"/>
      <c r="ERP12" s="239"/>
      <c r="ERQ12" s="239"/>
      <c r="ERR12" s="239"/>
      <c r="ERS12" s="239"/>
      <c r="ERT12" s="239"/>
      <c r="ERU12" s="239"/>
      <c r="ERV12" s="239"/>
      <c r="ERW12" s="239"/>
      <c r="ERX12" s="239"/>
      <c r="ERY12" s="239"/>
      <c r="ERZ12" s="239"/>
      <c r="ESA12" s="239"/>
      <c r="ESB12" s="239"/>
      <c r="ESC12" s="239"/>
      <c r="ESD12" s="239"/>
      <c r="ESE12" s="239"/>
      <c r="ESF12" s="239"/>
      <c r="ESG12" s="239"/>
      <c r="ESH12" s="239"/>
      <c r="ESI12" s="239"/>
      <c r="ESJ12" s="239"/>
      <c r="ESK12" s="239"/>
      <c r="ESL12" s="239"/>
      <c r="ESM12" s="239"/>
      <c r="ESN12" s="239"/>
      <c r="ESO12" s="239"/>
      <c r="ESP12" s="239"/>
      <c r="ESQ12" s="239"/>
      <c r="ESR12" s="239"/>
      <c r="ESS12" s="239"/>
      <c r="EST12" s="239"/>
      <c r="ESU12" s="239"/>
      <c r="ESV12" s="239"/>
      <c r="ESW12" s="239"/>
      <c r="ESX12" s="239"/>
      <c r="ESY12" s="239"/>
      <c r="ESZ12" s="239"/>
      <c r="ETA12" s="239"/>
      <c r="ETB12" s="239"/>
      <c r="ETC12" s="239"/>
      <c r="ETD12" s="239"/>
      <c r="ETE12" s="239"/>
      <c r="ETF12" s="239"/>
      <c r="ETG12" s="239"/>
      <c r="ETH12" s="239"/>
      <c r="ETI12" s="239"/>
      <c r="ETJ12" s="239"/>
      <c r="ETK12" s="239"/>
      <c r="ETL12" s="239"/>
      <c r="ETM12" s="239"/>
      <c r="ETN12" s="239"/>
      <c r="ETO12" s="239"/>
      <c r="ETP12" s="239"/>
      <c r="ETQ12" s="239"/>
      <c r="ETR12" s="239"/>
      <c r="ETS12" s="239"/>
      <c r="ETT12" s="239"/>
      <c r="ETU12" s="239"/>
      <c r="ETV12" s="239"/>
      <c r="ETW12" s="239"/>
      <c r="ETX12" s="239"/>
      <c r="ETY12" s="239"/>
      <c r="ETZ12" s="239"/>
      <c r="EUA12" s="239"/>
      <c r="EUB12" s="239"/>
      <c r="EUC12" s="239"/>
      <c r="EUD12" s="239"/>
      <c r="EUE12" s="239"/>
      <c r="EUF12" s="239"/>
      <c r="EUG12" s="239"/>
      <c r="EUH12" s="239"/>
      <c r="EUI12" s="239"/>
      <c r="EUJ12" s="239"/>
      <c r="EUK12" s="239"/>
      <c r="EUL12" s="239"/>
      <c r="EUM12" s="239"/>
      <c r="EUN12" s="239"/>
      <c r="EUO12" s="239"/>
      <c r="EUP12" s="239"/>
      <c r="EUQ12" s="239"/>
      <c r="EUR12" s="239"/>
      <c r="EUS12" s="239"/>
      <c r="EUT12" s="239"/>
      <c r="EUU12" s="239"/>
      <c r="EUV12" s="239"/>
      <c r="EUW12" s="239"/>
      <c r="EUX12" s="239"/>
      <c r="EUY12" s="239"/>
      <c r="EUZ12" s="239"/>
      <c r="EVA12" s="239"/>
      <c r="EVB12" s="239"/>
      <c r="EVC12" s="239"/>
      <c r="EVD12" s="239"/>
      <c r="EVE12" s="239"/>
      <c r="EVF12" s="239"/>
      <c r="EVG12" s="239"/>
      <c r="EVH12" s="239"/>
      <c r="EVI12" s="239"/>
      <c r="EVJ12" s="239"/>
      <c r="EVK12" s="239"/>
      <c r="EVL12" s="239"/>
      <c r="EVM12" s="239"/>
      <c r="EVN12" s="239"/>
      <c r="EVO12" s="239"/>
      <c r="EVP12" s="239"/>
      <c r="EVQ12" s="239"/>
      <c r="EVR12" s="239"/>
      <c r="EVS12" s="239"/>
      <c r="EVT12" s="239"/>
      <c r="EVU12" s="239"/>
      <c r="EVV12" s="239"/>
      <c r="EVW12" s="239"/>
      <c r="EVX12" s="239"/>
      <c r="EVY12" s="239"/>
      <c r="EVZ12" s="239"/>
      <c r="EWA12" s="239"/>
      <c r="EWB12" s="239"/>
      <c r="EWC12" s="239"/>
      <c r="EWD12" s="239"/>
      <c r="EWE12" s="239"/>
      <c r="EWF12" s="239"/>
      <c r="EWG12" s="239"/>
      <c r="EWH12" s="239"/>
      <c r="EWI12" s="239"/>
      <c r="EWJ12" s="239"/>
      <c r="EWK12" s="239"/>
      <c r="EWL12" s="239"/>
      <c r="EWM12" s="239"/>
      <c r="EWN12" s="239"/>
      <c r="EWO12" s="239"/>
      <c r="EWP12" s="239"/>
      <c r="EWQ12" s="239"/>
      <c r="EWR12" s="239"/>
      <c r="EWS12" s="239"/>
      <c r="EWT12" s="239"/>
      <c r="EWU12" s="239"/>
      <c r="EWV12" s="239"/>
      <c r="EWW12" s="239"/>
      <c r="EWX12" s="239"/>
      <c r="EWY12" s="239"/>
      <c r="EWZ12" s="239"/>
      <c r="EXA12" s="239"/>
      <c r="EXB12" s="239"/>
      <c r="EXC12" s="239"/>
      <c r="EXD12" s="239"/>
      <c r="EXE12" s="239"/>
      <c r="EXF12" s="239"/>
      <c r="EXG12" s="239"/>
      <c r="EXH12" s="239"/>
      <c r="EXI12" s="239"/>
      <c r="EXJ12" s="239"/>
      <c r="EXK12" s="239"/>
      <c r="EXL12" s="239"/>
      <c r="EXM12" s="239"/>
      <c r="EXN12" s="239"/>
      <c r="EXO12" s="239"/>
      <c r="EXP12" s="239"/>
      <c r="EXQ12" s="239"/>
      <c r="EXR12" s="239"/>
      <c r="EXS12" s="239"/>
      <c r="EXT12" s="239"/>
      <c r="EXU12" s="239"/>
      <c r="EXV12" s="239"/>
      <c r="EXW12" s="239"/>
      <c r="EXX12" s="239"/>
      <c r="EXY12" s="239"/>
      <c r="EXZ12" s="239"/>
      <c r="EYA12" s="239"/>
      <c r="EYB12" s="239"/>
      <c r="EYC12" s="239"/>
      <c r="EYD12" s="239"/>
      <c r="EYE12" s="239"/>
      <c r="EYF12" s="239"/>
      <c r="EYG12" s="239"/>
      <c r="EYH12" s="239"/>
      <c r="EYI12" s="239"/>
      <c r="EYJ12" s="239"/>
      <c r="EYK12" s="239"/>
      <c r="EYL12" s="239"/>
      <c r="EYM12" s="239"/>
      <c r="EYN12" s="239"/>
      <c r="EYO12" s="239"/>
      <c r="EYP12" s="239"/>
      <c r="EYQ12" s="239"/>
      <c r="EYR12" s="239"/>
      <c r="EYS12" s="239"/>
      <c r="EYT12" s="239"/>
      <c r="EYU12" s="239"/>
      <c r="EYV12" s="239"/>
      <c r="EYW12" s="239"/>
      <c r="EYX12" s="239"/>
      <c r="EYY12" s="239"/>
      <c r="EYZ12" s="239"/>
      <c r="EZA12" s="239"/>
      <c r="EZB12" s="239"/>
      <c r="EZC12" s="239"/>
      <c r="EZD12" s="239"/>
      <c r="EZE12" s="239"/>
      <c r="EZF12" s="239"/>
      <c r="EZG12" s="239"/>
      <c r="EZH12" s="239"/>
      <c r="EZI12" s="239"/>
      <c r="EZJ12" s="239"/>
      <c r="EZK12" s="239"/>
      <c r="EZL12" s="239"/>
      <c r="EZM12" s="239"/>
      <c r="EZN12" s="239"/>
      <c r="EZO12" s="239"/>
      <c r="EZP12" s="239"/>
      <c r="EZQ12" s="239"/>
      <c r="EZR12" s="239"/>
      <c r="EZS12" s="239"/>
      <c r="EZT12" s="239"/>
      <c r="EZU12" s="239"/>
      <c r="EZV12" s="239"/>
      <c r="EZW12" s="239"/>
      <c r="EZX12" s="239"/>
      <c r="EZY12" s="239"/>
      <c r="EZZ12" s="239"/>
      <c r="FAA12" s="239"/>
      <c r="FAB12" s="239"/>
      <c r="FAC12" s="239"/>
      <c r="FAD12" s="239"/>
      <c r="FAE12" s="239"/>
      <c r="FAF12" s="239"/>
      <c r="FAG12" s="239"/>
      <c r="FAH12" s="239"/>
      <c r="FAI12" s="239"/>
      <c r="FAJ12" s="239"/>
      <c r="FAK12" s="239"/>
      <c r="FAL12" s="239"/>
      <c r="FAM12" s="239"/>
      <c r="FAN12" s="239"/>
      <c r="FAO12" s="239"/>
      <c r="FAP12" s="239"/>
      <c r="FAQ12" s="239"/>
      <c r="FAR12" s="239"/>
      <c r="FAS12" s="239"/>
      <c r="FAT12" s="239"/>
      <c r="FAU12" s="239"/>
      <c r="FAV12" s="239"/>
      <c r="FAW12" s="239"/>
      <c r="FAX12" s="239"/>
      <c r="FAY12" s="239"/>
      <c r="FAZ12" s="239"/>
      <c r="FBA12" s="239"/>
      <c r="FBB12" s="239"/>
      <c r="FBC12" s="239"/>
      <c r="FBD12" s="239"/>
      <c r="FBE12" s="239"/>
      <c r="FBF12" s="239"/>
      <c r="FBG12" s="239"/>
      <c r="FBH12" s="239"/>
      <c r="FBI12" s="239"/>
      <c r="FBJ12" s="239"/>
      <c r="FBK12" s="239"/>
      <c r="FBL12" s="239"/>
      <c r="FBM12" s="239"/>
      <c r="FBN12" s="239"/>
      <c r="FBO12" s="239"/>
      <c r="FBP12" s="239"/>
      <c r="FBQ12" s="239"/>
      <c r="FBR12" s="239"/>
      <c r="FBS12" s="239"/>
      <c r="FBT12" s="239"/>
      <c r="FBU12" s="239"/>
      <c r="FBV12" s="239"/>
      <c r="FBW12" s="239"/>
      <c r="FBX12" s="239"/>
      <c r="FBY12" s="239"/>
      <c r="FBZ12" s="239"/>
      <c r="FCA12" s="239"/>
      <c r="FCB12" s="239"/>
      <c r="FCC12" s="239"/>
      <c r="FCD12" s="239"/>
      <c r="FCE12" s="239"/>
      <c r="FCF12" s="239"/>
      <c r="FCG12" s="239"/>
      <c r="FCH12" s="239"/>
      <c r="FCI12" s="239"/>
      <c r="FCJ12" s="239"/>
      <c r="FCK12" s="239"/>
      <c r="FCL12" s="239"/>
      <c r="FCM12" s="239"/>
      <c r="FCN12" s="239"/>
      <c r="FCO12" s="239"/>
      <c r="FCP12" s="239"/>
      <c r="FCQ12" s="239"/>
      <c r="FCR12" s="239"/>
      <c r="FCS12" s="239"/>
      <c r="FCT12" s="239"/>
      <c r="FCU12" s="239"/>
      <c r="FCV12" s="239"/>
      <c r="FCW12" s="239"/>
      <c r="FCX12" s="239"/>
      <c r="FCY12" s="239"/>
      <c r="FCZ12" s="239"/>
      <c r="FDA12" s="239"/>
      <c r="FDB12" s="239"/>
      <c r="FDC12" s="239"/>
      <c r="FDD12" s="239"/>
      <c r="FDE12" s="239"/>
      <c r="FDF12" s="239"/>
      <c r="FDG12" s="239"/>
      <c r="FDH12" s="239"/>
      <c r="FDI12" s="239"/>
      <c r="FDJ12" s="239"/>
      <c r="FDK12" s="239"/>
      <c r="FDL12" s="239"/>
      <c r="FDM12" s="239"/>
      <c r="FDN12" s="239"/>
      <c r="FDO12" s="239"/>
      <c r="FDP12" s="239"/>
      <c r="FDQ12" s="239"/>
      <c r="FDR12" s="239"/>
      <c r="FDS12" s="239"/>
      <c r="FDT12" s="239"/>
      <c r="FDU12" s="239"/>
      <c r="FDV12" s="239"/>
      <c r="FDW12" s="239"/>
      <c r="FDX12" s="239"/>
      <c r="FDY12" s="239"/>
      <c r="FDZ12" s="239"/>
      <c r="FEA12" s="239"/>
      <c r="FEB12" s="239"/>
      <c r="FEC12" s="239"/>
      <c r="FED12" s="239"/>
      <c r="FEE12" s="239"/>
      <c r="FEF12" s="239"/>
      <c r="FEG12" s="239"/>
      <c r="FEH12" s="239"/>
      <c r="FEI12" s="239"/>
      <c r="FEJ12" s="239"/>
      <c r="FEK12" s="239"/>
      <c r="FEL12" s="239"/>
      <c r="FEM12" s="239"/>
      <c r="FEN12" s="239"/>
      <c r="FEO12" s="239"/>
      <c r="FEP12" s="239"/>
      <c r="FEQ12" s="239"/>
      <c r="FER12" s="239"/>
      <c r="FES12" s="239"/>
      <c r="FET12" s="239"/>
      <c r="FEU12" s="239"/>
      <c r="FEV12" s="239"/>
      <c r="FEW12" s="239"/>
      <c r="FEX12" s="239"/>
      <c r="FEY12" s="239"/>
      <c r="FEZ12" s="239"/>
      <c r="FFA12" s="239"/>
      <c r="FFB12" s="239"/>
      <c r="FFC12" s="239"/>
      <c r="FFD12" s="239"/>
      <c r="FFE12" s="239"/>
      <c r="FFF12" s="239"/>
      <c r="FFG12" s="239"/>
      <c r="FFH12" s="239"/>
      <c r="FFI12" s="239"/>
      <c r="FFJ12" s="239"/>
      <c r="FFK12" s="239"/>
      <c r="FFL12" s="239"/>
      <c r="FFM12" s="239"/>
      <c r="FFN12" s="239"/>
      <c r="FFO12" s="239"/>
      <c r="FFP12" s="239"/>
      <c r="FFQ12" s="239"/>
      <c r="FFR12" s="239"/>
      <c r="FFS12" s="239"/>
      <c r="FFT12" s="239"/>
      <c r="FFU12" s="239"/>
      <c r="FFV12" s="239"/>
      <c r="FFW12" s="239"/>
      <c r="FFX12" s="239"/>
      <c r="FFY12" s="239"/>
      <c r="FFZ12" s="239"/>
      <c r="FGA12" s="239"/>
      <c r="FGB12" s="239"/>
      <c r="FGC12" s="239"/>
      <c r="FGD12" s="239"/>
      <c r="FGE12" s="239"/>
      <c r="FGF12" s="239"/>
      <c r="FGG12" s="239"/>
      <c r="FGH12" s="239"/>
      <c r="FGI12" s="239"/>
      <c r="FGJ12" s="239"/>
      <c r="FGK12" s="239"/>
      <c r="FGL12" s="239"/>
      <c r="FGM12" s="239"/>
      <c r="FGN12" s="239"/>
      <c r="FGO12" s="239"/>
      <c r="FGP12" s="239"/>
      <c r="FGQ12" s="239"/>
      <c r="FGR12" s="239"/>
      <c r="FGS12" s="239"/>
      <c r="FGT12" s="239"/>
      <c r="FGU12" s="239"/>
      <c r="FGV12" s="239"/>
      <c r="FGW12" s="239"/>
      <c r="FGX12" s="239"/>
      <c r="FGY12" s="239"/>
      <c r="FGZ12" s="239"/>
      <c r="FHA12" s="239"/>
      <c r="FHB12" s="239"/>
      <c r="FHC12" s="239"/>
      <c r="FHD12" s="239"/>
      <c r="FHE12" s="239"/>
      <c r="FHF12" s="239"/>
      <c r="FHG12" s="239"/>
      <c r="FHH12" s="239"/>
      <c r="FHI12" s="239"/>
      <c r="FHJ12" s="239"/>
      <c r="FHK12" s="239"/>
      <c r="FHL12" s="239"/>
      <c r="FHM12" s="239"/>
      <c r="FHN12" s="239"/>
      <c r="FHO12" s="239"/>
      <c r="FHP12" s="239"/>
      <c r="FHQ12" s="239"/>
      <c r="FHR12" s="239"/>
      <c r="FHS12" s="239"/>
      <c r="FHT12" s="239"/>
      <c r="FHU12" s="239"/>
      <c r="FHV12" s="239"/>
      <c r="FHW12" s="239"/>
      <c r="FHX12" s="239"/>
      <c r="FHY12" s="239"/>
      <c r="FHZ12" s="239"/>
      <c r="FIA12" s="239"/>
      <c r="FIB12" s="239"/>
      <c r="FIC12" s="239"/>
      <c r="FID12" s="239"/>
      <c r="FIE12" s="239"/>
      <c r="FIF12" s="239"/>
      <c r="FIG12" s="239"/>
      <c r="FIH12" s="239"/>
      <c r="FII12" s="239"/>
      <c r="FIJ12" s="239"/>
      <c r="FIK12" s="239"/>
      <c r="FIL12" s="239"/>
      <c r="FIM12" s="239"/>
      <c r="FIN12" s="239"/>
      <c r="FIO12" s="239"/>
      <c r="FIP12" s="239"/>
      <c r="FIQ12" s="239"/>
      <c r="FIR12" s="239"/>
      <c r="FIS12" s="239"/>
      <c r="FIT12" s="239"/>
      <c r="FIU12" s="239"/>
      <c r="FIV12" s="239"/>
      <c r="FIW12" s="239"/>
      <c r="FIX12" s="239"/>
      <c r="FIY12" s="239"/>
      <c r="FIZ12" s="239"/>
      <c r="FJA12" s="239"/>
      <c r="FJB12" s="239"/>
      <c r="FJC12" s="239"/>
      <c r="FJD12" s="239"/>
      <c r="FJE12" s="239"/>
      <c r="FJF12" s="239"/>
      <c r="FJG12" s="239"/>
      <c r="FJH12" s="239"/>
      <c r="FJI12" s="239"/>
      <c r="FJJ12" s="239"/>
      <c r="FJK12" s="239"/>
      <c r="FJL12" s="239"/>
      <c r="FJM12" s="239"/>
      <c r="FJN12" s="239"/>
      <c r="FJO12" s="239"/>
      <c r="FJP12" s="239"/>
      <c r="FJQ12" s="239"/>
      <c r="FJR12" s="239"/>
      <c r="FJS12" s="239"/>
      <c r="FJT12" s="239"/>
      <c r="FJU12" s="239"/>
      <c r="FJV12" s="239"/>
      <c r="FJW12" s="239"/>
      <c r="FJX12" s="239"/>
      <c r="FJY12" s="239"/>
      <c r="FJZ12" s="239"/>
      <c r="FKA12" s="239"/>
      <c r="FKB12" s="239"/>
      <c r="FKC12" s="239"/>
      <c r="FKD12" s="239"/>
      <c r="FKE12" s="239"/>
      <c r="FKF12" s="239"/>
      <c r="FKG12" s="239"/>
      <c r="FKH12" s="239"/>
      <c r="FKI12" s="239"/>
      <c r="FKJ12" s="239"/>
      <c r="FKK12" s="239"/>
      <c r="FKL12" s="239"/>
      <c r="FKM12" s="239"/>
      <c r="FKN12" s="239"/>
      <c r="FKO12" s="239"/>
      <c r="FKP12" s="239"/>
      <c r="FKQ12" s="239"/>
      <c r="FKR12" s="239"/>
      <c r="FKS12" s="239"/>
      <c r="FKT12" s="239"/>
      <c r="FKU12" s="239"/>
      <c r="FKV12" s="239"/>
      <c r="FKW12" s="239"/>
      <c r="FKX12" s="239"/>
      <c r="FKY12" s="239"/>
      <c r="FKZ12" s="239"/>
      <c r="FLA12" s="239"/>
      <c r="FLB12" s="239"/>
      <c r="FLC12" s="239"/>
      <c r="FLD12" s="239"/>
      <c r="FLE12" s="239"/>
      <c r="FLF12" s="239"/>
      <c r="FLG12" s="239"/>
      <c r="FLH12" s="239"/>
      <c r="FLI12" s="239"/>
      <c r="FLJ12" s="239"/>
      <c r="FLK12" s="239"/>
      <c r="FLL12" s="239"/>
      <c r="FLM12" s="239"/>
      <c r="FLN12" s="239"/>
      <c r="FLO12" s="239"/>
      <c r="FLP12" s="239"/>
      <c r="FLQ12" s="239"/>
      <c r="FLR12" s="239"/>
      <c r="FLS12" s="239"/>
      <c r="FLT12" s="239"/>
      <c r="FLU12" s="239"/>
      <c r="FLV12" s="239"/>
      <c r="FLW12" s="239"/>
      <c r="FLX12" s="239"/>
      <c r="FLY12" s="239"/>
      <c r="FLZ12" s="239"/>
      <c r="FMA12" s="239"/>
      <c r="FMB12" s="239"/>
      <c r="FMC12" s="239"/>
      <c r="FMD12" s="239"/>
      <c r="FME12" s="239"/>
      <c r="FMF12" s="239"/>
      <c r="FMG12" s="239"/>
      <c r="FMH12" s="239"/>
      <c r="FMI12" s="239"/>
      <c r="FMJ12" s="239"/>
      <c r="FMK12" s="239"/>
      <c r="FML12" s="239"/>
      <c r="FMM12" s="239"/>
      <c r="FMN12" s="239"/>
      <c r="FMO12" s="239"/>
      <c r="FMP12" s="239"/>
      <c r="FMQ12" s="239"/>
      <c r="FMR12" s="239"/>
      <c r="FMS12" s="239"/>
      <c r="FMT12" s="239"/>
      <c r="FMU12" s="239"/>
      <c r="FMV12" s="239"/>
      <c r="FMW12" s="239"/>
      <c r="FMX12" s="239"/>
      <c r="FMY12" s="239"/>
      <c r="FMZ12" s="239"/>
      <c r="FNA12" s="239"/>
      <c r="FNB12" s="239"/>
      <c r="FNC12" s="239"/>
      <c r="FND12" s="239"/>
      <c r="FNE12" s="239"/>
      <c r="FNF12" s="239"/>
      <c r="FNG12" s="239"/>
      <c r="FNH12" s="239"/>
      <c r="FNI12" s="239"/>
      <c r="FNJ12" s="239"/>
      <c r="FNK12" s="239"/>
      <c r="FNL12" s="239"/>
      <c r="FNM12" s="239"/>
      <c r="FNN12" s="239"/>
      <c r="FNO12" s="239"/>
      <c r="FNP12" s="239"/>
      <c r="FNQ12" s="239"/>
      <c r="FNR12" s="239"/>
      <c r="FNS12" s="239"/>
      <c r="FNT12" s="239"/>
      <c r="FNU12" s="239"/>
      <c r="FNV12" s="239"/>
      <c r="FNW12" s="239"/>
      <c r="FNX12" s="239"/>
      <c r="FNY12" s="239"/>
      <c r="FNZ12" s="239"/>
      <c r="FOA12" s="239"/>
      <c r="FOB12" s="239"/>
      <c r="FOC12" s="239"/>
      <c r="FOD12" s="239"/>
      <c r="FOE12" s="239"/>
      <c r="FOF12" s="239"/>
      <c r="FOG12" s="239"/>
      <c r="FOH12" s="239"/>
      <c r="FOI12" s="239"/>
      <c r="FOJ12" s="239"/>
      <c r="FOK12" s="239"/>
      <c r="FOL12" s="239"/>
      <c r="FOM12" s="239"/>
      <c r="FON12" s="239"/>
      <c r="FOO12" s="239"/>
      <c r="FOP12" s="239"/>
      <c r="FOQ12" s="239"/>
      <c r="FOR12" s="239"/>
      <c r="FOS12" s="239"/>
      <c r="FOT12" s="239"/>
      <c r="FOU12" s="239"/>
      <c r="FOV12" s="239"/>
      <c r="FOW12" s="239"/>
      <c r="FOX12" s="239"/>
      <c r="FOY12" s="239"/>
      <c r="FOZ12" s="239"/>
      <c r="FPA12" s="239"/>
      <c r="FPB12" s="239"/>
      <c r="FPC12" s="239"/>
      <c r="FPD12" s="239"/>
      <c r="FPE12" s="239"/>
      <c r="FPF12" s="239"/>
      <c r="FPG12" s="239"/>
      <c r="FPH12" s="239"/>
      <c r="FPI12" s="239"/>
      <c r="FPJ12" s="239"/>
      <c r="FPK12" s="239"/>
      <c r="FPL12" s="239"/>
      <c r="FPM12" s="239"/>
      <c r="FPN12" s="239"/>
      <c r="FPO12" s="239"/>
      <c r="FPP12" s="239"/>
      <c r="FPQ12" s="239"/>
      <c r="FPR12" s="239"/>
      <c r="FPS12" s="239"/>
      <c r="FPT12" s="239"/>
      <c r="FPU12" s="239"/>
      <c r="FPV12" s="239"/>
      <c r="FPW12" s="239"/>
      <c r="FPX12" s="239"/>
      <c r="FPY12" s="239"/>
      <c r="FPZ12" s="239"/>
      <c r="FQA12" s="239"/>
      <c r="FQB12" s="239"/>
      <c r="FQC12" s="239"/>
      <c r="FQD12" s="239"/>
      <c r="FQE12" s="239"/>
      <c r="FQF12" s="239"/>
      <c r="FQG12" s="239"/>
      <c r="FQH12" s="239"/>
      <c r="FQI12" s="239"/>
      <c r="FQJ12" s="239"/>
      <c r="FQK12" s="239"/>
      <c r="FQL12" s="239"/>
      <c r="FQM12" s="239"/>
      <c r="FQN12" s="239"/>
      <c r="FQO12" s="239"/>
      <c r="FQP12" s="239"/>
      <c r="FQQ12" s="239"/>
      <c r="FQR12" s="239"/>
      <c r="FQS12" s="239"/>
      <c r="FQT12" s="239"/>
      <c r="FQU12" s="239"/>
      <c r="FQV12" s="239"/>
      <c r="FQW12" s="239"/>
      <c r="FQX12" s="239"/>
      <c r="FQY12" s="239"/>
      <c r="FQZ12" s="239"/>
      <c r="FRA12" s="239"/>
      <c r="FRB12" s="239"/>
      <c r="FRC12" s="239"/>
      <c r="FRD12" s="239"/>
      <c r="FRE12" s="239"/>
      <c r="FRF12" s="239"/>
      <c r="FRG12" s="239"/>
      <c r="FRH12" s="239"/>
      <c r="FRI12" s="239"/>
      <c r="FRJ12" s="239"/>
      <c r="FRK12" s="239"/>
      <c r="FRL12" s="239"/>
      <c r="FRM12" s="239"/>
      <c r="FRN12" s="239"/>
      <c r="FRO12" s="239"/>
      <c r="FRP12" s="239"/>
      <c r="FRQ12" s="239"/>
      <c r="FRR12" s="239"/>
      <c r="FRS12" s="239"/>
      <c r="FRT12" s="239"/>
      <c r="FRU12" s="239"/>
      <c r="FRV12" s="239"/>
      <c r="FRW12" s="239"/>
      <c r="FRX12" s="239"/>
      <c r="FRY12" s="239"/>
      <c r="FRZ12" s="239"/>
      <c r="FSA12" s="239"/>
      <c r="FSB12" s="239"/>
      <c r="FSC12" s="239"/>
      <c r="FSD12" s="239"/>
      <c r="FSE12" s="239"/>
      <c r="FSF12" s="239"/>
      <c r="FSG12" s="239"/>
      <c r="FSH12" s="239"/>
      <c r="FSI12" s="239"/>
      <c r="FSJ12" s="239"/>
      <c r="FSK12" s="239"/>
      <c r="FSL12" s="239"/>
      <c r="FSM12" s="239"/>
      <c r="FSN12" s="239"/>
      <c r="FSO12" s="239"/>
      <c r="FSP12" s="239"/>
      <c r="FSQ12" s="239"/>
      <c r="FSR12" s="239"/>
      <c r="FSS12" s="239"/>
      <c r="FST12" s="239"/>
      <c r="FSU12" s="239"/>
      <c r="FSV12" s="239"/>
      <c r="FSW12" s="239"/>
      <c r="FSX12" s="239"/>
      <c r="FSY12" s="239"/>
      <c r="FSZ12" s="239"/>
      <c r="FTA12" s="239"/>
      <c r="FTB12" s="239"/>
      <c r="FTC12" s="239"/>
      <c r="FTD12" s="239"/>
      <c r="FTE12" s="239"/>
      <c r="FTF12" s="239"/>
      <c r="FTG12" s="239"/>
      <c r="FTH12" s="239"/>
      <c r="FTI12" s="239"/>
      <c r="FTJ12" s="239"/>
      <c r="FTK12" s="239"/>
      <c r="FTL12" s="239"/>
      <c r="FTM12" s="239"/>
      <c r="FTN12" s="239"/>
      <c r="FTO12" s="239"/>
      <c r="FTP12" s="239"/>
      <c r="FTQ12" s="239"/>
      <c r="FTR12" s="239"/>
      <c r="FTS12" s="239"/>
      <c r="FTT12" s="239"/>
      <c r="FTU12" s="239"/>
      <c r="FTV12" s="239"/>
      <c r="FTW12" s="239"/>
      <c r="FTX12" s="239"/>
      <c r="FTY12" s="239"/>
      <c r="FTZ12" s="239"/>
      <c r="FUA12" s="239"/>
      <c r="FUB12" s="239"/>
      <c r="FUC12" s="239"/>
      <c r="FUD12" s="239"/>
      <c r="FUE12" s="239"/>
      <c r="FUF12" s="239"/>
      <c r="FUG12" s="239"/>
      <c r="FUH12" s="239"/>
      <c r="FUI12" s="239"/>
      <c r="FUJ12" s="239"/>
      <c r="FUK12" s="239"/>
      <c r="FUL12" s="239"/>
      <c r="FUM12" s="239"/>
      <c r="FUN12" s="239"/>
      <c r="FUO12" s="239"/>
      <c r="FUP12" s="239"/>
      <c r="FUQ12" s="239"/>
      <c r="FUR12" s="239"/>
      <c r="FUS12" s="239"/>
      <c r="FUT12" s="239"/>
      <c r="FUU12" s="239"/>
      <c r="FUV12" s="239"/>
      <c r="FUW12" s="239"/>
      <c r="FUX12" s="239"/>
      <c r="FUY12" s="239"/>
      <c r="FUZ12" s="239"/>
      <c r="FVA12" s="239"/>
      <c r="FVB12" s="239"/>
      <c r="FVC12" s="239"/>
      <c r="FVD12" s="239"/>
      <c r="FVE12" s="239"/>
      <c r="FVF12" s="239"/>
      <c r="FVG12" s="239"/>
      <c r="FVH12" s="239"/>
      <c r="FVI12" s="239"/>
      <c r="FVJ12" s="239"/>
      <c r="FVK12" s="239"/>
      <c r="FVL12" s="239"/>
      <c r="FVM12" s="239"/>
      <c r="FVN12" s="239"/>
      <c r="FVO12" s="239"/>
      <c r="FVP12" s="239"/>
      <c r="FVQ12" s="239"/>
      <c r="FVR12" s="239"/>
      <c r="FVS12" s="239"/>
      <c r="FVT12" s="239"/>
      <c r="FVU12" s="239"/>
      <c r="FVV12" s="239"/>
      <c r="FVW12" s="239"/>
      <c r="FVX12" s="239"/>
      <c r="FVY12" s="239"/>
      <c r="FVZ12" s="239"/>
      <c r="FWA12" s="239"/>
      <c r="FWB12" s="239"/>
      <c r="FWC12" s="239"/>
      <c r="FWD12" s="239"/>
      <c r="FWE12" s="239"/>
      <c r="FWF12" s="239"/>
      <c r="FWG12" s="239"/>
      <c r="FWH12" s="239"/>
      <c r="FWI12" s="239"/>
      <c r="FWJ12" s="239"/>
      <c r="FWK12" s="239"/>
      <c r="FWL12" s="239"/>
      <c r="FWM12" s="239"/>
      <c r="FWN12" s="239"/>
      <c r="FWO12" s="239"/>
      <c r="FWP12" s="239"/>
      <c r="FWQ12" s="239"/>
      <c r="FWR12" s="239"/>
      <c r="FWS12" s="239"/>
      <c r="FWT12" s="239"/>
      <c r="FWU12" s="239"/>
      <c r="FWV12" s="239"/>
      <c r="FWW12" s="239"/>
      <c r="FWX12" s="239"/>
      <c r="FWY12" s="239"/>
      <c r="FWZ12" s="239"/>
      <c r="FXA12" s="239"/>
      <c r="FXB12" s="239"/>
      <c r="FXC12" s="239"/>
      <c r="FXD12" s="239"/>
      <c r="FXE12" s="239"/>
      <c r="FXF12" s="239"/>
      <c r="FXG12" s="239"/>
      <c r="FXH12" s="239"/>
      <c r="FXI12" s="239"/>
      <c r="FXJ12" s="239"/>
      <c r="FXK12" s="239"/>
      <c r="FXL12" s="239"/>
      <c r="FXM12" s="239"/>
      <c r="FXN12" s="239"/>
      <c r="FXO12" s="239"/>
      <c r="FXP12" s="239"/>
      <c r="FXQ12" s="239"/>
      <c r="FXR12" s="239"/>
      <c r="FXS12" s="239"/>
      <c r="FXT12" s="239"/>
      <c r="FXU12" s="239"/>
      <c r="FXV12" s="239"/>
      <c r="FXW12" s="239"/>
      <c r="FXX12" s="239"/>
      <c r="FXY12" s="239"/>
      <c r="FXZ12" s="239"/>
      <c r="FYA12" s="239"/>
      <c r="FYB12" s="239"/>
      <c r="FYC12" s="239"/>
      <c r="FYD12" s="239"/>
      <c r="FYE12" s="239"/>
      <c r="FYF12" s="239"/>
      <c r="FYG12" s="239"/>
      <c r="FYH12" s="239"/>
      <c r="FYI12" s="239"/>
      <c r="FYJ12" s="239"/>
      <c r="FYK12" s="239"/>
      <c r="FYL12" s="239"/>
      <c r="FYM12" s="239"/>
      <c r="FYN12" s="239"/>
      <c r="FYO12" s="239"/>
      <c r="FYP12" s="239"/>
      <c r="FYQ12" s="239"/>
      <c r="FYR12" s="239"/>
      <c r="FYS12" s="239"/>
      <c r="FYT12" s="239"/>
      <c r="FYU12" s="239"/>
      <c r="FYV12" s="239"/>
      <c r="FYW12" s="239"/>
      <c r="FYX12" s="239"/>
      <c r="FYY12" s="239"/>
      <c r="FYZ12" s="239"/>
      <c r="FZA12" s="239"/>
      <c r="FZB12" s="239"/>
      <c r="FZC12" s="239"/>
      <c r="FZD12" s="239"/>
      <c r="FZE12" s="239"/>
      <c r="FZF12" s="239"/>
      <c r="FZG12" s="239"/>
      <c r="FZH12" s="239"/>
      <c r="FZI12" s="239"/>
      <c r="FZJ12" s="239"/>
      <c r="FZK12" s="239"/>
      <c r="FZL12" s="239"/>
      <c r="FZM12" s="239"/>
      <c r="FZN12" s="239"/>
      <c r="FZO12" s="239"/>
      <c r="FZP12" s="239"/>
      <c r="FZQ12" s="239"/>
      <c r="FZR12" s="239"/>
      <c r="FZS12" s="239"/>
      <c r="FZT12" s="239"/>
      <c r="FZU12" s="239"/>
      <c r="FZV12" s="239"/>
      <c r="FZW12" s="239"/>
      <c r="FZX12" s="239"/>
      <c r="FZY12" s="239"/>
      <c r="FZZ12" s="239"/>
      <c r="GAA12" s="239"/>
      <c r="GAB12" s="239"/>
      <c r="GAC12" s="239"/>
      <c r="GAD12" s="239"/>
      <c r="GAE12" s="239"/>
      <c r="GAF12" s="239"/>
      <c r="GAG12" s="239"/>
      <c r="GAH12" s="239"/>
      <c r="GAI12" s="239"/>
      <c r="GAJ12" s="239"/>
      <c r="GAK12" s="239"/>
      <c r="GAL12" s="239"/>
      <c r="GAM12" s="239"/>
      <c r="GAN12" s="239"/>
      <c r="GAO12" s="239"/>
      <c r="GAP12" s="239"/>
      <c r="GAQ12" s="239"/>
      <c r="GAR12" s="239"/>
      <c r="GAS12" s="239"/>
      <c r="GAT12" s="239"/>
      <c r="GAU12" s="239"/>
      <c r="GAV12" s="239"/>
      <c r="GAW12" s="239"/>
      <c r="GAX12" s="239"/>
      <c r="GAY12" s="239"/>
      <c r="GAZ12" s="239"/>
      <c r="GBA12" s="239"/>
      <c r="GBB12" s="239"/>
      <c r="GBC12" s="239"/>
      <c r="GBD12" s="239"/>
      <c r="GBE12" s="239"/>
      <c r="GBF12" s="239"/>
      <c r="GBG12" s="239"/>
      <c r="GBH12" s="239"/>
      <c r="GBI12" s="239"/>
      <c r="GBJ12" s="239"/>
      <c r="GBK12" s="239"/>
      <c r="GBL12" s="239"/>
      <c r="GBM12" s="239"/>
      <c r="GBN12" s="239"/>
      <c r="GBO12" s="239"/>
      <c r="GBP12" s="239"/>
      <c r="GBQ12" s="239"/>
      <c r="GBR12" s="239"/>
      <c r="GBS12" s="239"/>
      <c r="GBT12" s="239"/>
      <c r="GBU12" s="239"/>
      <c r="GBV12" s="239"/>
      <c r="GBW12" s="239"/>
      <c r="GBX12" s="239"/>
      <c r="GBY12" s="239"/>
      <c r="GBZ12" s="239"/>
      <c r="GCA12" s="239"/>
      <c r="GCB12" s="239"/>
      <c r="GCC12" s="239"/>
      <c r="GCD12" s="239"/>
      <c r="GCE12" s="239"/>
      <c r="GCF12" s="239"/>
      <c r="GCG12" s="239"/>
      <c r="GCH12" s="239"/>
      <c r="GCI12" s="239"/>
      <c r="GCJ12" s="239"/>
      <c r="GCK12" s="239"/>
      <c r="GCL12" s="239"/>
      <c r="GCM12" s="239"/>
      <c r="GCN12" s="239"/>
      <c r="GCO12" s="239"/>
      <c r="GCP12" s="239"/>
      <c r="GCQ12" s="239"/>
      <c r="GCR12" s="239"/>
      <c r="GCS12" s="239"/>
      <c r="GCT12" s="239"/>
      <c r="GCU12" s="239"/>
      <c r="GCV12" s="239"/>
      <c r="GCW12" s="239"/>
      <c r="GCX12" s="239"/>
      <c r="GCY12" s="239"/>
      <c r="GCZ12" s="239"/>
      <c r="GDA12" s="239"/>
      <c r="GDB12" s="239"/>
      <c r="GDC12" s="239"/>
      <c r="GDD12" s="239"/>
      <c r="GDE12" s="239"/>
      <c r="GDF12" s="239"/>
      <c r="GDG12" s="239"/>
      <c r="GDH12" s="239"/>
      <c r="GDI12" s="239"/>
      <c r="GDJ12" s="239"/>
      <c r="GDK12" s="239"/>
      <c r="GDL12" s="239"/>
      <c r="GDM12" s="239"/>
      <c r="GDN12" s="239"/>
      <c r="GDO12" s="239"/>
      <c r="GDP12" s="239"/>
      <c r="GDQ12" s="239"/>
      <c r="GDR12" s="239"/>
      <c r="GDS12" s="239"/>
      <c r="GDT12" s="239"/>
      <c r="GDU12" s="239"/>
      <c r="GDV12" s="239"/>
      <c r="GDW12" s="239"/>
      <c r="GDX12" s="239"/>
      <c r="GDY12" s="239"/>
      <c r="GDZ12" s="239"/>
      <c r="GEA12" s="239"/>
      <c r="GEB12" s="239"/>
      <c r="GEC12" s="239"/>
      <c r="GED12" s="239"/>
      <c r="GEE12" s="239"/>
      <c r="GEF12" s="239"/>
      <c r="GEG12" s="239"/>
      <c r="GEH12" s="239"/>
      <c r="GEI12" s="239"/>
      <c r="GEJ12" s="239"/>
      <c r="GEK12" s="239"/>
      <c r="GEL12" s="239"/>
      <c r="GEM12" s="239"/>
      <c r="GEN12" s="239"/>
      <c r="GEO12" s="239"/>
      <c r="GEP12" s="239"/>
      <c r="GEQ12" s="239"/>
      <c r="GER12" s="239"/>
      <c r="GES12" s="239"/>
      <c r="GET12" s="239"/>
      <c r="GEU12" s="239"/>
      <c r="GEV12" s="239"/>
      <c r="GEW12" s="239"/>
      <c r="GEX12" s="239"/>
      <c r="GEY12" s="239"/>
      <c r="GEZ12" s="239"/>
      <c r="GFA12" s="239"/>
      <c r="GFB12" s="239"/>
      <c r="GFC12" s="239"/>
      <c r="GFD12" s="239"/>
      <c r="GFE12" s="239"/>
      <c r="GFF12" s="239"/>
      <c r="GFG12" s="239"/>
      <c r="GFH12" s="239"/>
      <c r="GFI12" s="239"/>
      <c r="GFJ12" s="239"/>
      <c r="GFK12" s="239"/>
      <c r="GFL12" s="239"/>
      <c r="GFM12" s="239"/>
      <c r="GFN12" s="239"/>
      <c r="GFO12" s="239"/>
      <c r="GFP12" s="239"/>
      <c r="GFQ12" s="239"/>
      <c r="GFR12" s="239"/>
      <c r="GFS12" s="239"/>
      <c r="GFT12" s="239"/>
      <c r="GFU12" s="239"/>
      <c r="GFV12" s="239"/>
      <c r="GFW12" s="239"/>
      <c r="GFX12" s="239"/>
      <c r="GFY12" s="239"/>
      <c r="GFZ12" s="239"/>
      <c r="GGA12" s="239"/>
      <c r="GGB12" s="239"/>
      <c r="GGC12" s="239"/>
      <c r="GGD12" s="239"/>
      <c r="GGE12" s="239"/>
      <c r="GGF12" s="239"/>
      <c r="GGG12" s="239"/>
      <c r="GGH12" s="239"/>
      <c r="GGI12" s="239"/>
      <c r="GGJ12" s="239"/>
      <c r="GGK12" s="239"/>
      <c r="GGL12" s="239"/>
      <c r="GGM12" s="239"/>
      <c r="GGN12" s="239"/>
      <c r="GGO12" s="239"/>
      <c r="GGP12" s="239"/>
      <c r="GGQ12" s="239"/>
      <c r="GGR12" s="239"/>
      <c r="GGS12" s="239"/>
      <c r="GGT12" s="239"/>
      <c r="GGU12" s="239"/>
      <c r="GGV12" s="239"/>
      <c r="GGW12" s="239"/>
      <c r="GGX12" s="239"/>
      <c r="GGY12" s="239"/>
      <c r="GGZ12" s="239"/>
      <c r="GHA12" s="239"/>
      <c r="GHB12" s="239"/>
      <c r="GHC12" s="239"/>
      <c r="GHD12" s="239"/>
      <c r="GHE12" s="239"/>
      <c r="GHF12" s="239"/>
      <c r="GHG12" s="239"/>
      <c r="GHH12" s="239"/>
      <c r="GHI12" s="239"/>
      <c r="GHJ12" s="239"/>
      <c r="GHK12" s="239"/>
      <c r="GHL12" s="239"/>
      <c r="GHM12" s="239"/>
      <c r="GHN12" s="239"/>
      <c r="GHO12" s="239"/>
      <c r="GHP12" s="239"/>
      <c r="GHQ12" s="239"/>
      <c r="GHR12" s="239"/>
      <c r="GHS12" s="239"/>
      <c r="GHT12" s="239"/>
      <c r="GHU12" s="239"/>
      <c r="GHV12" s="239"/>
      <c r="GHW12" s="239"/>
      <c r="GHX12" s="239"/>
      <c r="GHY12" s="239"/>
      <c r="GHZ12" s="239"/>
      <c r="GIA12" s="239"/>
      <c r="GIB12" s="239"/>
      <c r="GIC12" s="239"/>
      <c r="GID12" s="239"/>
      <c r="GIE12" s="239"/>
      <c r="GIF12" s="239"/>
      <c r="GIG12" s="239"/>
      <c r="GIH12" s="239"/>
      <c r="GII12" s="239"/>
      <c r="GIJ12" s="239"/>
      <c r="GIK12" s="239"/>
      <c r="GIL12" s="239"/>
      <c r="GIM12" s="239"/>
      <c r="GIN12" s="239"/>
      <c r="GIO12" s="239"/>
      <c r="GIP12" s="239"/>
      <c r="GIQ12" s="239"/>
      <c r="GIR12" s="239"/>
      <c r="GIS12" s="239"/>
      <c r="GIT12" s="239"/>
      <c r="GIU12" s="239"/>
      <c r="GIV12" s="239"/>
      <c r="GIW12" s="239"/>
      <c r="GIX12" s="239"/>
      <c r="GIY12" s="239"/>
      <c r="GIZ12" s="239"/>
      <c r="GJA12" s="239"/>
      <c r="GJB12" s="239"/>
      <c r="GJC12" s="239"/>
      <c r="GJD12" s="239"/>
      <c r="GJE12" s="239"/>
      <c r="GJF12" s="239"/>
      <c r="GJG12" s="239"/>
      <c r="GJH12" s="239"/>
      <c r="GJI12" s="239"/>
      <c r="GJJ12" s="239"/>
      <c r="GJK12" s="239"/>
      <c r="GJL12" s="239"/>
      <c r="GJM12" s="239"/>
      <c r="GJN12" s="239"/>
      <c r="GJO12" s="239"/>
      <c r="GJP12" s="239"/>
      <c r="GJQ12" s="239"/>
      <c r="GJR12" s="239"/>
      <c r="GJS12" s="239"/>
      <c r="GJT12" s="239"/>
      <c r="GJU12" s="239"/>
      <c r="GJV12" s="239"/>
      <c r="GJW12" s="239"/>
      <c r="GJX12" s="239"/>
      <c r="GJY12" s="239"/>
      <c r="GJZ12" s="239"/>
      <c r="GKA12" s="239"/>
      <c r="GKB12" s="239"/>
      <c r="GKC12" s="239"/>
      <c r="GKD12" s="239"/>
      <c r="GKE12" s="239"/>
      <c r="GKF12" s="239"/>
      <c r="GKG12" s="239"/>
      <c r="GKH12" s="239"/>
      <c r="GKI12" s="239"/>
      <c r="GKJ12" s="239"/>
      <c r="GKK12" s="239"/>
      <c r="GKL12" s="239"/>
      <c r="GKM12" s="239"/>
      <c r="GKN12" s="239"/>
      <c r="GKO12" s="239"/>
      <c r="GKP12" s="239"/>
      <c r="GKQ12" s="239"/>
      <c r="GKR12" s="239"/>
      <c r="GKS12" s="239"/>
      <c r="GKT12" s="239"/>
      <c r="GKU12" s="239"/>
      <c r="GKV12" s="239"/>
      <c r="GKW12" s="239"/>
      <c r="GKX12" s="239"/>
      <c r="GKY12" s="239"/>
      <c r="GKZ12" s="239"/>
      <c r="GLA12" s="239"/>
      <c r="GLB12" s="239"/>
      <c r="GLC12" s="239"/>
      <c r="GLD12" s="239"/>
      <c r="GLE12" s="239"/>
      <c r="GLF12" s="239"/>
      <c r="GLG12" s="239"/>
      <c r="GLH12" s="239"/>
      <c r="GLI12" s="239"/>
      <c r="GLJ12" s="239"/>
      <c r="GLK12" s="239"/>
      <c r="GLL12" s="239"/>
      <c r="GLM12" s="239"/>
      <c r="GLN12" s="239"/>
      <c r="GLO12" s="239"/>
      <c r="GLP12" s="239"/>
      <c r="GLQ12" s="239"/>
      <c r="GLR12" s="239"/>
      <c r="GLS12" s="239"/>
      <c r="GLT12" s="239"/>
      <c r="GLU12" s="239"/>
      <c r="GLV12" s="239"/>
      <c r="GLW12" s="239"/>
      <c r="GLX12" s="239"/>
      <c r="GLY12" s="239"/>
      <c r="GLZ12" s="239"/>
      <c r="GMA12" s="239"/>
      <c r="GMB12" s="239"/>
      <c r="GMC12" s="239"/>
      <c r="GMD12" s="239"/>
      <c r="GME12" s="239"/>
      <c r="GMF12" s="239"/>
      <c r="GMG12" s="239"/>
      <c r="GMH12" s="239"/>
      <c r="GMI12" s="239"/>
      <c r="GMJ12" s="239"/>
      <c r="GMK12" s="239"/>
      <c r="GML12" s="239"/>
      <c r="GMM12" s="239"/>
      <c r="GMN12" s="239"/>
      <c r="GMO12" s="239"/>
      <c r="GMP12" s="239"/>
      <c r="GMQ12" s="239"/>
      <c r="GMR12" s="239"/>
      <c r="GMS12" s="239"/>
      <c r="GMT12" s="239"/>
      <c r="GMU12" s="239"/>
      <c r="GMV12" s="239"/>
      <c r="GMW12" s="239"/>
      <c r="GMX12" s="239"/>
      <c r="GMY12" s="239"/>
      <c r="GMZ12" s="239"/>
      <c r="GNA12" s="239"/>
      <c r="GNB12" s="239"/>
      <c r="GNC12" s="239"/>
      <c r="GND12" s="239"/>
      <c r="GNE12" s="239"/>
      <c r="GNF12" s="239"/>
      <c r="GNG12" s="239"/>
      <c r="GNH12" s="239"/>
      <c r="GNI12" s="239"/>
      <c r="GNJ12" s="239"/>
      <c r="GNK12" s="239"/>
      <c r="GNL12" s="239"/>
      <c r="GNM12" s="239"/>
      <c r="GNN12" s="239"/>
      <c r="GNO12" s="239"/>
      <c r="GNP12" s="239"/>
      <c r="GNQ12" s="239"/>
      <c r="GNR12" s="239"/>
      <c r="GNS12" s="239"/>
      <c r="GNT12" s="239"/>
      <c r="GNU12" s="239"/>
      <c r="GNV12" s="239"/>
      <c r="GNW12" s="239"/>
      <c r="GNX12" s="239"/>
      <c r="GNY12" s="239"/>
      <c r="GNZ12" s="239"/>
      <c r="GOA12" s="239"/>
      <c r="GOB12" s="239"/>
      <c r="GOC12" s="239"/>
      <c r="GOD12" s="239"/>
      <c r="GOE12" s="239"/>
      <c r="GOF12" s="239"/>
      <c r="GOG12" s="239"/>
      <c r="GOH12" s="239"/>
      <c r="GOI12" s="239"/>
      <c r="GOJ12" s="239"/>
      <c r="GOK12" s="239"/>
      <c r="GOL12" s="239"/>
      <c r="GOM12" s="239"/>
      <c r="GON12" s="239"/>
      <c r="GOO12" s="239"/>
      <c r="GOP12" s="239"/>
      <c r="GOQ12" s="239"/>
      <c r="GOR12" s="239"/>
      <c r="GOS12" s="239"/>
      <c r="GOT12" s="239"/>
      <c r="GOU12" s="239"/>
      <c r="GOV12" s="239"/>
      <c r="GOW12" s="239"/>
      <c r="GOX12" s="239"/>
      <c r="GOY12" s="239"/>
      <c r="GOZ12" s="239"/>
      <c r="GPA12" s="239"/>
      <c r="GPB12" s="239"/>
      <c r="GPC12" s="239"/>
      <c r="GPD12" s="239"/>
      <c r="GPE12" s="239"/>
      <c r="GPF12" s="239"/>
      <c r="GPG12" s="239"/>
      <c r="GPH12" s="239"/>
      <c r="GPI12" s="239"/>
      <c r="GPJ12" s="239"/>
      <c r="GPK12" s="239"/>
      <c r="GPL12" s="239"/>
      <c r="GPM12" s="239"/>
      <c r="GPN12" s="239"/>
      <c r="GPO12" s="239"/>
      <c r="GPP12" s="239"/>
      <c r="GPQ12" s="239"/>
      <c r="GPR12" s="239"/>
      <c r="GPS12" s="239"/>
      <c r="GPT12" s="239"/>
      <c r="GPU12" s="239"/>
      <c r="GPV12" s="239"/>
      <c r="GPW12" s="239"/>
      <c r="GPX12" s="239"/>
      <c r="GPY12" s="239"/>
      <c r="GPZ12" s="239"/>
      <c r="GQA12" s="239"/>
      <c r="GQB12" s="239"/>
      <c r="GQC12" s="239"/>
      <c r="GQD12" s="239"/>
      <c r="GQE12" s="239"/>
      <c r="GQF12" s="239"/>
      <c r="GQG12" s="239"/>
      <c r="GQH12" s="239"/>
      <c r="GQI12" s="239"/>
      <c r="GQJ12" s="239"/>
      <c r="GQK12" s="239"/>
      <c r="GQL12" s="239"/>
      <c r="GQM12" s="239"/>
      <c r="GQN12" s="239"/>
      <c r="GQO12" s="239"/>
      <c r="GQP12" s="239"/>
      <c r="GQQ12" s="239"/>
      <c r="GQR12" s="239"/>
      <c r="GQS12" s="239"/>
      <c r="GQT12" s="239"/>
      <c r="GQU12" s="239"/>
      <c r="GQV12" s="239"/>
      <c r="GQW12" s="239"/>
      <c r="GQX12" s="239"/>
      <c r="GQY12" s="239"/>
      <c r="GQZ12" s="239"/>
      <c r="GRA12" s="239"/>
      <c r="GRB12" s="239"/>
      <c r="GRC12" s="239"/>
      <c r="GRD12" s="239"/>
      <c r="GRE12" s="239"/>
      <c r="GRF12" s="239"/>
      <c r="GRG12" s="239"/>
      <c r="GRH12" s="239"/>
      <c r="GRI12" s="239"/>
      <c r="GRJ12" s="239"/>
      <c r="GRK12" s="239"/>
      <c r="GRL12" s="239"/>
      <c r="GRM12" s="239"/>
      <c r="GRN12" s="239"/>
      <c r="GRO12" s="239"/>
      <c r="GRP12" s="239"/>
      <c r="GRQ12" s="239"/>
      <c r="GRR12" s="239"/>
      <c r="GRS12" s="239"/>
      <c r="GRT12" s="239"/>
      <c r="GRU12" s="239"/>
      <c r="GRV12" s="239"/>
      <c r="GRW12" s="239"/>
      <c r="GRX12" s="239"/>
      <c r="GRY12" s="239"/>
      <c r="GRZ12" s="239"/>
      <c r="GSA12" s="239"/>
      <c r="GSB12" s="239"/>
      <c r="GSC12" s="239"/>
      <c r="GSD12" s="239"/>
      <c r="GSE12" s="239"/>
      <c r="GSF12" s="239"/>
      <c r="GSG12" s="239"/>
      <c r="GSH12" s="239"/>
      <c r="GSI12" s="239"/>
      <c r="GSJ12" s="239"/>
      <c r="GSK12" s="239"/>
      <c r="GSL12" s="239"/>
      <c r="GSM12" s="239"/>
      <c r="GSN12" s="239"/>
      <c r="GSO12" s="239"/>
      <c r="GSP12" s="239"/>
      <c r="GSQ12" s="239"/>
      <c r="GSR12" s="239"/>
      <c r="GSS12" s="239"/>
      <c r="GST12" s="239"/>
      <c r="GSU12" s="239"/>
      <c r="GSV12" s="239"/>
      <c r="GSW12" s="239"/>
      <c r="GSX12" s="239"/>
      <c r="GSY12" s="239"/>
      <c r="GSZ12" s="239"/>
      <c r="GTA12" s="239"/>
      <c r="GTB12" s="239"/>
      <c r="GTC12" s="239"/>
      <c r="GTD12" s="239"/>
      <c r="GTE12" s="239"/>
      <c r="GTF12" s="239"/>
      <c r="GTG12" s="239"/>
      <c r="GTH12" s="239"/>
      <c r="GTI12" s="239"/>
      <c r="GTJ12" s="239"/>
      <c r="GTK12" s="239"/>
      <c r="GTL12" s="239"/>
      <c r="GTM12" s="239"/>
      <c r="GTN12" s="239"/>
      <c r="GTO12" s="239"/>
      <c r="GTP12" s="239"/>
      <c r="GTQ12" s="239"/>
      <c r="GTR12" s="239"/>
      <c r="GTS12" s="239"/>
      <c r="GTT12" s="239"/>
      <c r="GTU12" s="239"/>
      <c r="GTV12" s="239"/>
      <c r="GTW12" s="239"/>
      <c r="GTX12" s="239"/>
      <c r="GTY12" s="239"/>
      <c r="GTZ12" s="239"/>
      <c r="GUA12" s="239"/>
      <c r="GUB12" s="239"/>
      <c r="GUC12" s="239"/>
      <c r="GUD12" s="239"/>
      <c r="GUE12" s="239"/>
      <c r="GUF12" s="239"/>
      <c r="GUG12" s="239"/>
      <c r="GUH12" s="239"/>
      <c r="GUI12" s="239"/>
      <c r="GUJ12" s="239"/>
      <c r="GUK12" s="239"/>
      <c r="GUL12" s="239"/>
      <c r="GUM12" s="239"/>
      <c r="GUN12" s="239"/>
      <c r="GUO12" s="239"/>
      <c r="GUP12" s="239"/>
      <c r="GUQ12" s="239"/>
      <c r="GUR12" s="239"/>
      <c r="GUS12" s="239"/>
      <c r="GUT12" s="239"/>
      <c r="GUU12" s="239"/>
      <c r="GUV12" s="239"/>
      <c r="GUW12" s="239"/>
      <c r="GUX12" s="239"/>
      <c r="GUY12" s="239"/>
      <c r="GUZ12" s="239"/>
      <c r="GVA12" s="239"/>
      <c r="GVB12" s="239"/>
      <c r="GVC12" s="239"/>
      <c r="GVD12" s="239"/>
      <c r="GVE12" s="239"/>
      <c r="GVF12" s="239"/>
      <c r="GVG12" s="239"/>
      <c r="GVH12" s="239"/>
      <c r="GVI12" s="239"/>
      <c r="GVJ12" s="239"/>
      <c r="GVK12" s="239"/>
      <c r="GVL12" s="239"/>
      <c r="GVM12" s="239"/>
      <c r="GVN12" s="239"/>
      <c r="GVO12" s="239"/>
      <c r="GVP12" s="239"/>
      <c r="GVQ12" s="239"/>
      <c r="GVR12" s="239"/>
      <c r="GVS12" s="239"/>
      <c r="GVT12" s="239"/>
      <c r="GVU12" s="239"/>
      <c r="GVV12" s="239"/>
      <c r="GVW12" s="239"/>
      <c r="GVX12" s="239"/>
      <c r="GVY12" s="239"/>
      <c r="GVZ12" s="239"/>
      <c r="GWA12" s="239"/>
      <c r="GWB12" s="239"/>
      <c r="GWC12" s="239"/>
      <c r="GWD12" s="239"/>
      <c r="GWE12" s="239"/>
      <c r="GWF12" s="239"/>
      <c r="GWG12" s="239"/>
      <c r="GWH12" s="239"/>
      <c r="GWI12" s="239"/>
      <c r="GWJ12" s="239"/>
      <c r="GWK12" s="239"/>
      <c r="GWL12" s="239"/>
      <c r="GWM12" s="239"/>
      <c r="GWN12" s="239"/>
      <c r="GWO12" s="239"/>
      <c r="GWP12" s="239"/>
      <c r="GWQ12" s="239"/>
      <c r="GWR12" s="239"/>
      <c r="GWS12" s="239"/>
      <c r="GWT12" s="239"/>
      <c r="GWU12" s="239"/>
      <c r="GWV12" s="239"/>
      <c r="GWW12" s="239"/>
      <c r="GWX12" s="239"/>
      <c r="GWY12" s="239"/>
      <c r="GWZ12" s="239"/>
      <c r="GXA12" s="239"/>
      <c r="GXB12" s="239"/>
      <c r="GXC12" s="239"/>
      <c r="GXD12" s="239"/>
      <c r="GXE12" s="239"/>
      <c r="GXF12" s="239"/>
      <c r="GXG12" s="239"/>
      <c r="GXH12" s="239"/>
      <c r="GXI12" s="239"/>
      <c r="GXJ12" s="239"/>
      <c r="GXK12" s="239"/>
      <c r="GXL12" s="239"/>
      <c r="GXM12" s="239"/>
      <c r="GXN12" s="239"/>
      <c r="GXO12" s="239"/>
      <c r="GXP12" s="239"/>
      <c r="GXQ12" s="239"/>
      <c r="GXR12" s="239"/>
      <c r="GXS12" s="239"/>
      <c r="GXT12" s="239"/>
      <c r="GXU12" s="239"/>
      <c r="GXV12" s="239"/>
      <c r="GXW12" s="239"/>
      <c r="GXX12" s="239"/>
      <c r="GXY12" s="239"/>
      <c r="GXZ12" s="239"/>
      <c r="GYA12" s="239"/>
      <c r="GYB12" s="239"/>
      <c r="GYC12" s="239"/>
      <c r="GYD12" s="239"/>
      <c r="GYE12" s="239"/>
      <c r="GYF12" s="239"/>
      <c r="GYG12" s="239"/>
      <c r="GYH12" s="239"/>
      <c r="GYI12" s="239"/>
      <c r="GYJ12" s="239"/>
      <c r="GYK12" s="239"/>
      <c r="GYL12" s="239"/>
      <c r="GYM12" s="239"/>
      <c r="GYN12" s="239"/>
      <c r="GYO12" s="239"/>
      <c r="GYP12" s="239"/>
      <c r="GYQ12" s="239"/>
      <c r="GYR12" s="239"/>
      <c r="GYS12" s="239"/>
      <c r="GYT12" s="239"/>
      <c r="GYU12" s="239"/>
      <c r="GYV12" s="239"/>
      <c r="GYW12" s="239"/>
      <c r="GYX12" s="239"/>
      <c r="GYY12" s="239"/>
      <c r="GYZ12" s="239"/>
      <c r="GZA12" s="239"/>
      <c r="GZB12" s="239"/>
      <c r="GZC12" s="239"/>
      <c r="GZD12" s="239"/>
      <c r="GZE12" s="239"/>
      <c r="GZF12" s="239"/>
      <c r="GZG12" s="239"/>
      <c r="GZH12" s="239"/>
      <c r="GZI12" s="239"/>
      <c r="GZJ12" s="239"/>
      <c r="GZK12" s="239"/>
      <c r="GZL12" s="239"/>
      <c r="GZM12" s="239"/>
      <c r="GZN12" s="239"/>
      <c r="GZO12" s="239"/>
      <c r="GZP12" s="239"/>
      <c r="GZQ12" s="239"/>
      <c r="GZR12" s="239"/>
      <c r="GZS12" s="239"/>
      <c r="GZT12" s="239"/>
      <c r="GZU12" s="239"/>
      <c r="GZV12" s="239"/>
      <c r="GZW12" s="239"/>
      <c r="GZX12" s="239"/>
      <c r="GZY12" s="239"/>
      <c r="GZZ12" s="239"/>
      <c r="HAA12" s="239"/>
      <c r="HAB12" s="239"/>
      <c r="HAC12" s="239"/>
      <c r="HAD12" s="239"/>
      <c r="HAE12" s="239"/>
      <c r="HAF12" s="239"/>
      <c r="HAG12" s="239"/>
      <c r="HAH12" s="239"/>
      <c r="HAI12" s="239"/>
      <c r="HAJ12" s="239"/>
      <c r="HAK12" s="239"/>
      <c r="HAL12" s="239"/>
      <c r="HAM12" s="239"/>
      <c r="HAN12" s="239"/>
      <c r="HAO12" s="239"/>
      <c r="HAP12" s="239"/>
      <c r="HAQ12" s="239"/>
      <c r="HAR12" s="239"/>
      <c r="HAS12" s="239"/>
      <c r="HAT12" s="239"/>
      <c r="HAU12" s="239"/>
      <c r="HAV12" s="239"/>
      <c r="HAW12" s="239"/>
      <c r="HAX12" s="239"/>
      <c r="HAY12" s="239"/>
      <c r="HAZ12" s="239"/>
      <c r="HBA12" s="239"/>
      <c r="HBB12" s="239"/>
      <c r="HBC12" s="239"/>
      <c r="HBD12" s="239"/>
      <c r="HBE12" s="239"/>
      <c r="HBF12" s="239"/>
      <c r="HBG12" s="239"/>
      <c r="HBH12" s="239"/>
      <c r="HBI12" s="239"/>
      <c r="HBJ12" s="239"/>
      <c r="HBK12" s="239"/>
      <c r="HBL12" s="239"/>
      <c r="HBM12" s="239"/>
      <c r="HBN12" s="239"/>
      <c r="HBO12" s="239"/>
      <c r="HBP12" s="239"/>
      <c r="HBQ12" s="239"/>
      <c r="HBR12" s="239"/>
      <c r="HBS12" s="239"/>
      <c r="HBT12" s="239"/>
      <c r="HBU12" s="239"/>
      <c r="HBV12" s="239"/>
      <c r="HBW12" s="239"/>
      <c r="HBX12" s="239"/>
      <c r="HBY12" s="239"/>
      <c r="HBZ12" s="239"/>
      <c r="HCA12" s="239"/>
      <c r="HCB12" s="239"/>
      <c r="HCC12" s="239"/>
      <c r="HCD12" s="239"/>
      <c r="HCE12" s="239"/>
      <c r="HCF12" s="239"/>
      <c r="HCG12" s="239"/>
      <c r="HCH12" s="239"/>
      <c r="HCI12" s="239"/>
      <c r="HCJ12" s="239"/>
      <c r="HCK12" s="239"/>
      <c r="HCL12" s="239"/>
      <c r="HCM12" s="239"/>
      <c r="HCN12" s="239"/>
      <c r="HCO12" s="239"/>
      <c r="HCP12" s="239"/>
      <c r="HCQ12" s="239"/>
      <c r="HCR12" s="239"/>
      <c r="HCS12" s="239"/>
      <c r="HCT12" s="239"/>
      <c r="HCU12" s="239"/>
      <c r="HCV12" s="239"/>
      <c r="HCW12" s="239"/>
      <c r="HCX12" s="239"/>
      <c r="HCY12" s="239"/>
      <c r="HCZ12" s="239"/>
      <c r="HDA12" s="239"/>
      <c r="HDB12" s="239"/>
      <c r="HDC12" s="239"/>
      <c r="HDD12" s="239"/>
      <c r="HDE12" s="239"/>
      <c r="HDF12" s="239"/>
      <c r="HDG12" s="239"/>
      <c r="HDH12" s="239"/>
      <c r="HDI12" s="239"/>
      <c r="HDJ12" s="239"/>
      <c r="HDK12" s="239"/>
      <c r="HDL12" s="239"/>
      <c r="HDM12" s="239"/>
      <c r="HDN12" s="239"/>
      <c r="HDO12" s="239"/>
      <c r="HDP12" s="239"/>
      <c r="HDQ12" s="239"/>
      <c r="HDR12" s="239"/>
      <c r="HDS12" s="239"/>
      <c r="HDT12" s="239"/>
      <c r="HDU12" s="239"/>
      <c r="HDV12" s="239"/>
      <c r="HDW12" s="239"/>
      <c r="HDX12" s="239"/>
      <c r="HDY12" s="239"/>
      <c r="HDZ12" s="239"/>
      <c r="HEA12" s="239"/>
      <c r="HEB12" s="239"/>
      <c r="HEC12" s="239"/>
      <c r="HED12" s="239"/>
      <c r="HEE12" s="239"/>
      <c r="HEF12" s="239"/>
      <c r="HEG12" s="239"/>
      <c r="HEH12" s="239"/>
      <c r="HEI12" s="239"/>
      <c r="HEJ12" s="239"/>
      <c r="HEK12" s="239"/>
      <c r="HEL12" s="239"/>
      <c r="HEM12" s="239"/>
      <c r="HEN12" s="239"/>
      <c r="HEO12" s="239"/>
      <c r="HEP12" s="239"/>
      <c r="HEQ12" s="239"/>
      <c r="HER12" s="239"/>
      <c r="HES12" s="239"/>
      <c r="HET12" s="239"/>
      <c r="HEU12" s="239"/>
      <c r="HEV12" s="239"/>
      <c r="HEW12" s="239"/>
      <c r="HEX12" s="239"/>
      <c r="HEY12" s="239"/>
      <c r="HEZ12" s="239"/>
      <c r="HFA12" s="239"/>
      <c r="HFB12" s="239"/>
      <c r="HFC12" s="239"/>
      <c r="HFD12" s="239"/>
      <c r="HFE12" s="239"/>
      <c r="HFF12" s="239"/>
      <c r="HFG12" s="239"/>
      <c r="HFH12" s="239"/>
      <c r="HFI12" s="239"/>
      <c r="HFJ12" s="239"/>
      <c r="HFK12" s="239"/>
      <c r="HFL12" s="239"/>
      <c r="HFM12" s="239"/>
      <c r="HFN12" s="239"/>
      <c r="HFO12" s="239"/>
      <c r="HFP12" s="239"/>
      <c r="HFQ12" s="239"/>
      <c r="HFR12" s="239"/>
      <c r="HFS12" s="239"/>
      <c r="HFT12" s="239"/>
      <c r="HFU12" s="239"/>
      <c r="HFV12" s="239"/>
      <c r="HFW12" s="239"/>
      <c r="HFX12" s="239"/>
      <c r="HFY12" s="239"/>
      <c r="HFZ12" s="239"/>
      <c r="HGA12" s="239"/>
      <c r="HGB12" s="239"/>
      <c r="HGC12" s="239"/>
      <c r="HGD12" s="239"/>
      <c r="HGE12" s="239"/>
      <c r="HGF12" s="239"/>
      <c r="HGG12" s="239"/>
      <c r="HGH12" s="239"/>
      <c r="HGI12" s="239"/>
      <c r="HGJ12" s="239"/>
      <c r="HGK12" s="239"/>
      <c r="HGL12" s="239"/>
      <c r="HGM12" s="239"/>
      <c r="HGN12" s="239"/>
      <c r="HGO12" s="239"/>
      <c r="HGP12" s="239"/>
      <c r="HGQ12" s="239"/>
      <c r="HGR12" s="239"/>
      <c r="HGS12" s="239"/>
      <c r="HGT12" s="239"/>
      <c r="HGU12" s="239"/>
      <c r="HGV12" s="239"/>
      <c r="HGW12" s="239"/>
      <c r="HGX12" s="239"/>
      <c r="HGY12" s="239"/>
      <c r="HGZ12" s="239"/>
      <c r="HHA12" s="239"/>
      <c r="HHB12" s="239"/>
      <c r="HHC12" s="239"/>
      <c r="HHD12" s="239"/>
      <c r="HHE12" s="239"/>
      <c r="HHF12" s="239"/>
      <c r="HHG12" s="239"/>
      <c r="HHH12" s="239"/>
      <c r="HHI12" s="239"/>
      <c r="HHJ12" s="239"/>
      <c r="HHK12" s="239"/>
      <c r="HHL12" s="239"/>
      <c r="HHM12" s="239"/>
      <c r="HHN12" s="239"/>
      <c r="HHO12" s="239"/>
      <c r="HHP12" s="239"/>
      <c r="HHQ12" s="239"/>
      <c r="HHR12" s="239"/>
      <c r="HHS12" s="239"/>
      <c r="HHT12" s="239"/>
      <c r="HHU12" s="239"/>
      <c r="HHV12" s="239"/>
      <c r="HHW12" s="239"/>
      <c r="HHX12" s="239"/>
      <c r="HHY12" s="239"/>
      <c r="HHZ12" s="239"/>
      <c r="HIA12" s="239"/>
      <c r="HIB12" s="239"/>
      <c r="HIC12" s="239"/>
      <c r="HID12" s="239"/>
      <c r="HIE12" s="239"/>
      <c r="HIF12" s="239"/>
      <c r="HIG12" s="239"/>
      <c r="HIH12" s="239"/>
      <c r="HII12" s="239"/>
      <c r="HIJ12" s="239"/>
      <c r="HIK12" s="239"/>
      <c r="HIL12" s="239"/>
      <c r="HIM12" s="239"/>
      <c r="HIN12" s="239"/>
      <c r="HIO12" s="239"/>
      <c r="HIP12" s="239"/>
      <c r="HIQ12" s="239"/>
      <c r="HIR12" s="239"/>
      <c r="HIS12" s="239"/>
      <c r="HIT12" s="239"/>
      <c r="HIU12" s="239"/>
      <c r="HIV12" s="239"/>
      <c r="HIW12" s="239"/>
      <c r="HIX12" s="239"/>
      <c r="HIY12" s="239"/>
      <c r="HIZ12" s="239"/>
      <c r="HJA12" s="239"/>
      <c r="HJB12" s="239"/>
      <c r="HJC12" s="239"/>
      <c r="HJD12" s="239"/>
      <c r="HJE12" s="239"/>
      <c r="HJF12" s="239"/>
      <c r="HJG12" s="239"/>
      <c r="HJH12" s="239"/>
      <c r="HJI12" s="239"/>
      <c r="HJJ12" s="239"/>
      <c r="HJK12" s="239"/>
      <c r="HJL12" s="239"/>
      <c r="HJM12" s="239"/>
      <c r="HJN12" s="239"/>
      <c r="HJO12" s="239"/>
      <c r="HJP12" s="239"/>
      <c r="HJQ12" s="239"/>
      <c r="HJR12" s="239"/>
      <c r="HJS12" s="239"/>
      <c r="HJT12" s="239"/>
      <c r="HJU12" s="239"/>
      <c r="HJV12" s="239"/>
      <c r="HJW12" s="239"/>
      <c r="HJX12" s="239"/>
      <c r="HJY12" s="239"/>
      <c r="HJZ12" s="239"/>
      <c r="HKA12" s="239"/>
      <c r="HKB12" s="239"/>
      <c r="HKC12" s="239"/>
      <c r="HKD12" s="239"/>
      <c r="HKE12" s="239"/>
      <c r="HKF12" s="239"/>
      <c r="HKG12" s="239"/>
      <c r="HKH12" s="239"/>
      <c r="HKI12" s="239"/>
      <c r="HKJ12" s="239"/>
      <c r="HKK12" s="239"/>
      <c r="HKL12" s="239"/>
      <c r="HKM12" s="239"/>
      <c r="HKN12" s="239"/>
      <c r="HKO12" s="239"/>
      <c r="HKP12" s="239"/>
      <c r="HKQ12" s="239"/>
      <c r="HKR12" s="239"/>
      <c r="HKS12" s="239"/>
      <c r="HKT12" s="239"/>
      <c r="HKU12" s="239"/>
      <c r="HKV12" s="239"/>
      <c r="HKW12" s="239"/>
      <c r="HKX12" s="239"/>
      <c r="HKY12" s="239"/>
      <c r="HKZ12" s="239"/>
      <c r="HLA12" s="239"/>
      <c r="HLB12" s="239"/>
      <c r="HLC12" s="239"/>
      <c r="HLD12" s="239"/>
      <c r="HLE12" s="239"/>
      <c r="HLF12" s="239"/>
      <c r="HLG12" s="239"/>
      <c r="HLH12" s="239"/>
      <c r="HLI12" s="239"/>
      <c r="HLJ12" s="239"/>
      <c r="HLK12" s="239"/>
      <c r="HLL12" s="239"/>
      <c r="HLM12" s="239"/>
      <c r="HLN12" s="239"/>
      <c r="HLO12" s="239"/>
      <c r="HLP12" s="239"/>
      <c r="HLQ12" s="239"/>
      <c r="HLR12" s="239"/>
      <c r="HLS12" s="239"/>
      <c r="HLT12" s="239"/>
      <c r="HLU12" s="239"/>
      <c r="HLV12" s="239"/>
      <c r="HLW12" s="239"/>
      <c r="HLX12" s="239"/>
      <c r="HLY12" s="239"/>
      <c r="HLZ12" s="239"/>
      <c r="HMA12" s="239"/>
      <c r="HMB12" s="239"/>
      <c r="HMC12" s="239"/>
      <c r="HMD12" s="239"/>
      <c r="HME12" s="239"/>
      <c r="HMF12" s="239"/>
      <c r="HMG12" s="239"/>
      <c r="HMH12" s="239"/>
      <c r="HMI12" s="239"/>
      <c r="HMJ12" s="239"/>
      <c r="HMK12" s="239"/>
      <c r="HML12" s="239"/>
      <c r="HMM12" s="239"/>
      <c r="HMN12" s="239"/>
      <c r="HMO12" s="239"/>
      <c r="HMP12" s="239"/>
      <c r="HMQ12" s="239"/>
      <c r="HMR12" s="239"/>
      <c r="HMS12" s="239"/>
      <c r="HMT12" s="239"/>
      <c r="HMU12" s="239"/>
      <c r="HMV12" s="239"/>
      <c r="HMW12" s="239"/>
      <c r="HMX12" s="239"/>
      <c r="HMY12" s="239"/>
      <c r="HMZ12" s="239"/>
      <c r="HNA12" s="239"/>
      <c r="HNB12" s="239"/>
      <c r="HNC12" s="239"/>
      <c r="HND12" s="239"/>
      <c r="HNE12" s="239"/>
      <c r="HNF12" s="239"/>
      <c r="HNG12" s="239"/>
      <c r="HNH12" s="239"/>
      <c r="HNI12" s="239"/>
      <c r="HNJ12" s="239"/>
      <c r="HNK12" s="239"/>
      <c r="HNL12" s="239"/>
      <c r="HNM12" s="239"/>
      <c r="HNN12" s="239"/>
      <c r="HNO12" s="239"/>
      <c r="HNP12" s="239"/>
      <c r="HNQ12" s="239"/>
      <c r="HNR12" s="239"/>
      <c r="HNS12" s="239"/>
      <c r="HNT12" s="239"/>
      <c r="HNU12" s="239"/>
      <c r="HNV12" s="239"/>
      <c r="HNW12" s="239"/>
      <c r="HNX12" s="239"/>
      <c r="HNY12" s="239"/>
      <c r="HNZ12" s="239"/>
      <c r="HOA12" s="239"/>
      <c r="HOB12" s="239"/>
      <c r="HOC12" s="239"/>
      <c r="HOD12" s="239"/>
      <c r="HOE12" s="239"/>
      <c r="HOF12" s="239"/>
      <c r="HOG12" s="239"/>
      <c r="HOH12" s="239"/>
      <c r="HOI12" s="239"/>
      <c r="HOJ12" s="239"/>
      <c r="HOK12" s="239"/>
      <c r="HOL12" s="239"/>
      <c r="HOM12" s="239"/>
      <c r="HON12" s="239"/>
      <c r="HOO12" s="239"/>
      <c r="HOP12" s="239"/>
      <c r="HOQ12" s="239"/>
      <c r="HOR12" s="239"/>
      <c r="HOS12" s="239"/>
      <c r="HOT12" s="239"/>
      <c r="HOU12" s="239"/>
      <c r="HOV12" s="239"/>
      <c r="HOW12" s="239"/>
      <c r="HOX12" s="239"/>
      <c r="HOY12" s="239"/>
      <c r="HOZ12" s="239"/>
      <c r="HPA12" s="239"/>
      <c r="HPB12" s="239"/>
      <c r="HPC12" s="239"/>
      <c r="HPD12" s="239"/>
      <c r="HPE12" s="239"/>
      <c r="HPF12" s="239"/>
      <c r="HPG12" s="239"/>
      <c r="HPH12" s="239"/>
      <c r="HPI12" s="239"/>
      <c r="HPJ12" s="239"/>
      <c r="HPK12" s="239"/>
      <c r="HPL12" s="239"/>
      <c r="HPM12" s="239"/>
      <c r="HPN12" s="239"/>
      <c r="HPO12" s="239"/>
      <c r="HPP12" s="239"/>
      <c r="HPQ12" s="239"/>
      <c r="HPR12" s="239"/>
      <c r="HPS12" s="239"/>
      <c r="HPT12" s="239"/>
      <c r="HPU12" s="239"/>
      <c r="HPV12" s="239"/>
      <c r="HPW12" s="239"/>
      <c r="HPX12" s="239"/>
      <c r="HPY12" s="239"/>
      <c r="HPZ12" s="239"/>
      <c r="HQA12" s="239"/>
      <c r="HQB12" s="239"/>
      <c r="HQC12" s="239"/>
      <c r="HQD12" s="239"/>
      <c r="HQE12" s="239"/>
      <c r="HQF12" s="239"/>
      <c r="HQG12" s="239"/>
      <c r="HQH12" s="239"/>
      <c r="HQI12" s="239"/>
      <c r="HQJ12" s="239"/>
      <c r="HQK12" s="239"/>
      <c r="HQL12" s="239"/>
      <c r="HQM12" s="239"/>
      <c r="HQN12" s="239"/>
      <c r="HQO12" s="239"/>
      <c r="HQP12" s="239"/>
      <c r="HQQ12" s="239"/>
      <c r="HQR12" s="239"/>
      <c r="HQS12" s="239"/>
      <c r="HQT12" s="239"/>
      <c r="HQU12" s="239"/>
      <c r="HQV12" s="239"/>
      <c r="HQW12" s="239"/>
      <c r="HQX12" s="239"/>
      <c r="HQY12" s="239"/>
      <c r="HQZ12" s="239"/>
      <c r="HRA12" s="239"/>
      <c r="HRB12" s="239"/>
      <c r="HRC12" s="239"/>
      <c r="HRD12" s="239"/>
      <c r="HRE12" s="239"/>
      <c r="HRF12" s="239"/>
      <c r="HRG12" s="239"/>
      <c r="HRH12" s="239"/>
      <c r="HRI12" s="239"/>
      <c r="HRJ12" s="239"/>
      <c r="HRK12" s="239"/>
      <c r="HRL12" s="239"/>
      <c r="HRM12" s="239"/>
      <c r="HRN12" s="239"/>
      <c r="HRO12" s="239"/>
      <c r="HRP12" s="239"/>
      <c r="HRQ12" s="239"/>
      <c r="HRR12" s="239"/>
      <c r="HRS12" s="239"/>
      <c r="HRT12" s="239"/>
      <c r="HRU12" s="239"/>
      <c r="HRV12" s="239"/>
      <c r="HRW12" s="239"/>
      <c r="HRX12" s="239"/>
      <c r="HRY12" s="239"/>
      <c r="HRZ12" s="239"/>
      <c r="HSA12" s="239"/>
      <c r="HSB12" s="239"/>
      <c r="HSC12" s="239"/>
      <c r="HSD12" s="239"/>
      <c r="HSE12" s="239"/>
      <c r="HSF12" s="239"/>
      <c r="HSG12" s="239"/>
      <c r="HSH12" s="239"/>
      <c r="HSI12" s="239"/>
      <c r="HSJ12" s="239"/>
      <c r="HSK12" s="239"/>
      <c r="HSL12" s="239"/>
      <c r="HSM12" s="239"/>
      <c r="HSN12" s="239"/>
      <c r="HSO12" s="239"/>
      <c r="HSP12" s="239"/>
      <c r="HSQ12" s="239"/>
      <c r="HSR12" s="239"/>
      <c r="HSS12" s="239"/>
      <c r="HST12" s="239"/>
      <c r="HSU12" s="239"/>
      <c r="HSV12" s="239"/>
      <c r="HSW12" s="239"/>
      <c r="HSX12" s="239"/>
      <c r="HSY12" s="239"/>
      <c r="HSZ12" s="239"/>
      <c r="HTA12" s="239"/>
      <c r="HTB12" s="239"/>
      <c r="HTC12" s="239"/>
      <c r="HTD12" s="239"/>
      <c r="HTE12" s="239"/>
      <c r="HTF12" s="239"/>
      <c r="HTG12" s="239"/>
      <c r="HTH12" s="239"/>
      <c r="HTI12" s="239"/>
      <c r="HTJ12" s="239"/>
      <c r="HTK12" s="239"/>
      <c r="HTL12" s="239"/>
      <c r="HTM12" s="239"/>
      <c r="HTN12" s="239"/>
      <c r="HTO12" s="239"/>
      <c r="HTP12" s="239"/>
      <c r="HTQ12" s="239"/>
      <c r="HTR12" s="239"/>
      <c r="HTS12" s="239"/>
      <c r="HTT12" s="239"/>
      <c r="HTU12" s="239"/>
      <c r="HTV12" s="239"/>
      <c r="HTW12" s="239"/>
      <c r="HTX12" s="239"/>
      <c r="HTY12" s="239"/>
      <c r="HTZ12" s="239"/>
      <c r="HUA12" s="239"/>
      <c r="HUB12" s="239"/>
      <c r="HUC12" s="239"/>
      <c r="HUD12" s="239"/>
      <c r="HUE12" s="239"/>
      <c r="HUF12" s="239"/>
      <c r="HUG12" s="239"/>
      <c r="HUH12" s="239"/>
      <c r="HUI12" s="239"/>
      <c r="HUJ12" s="239"/>
      <c r="HUK12" s="239"/>
      <c r="HUL12" s="239"/>
      <c r="HUM12" s="239"/>
      <c r="HUN12" s="239"/>
      <c r="HUO12" s="239"/>
      <c r="HUP12" s="239"/>
      <c r="HUQ12" s="239"/>
      <c r="HUR12" s="239"/>
      <c r="HUS12" s="239"/>
      <c r="HUT12" s="239"/>
      <c r="HUU12" s="239"/>
      <c r="HUV12" s="239"/>
      <c r="HUW12" s="239"/>
      <c r="HUX12" s="239"/>
      <c r="HUY12" s="239"/>
      <c r="HUZ12" s="239"/>
      <c r="HVA12" s="239"/>
      <c r="HVB12" s="239"/>
      <c r="HVC12" s="239"/>
      <c r="HVD12" s="239"/>
      <c r="HVE12" s="239"/>
      <c r="HVF12" s="239"/>
      <c r="HVG12" s="239"/>
      <c r="HVH12" s="239"/>
      <c r="HVI12" s="239"/>
      <c r="HVJ12" s="239"/>
      <c r="HVK12" s="239"/>
      <c r="HVL12" s="239"/>
      <c r="HVM12" s="239"/>
      <c r="HVN12" s="239"/>
      <c r="HVO12" s="239"/>
      <c r="HVP12" s="239"/>
      <c r="HVQ12" s="239"/>
      <c r="HVR12" s="239"/>
      <c r="HVS12" s="239"/>
      <c r="HVT12" s="239"/>
      <c r="HVU12" s="239"/>
      <c r="HVV12" s="239"/>
      <c r="HVW12" s="239"/>
      <c r="HVX12" s="239"/>
      <c r="HVY12" s="239"/>
      <c r="HVZ12" s="239"/>
      <c r="HWA12" s="239"/>
      <c r="HWB12" s="239"/>
      <c r="HWC12" s="239"/>
      <c r="HWD12" s="239"/>
      <c r="HWE12" s="239"/>
      <c r="HWF12" s="239"/>
      <c r="HWG12" s="239"/>
      <c r="HWH12" s="239"/>
      <c r="HWI12" s="239"/>
      <c r="HWJ12" s="239"/>
      <c r="HWK12" s="239"/>
      <c r="HWL12" s="239"/>
      <c r="HWM12" s="239"/>
      <c r="HWN12" s="239"/>
      <c r="HWO12" s="239"/>
      <c r="HWP12" s="239"/>
      <c r="HWQ12" s="239"/>
      <c r="HWR12" s="239"/>
      <c r="HWS12" s="239"/>
      <c r="HWT12" s="239"/>
      <c r="HWU12" s="239"/>
      <c r="HWV12" s="239"/>
      <c r="HWW12" s="239"/>
      <c r="HWX12" s="239"/>
      <c r="HWY12" s="239"/>
      <c r="HWZ12" s="239"/>
      <c r="HXA12" s="239"/>
      <c r="HXB12" s="239"/>
      <c r="HXC12" s="239"/>
      <c r="HXD12" s="239"/>
      <c r="HXE12" s="239"/>
      <c r="HXF12" s="239"/>
      <c r="HXG12" s="239"/>
      <c r="HXH12" s="239"/>
      <c r="HXI12" s="239"/>
      <c r="HXJ12" s="239"/>
      <c r="HXK12" s="239"/>
      <c r="HXL12" s="239"/>
      <c r="HXM12" s="239"/>
      <c r="HXN12" s="239"/>
      <c r="HXO12" s="239"/>
      <c r="HXP12" s="239"/>
      <c r="HXQ12" s="239"/>
      <c r="HXR12" s="239"/>
      <c r="HXS12" s="239"/>
      <c r="HXT12" s="239"/>
      <c r="HXU12" s="239"/>
      <c r="HXV12" s="239"/>
      <c r="HXW12" s="239"/>
      <c r="HXX12" s="239"/>
      <c r="HXY12" s="239"/>
      <c r="HXZ12" s="239"/>
      <c r="HYA12" s="239"/>
      <c r="HYB12" s="239"/>
      <c r="HYC12" s="239"/>
      <c r="HYD12" s="239"/>
      <c r="HYE12" s="239"/>
      <c r="HYF12" s="239"/>
      <c r="HYG12" s="239"/>
      <c r="HYH12" s="239"/>
      <c r="HYI12" s="239"/>
      <c r="HYJ12" s="239"/>
      <c r="HYK12" s="239"/>
      <c r="HYL12" s="239"/>
      <c r="HYM12" s="239"/>
      <c r="HYN12" s="239"/>
      <c r="HYO12" s="239"/>
      <c r="HYP12" s="239"/>
      <c r="HYQ12" s="239"/>
      <c r="HYR12" s="239"/>
      <c r="HYS12" s="239"/>
      <c r="HYT12" s="239"/>
      <c r="HYU12" s="239"/>
      <c r="HYV12" s="239"/>
      <c r="HYW12" s="239"/>
      <c r="HYX12" s="239"/>
      <c r="HYY12" s="239"/>
      <c r="HYZ12" s="239"/>
      <c r="HZA12" s="239"/>
      <c r="HZB12" s="239"/>
      <c r="HZC12" s="239"/>
      <c r="HZD12" s="239"/>
      <c r="HZE12" s="239"/>
      <c r="HZF12" s="239"/>
      <c r="HZG12" s="239"/>
      <c r="HZH12" s="239"/>
      <c r="HZI12" s="239"/>
      <c r="HZJ12" s="239"/>
      <c r="HZK12" s="239"/>
      <c r="HZL12" s="239"/>
      <c r="HZM12" s="239"/>
      <c r="HZN12" s="239"/>
      <c r="HZO12" s="239"/>
      <c r="HZP12" s="239"/>
      <c r="HZQ12" s="239"/>
      <c r="HZR12" s="239"/>
      <c r="HZS12" s="239"/>
      <c r="HZT12" s="239"/>
      <c r="HZU12" s="239"/>
      <c r="HZV12" s="239"/>
      <c r="HZW12" s="239"/>
      <c r="HZX12" s="239"/>
      <c r="HZY12" s="239"/>
      <c r="HZZ12" s="239"/>
      <c r="IAA12" s="239"/>
      <c r="IAB12" s="239"/>
      <c r="IAC12" s="239"/>
      <c r="IAD12" s="239"/>
      <c r="IAE12" s="239"/>
      <c r="IAF12" s="239"/>
      <c r="IAG12" s="239"/>
      <c r="IAH12" s="239"/>
      <c r="IAI12" s="239"/>
      <c r="IAJ12" s="239"/>
      <c r="IAK12" s="239"/>
      <c r="IAL12" s="239"/>
      <c r="IAM12" s="239"/>
      <c r="IAN12" s="239"/>
      <c r="IAO12" s="239"/>
      <c r="IAP12" s="239"/>
      <c r="IAQ12" s="239"/>
      <c r="IAR12" s="239"/>
      <c r="IAS12" s="239"/>
      <c r="IAT12" s="239"/>
      <c r="IAU12" s="239"/>
      <c r="IAV12" s="239"/>
      <c r="IAW12" s="239"/>
      <c r="IAX12" s="239"/>
      <c r="IAY12" s="239"/>
      <c r="IAZ12" s="239"/>
      <c r="IBA12" s="239"/>
      <c r="IBB12" s="239"/>
      <c r="IBC12" s="239"/>
      <c r="IBD12" s="239"/>
      <c r="IBE12" s="239"/>
      <c r="IBF12" s="239"/>
      <c r="IBG12" s="239"/>
      <c r="IBH12" s="239"/>
      <c r="IBI12" s="239"/>
      <c r="IBJ12" s="239"/>
      <c r="IBK12" s="239"/>
      <c r="IBL12" s="239"/>
      <c r="IBM12" s="239"/>
      <c r="IBN12" s="239"/>
      <c r="IBO12" s="239"/>
      <c r="IBP12" s="239"/>
      <c r="IBQ12" s="239"/>
      <c r="IBR12" s="239"/>
      <c r="IBS12" s="239"/>
      <c r="IBT12" s="239"/>
      <c r="IBU12" s="239"/>
      <c r="IBV12" s="239"/>
      <c r="IBW12" s="239"/>
      <c r="IBX12" s="239"/>
      <c r="IBY12" s="239"/>
      <c r="IBZ12" s="239"/>
      <c r="ICA12" s="239"/>
      <c r="ICB12" s="239"/>
      <c r="ICC12" s="239"/>
      <c r="ICD12" s="239"/>
      <c r="ICE12" s="239"/>
      <c r="ICF12" s="239"/>
      <c r="ICG12" s="239"/>
      <c r="ICH12" s="239"/>
      <c r="ICI12" s="239"/>
      <c r="ICJ12" s="239"/>
      <c r="ICK12" s="239"/>
      <c r="ICL12" s="239"/>
      <c r="ICM12" s="239"/>
      <c r="ICN12" s="239"/>
      <c r="ICO12" s="239"/>
      <c r="ICP12" s="239"/>
      <c r="ICQ12" s="239"/>
      <c r="ICR12" s="239"/>
      <c r="ICS12" s="239"/>
      <c r="ICT12" s="239"/>
      <c r="ICU12" s="239"/>
      <c r="ICV12" s="239"/>
      <c r="ICW12" s="239"/>
      <c r="ICX12" s="239"/>
      <c r="ICY12" s="239"/>
      <c r="ICZ12" s="239"/>
      <c r="IDA12" s="239"/>
      <c r="IDB12" s="239"/>
      <c r="IDC12" s="239"/>
      <c r="IDD12" s="239"/>
      <c r="IDE12" s="239"/>
      <c r="IDF12" s="239"/>
      <c r="IDG12" s="239"/>
      <c r="IDH12" s="239"/>
      <c r="IDI12" s="239"/>
      <c r="IDJ12" s="239"/>
      <c r="IDK12" s="239"/>
      <c r="IDL12" s="239"/>
      <c r="IDM12" s="239"/>
      <c r="IDN12" s="239"/>
      <c r="IDO12" s="239"/>
      <c r="IDP12" s="239"/>
      <c r="IDQ12" s="239"/>
      <c r="IDR12" s="239"/>
      <c r="IDS12" s="239"/>
      <c r="IDT12" s="239"/>
      <c r="IDU12" s="239"/>
      <c r="IDV12" s="239"/>
      <c r="IDW12" s="239"/>
      <c r="IDX12" s="239"/>
      <c r="IDY12" s="239"/>
      <c r="IDZ12" s="239"/>
      <c r="IEA12" s="239"/>
      <c r="IEB12" s="239"/>
      <c r="IEC12" s="239"/>
      <c r="IED12" s="239"/>
      <c r="IEE12" s="239"/>
      <c r="IEF12" s="239"/>
      <c r="IEG12" s="239"/>
      <c r="IEH12" s="239"/>
      <c r="IEI12" s="239"/>
      <c r="IEJ12" s="239"/>
      <c r="IEK12" s="239"/>
      <c r="IEL12" s="239"/>
      <c r="IEM12" s="239"/>
      <c r="IEN12" s="239"/>
      <c r="IEO12" s="239"/>
      <c r="IEP12" s="239"/>
      <c r="IEQ12" s="239"/>
      <c r="IER12" s="239"/>
      <c r="IES12" s="239"/>
      <c r="IET12" s="239"/>
      <c r="IEU12" s="239"/>
      <c r="IEV12" s="239"/>
      <c r="IEW12" s="239"/>
      <c r="IEX12" s="239"/>
      <c r="IEY12" s="239"/>
      <c r="IEZ12" s="239"/>
      <c r="IFA12" s="239"/>
      <c r="IFB12" s="239"/>
      <c r="IFC12" s="239"/>
      <c r="IFD12" s="239"/>
      <c r="IFE12" s="239"/>
      <c r="IFF12" s="239"/>
      <c r="IFG12" s="239"/>
      <c r="IFH12" s="239"/>
      <c r="IFI12" s="239"/>
      <c r="IFJ12" s="239"/>
      <c r="IFK12" s="239"/>
      <c r="IFL12" s="239"/>
      <c r="IFM12" s="239"/>
      <c r="IFN12" s="239"/>
      <c r="IFO12" s="239"/>
      <c r="IFP12" s="239"/>
      <c r="IFQ12" s="239"/>
      <c r="IFR12" s="239"/>
      <c r="IFS12" s="239"/>
      <c r="IFT12" s="239"/>
      <c r="IFU12" s="239"/>
      <c r="IFV12" s="239"/>
      <c r="IFW12" s="239"/>
      <c r="IFX12" s="239"/>
      <c r="IFY12" s="239"/>
      <c r="IFZ12" s="239"/>
      <c r="IGA12" s="239"/>
      <c r="IGB12" s="239"/>
      <c r="IGC12" s="239"/>
      <c r="IGD12" s="239"/>
      <c r="IGE12" s="239"/>
      <c r="IGF12" s="239"/>
      <c r="IGG12" s="239"/>
      <c r="IGH12" s="239"/>
      <c r="IGI12" s="239"/>
      <c r="IGJ12" s="239"/>
      <c r="IGK12" s="239"/>
      <c r="IGL12" s="239"/>
      <c r="IGM12" s="239"/>
      <c r="IGN12" s="239"/>
      <c r="IGO12" s="239"/>
      <c r="IGP12" s="239"/>
      <c r="IGQ12" s="239"/>
      <c r="IGR12" s="239"/>
      <c r="IGS12" s="239"/>
      <c r="IGT12" s="239"/>
      <c r="IGU12" s="239"/>
      <c r="IGV12" s="239"/>
      <c r="IGW12" s="239"/>
      <c r="IGX12" s="239"/>
      <c r="IGY12" s="239"/>
      <c r="IGZ12" s="239"/>
      <c r="IHA12" s="239"/>
      <c r="IHB12" s="239"/>
      <c r="IHC12" s="239"/>
      <c r="IHD12" s="239"/>
      <c r="IHE12" s="239"/>
      <c r="IHF12" s="239"/>
      <c r="IHG12" s="239"/>
      <c r="IHH12" s="239"/>
      <c r="IHI12" s="239"/>
      <c r="IHJ12" s="239"/>
      <c r="IHK12" s="239"/>
      <c r="IHL12" s="239"/>
      <c r="IHM12" s="239"/>
      <c r="IHN12" s="239"/>
      <c r="IHO12" s="239"/>
      <c r="IHP12" s="239"/>
      <c r="IHQ12" s="239"/>
      <c r="IHR12" s="239"/>
      <c r="IHS12" s="239"/>
      <c r="IHT12" s="239"/>
      <c r="IHU12" s="239"/>
      <c r="IHV12" s="239"/>
      <c r="IHW12" s="239"/>
      <c r="IHX12" s="239"/>
      <c r="IHY12" s="239"/>
      <c r="IHZ12" s="239"/>
      <c r="IIA12" s="239"/>
      <c r="IIB12" s="239"/>
      <c r="IIC12" s="239"/>
      <c r="IID12" s="239"/>
      <c r="IIE12" s="239"/>
      <c r="IIF12" s="239"/>
      <c r="IIG12" s="239"/>
      <c r="IIH12" s="239"/>
      <c r="III12" s="239"/>
      <c r="IIJ12" s="239"/>
      <c r="IIK12" s="239"/>
      <c r="IIL12" s="239"/>
      <c r="IIM12" s="239"/>
      <c r="IIN12" s="239"/>
      <c r="IIO12" s="239"/>
      <c r="IIP12" s="239"/>
      <c r="IIQ12" s="239"/>
      <c r="IIR12" s="239"/>
      <c r="IIS12" s="239"/>
      <c r="IIT12" s="239"/>
      <c r="IIU12" s="239"/>
      <c r="IIV12" s="239"/>
      <c r="IIW12" s="239"/>
      <c r="IIX12" s="239"/>
      <c r="IIY12" s="239"/>
      <c r="IIZ12" s="239"/>
      <c r="IJA12" s="239"/>
      <c r="IJB12" s="239"/>
      <c r="IJC12" s="239"/>
      <c r="IJD12" s="239"/>
      <c r="IJE12" s="239"/>
      <c r="IJF12" s="239"/>
      <c r="IJG12" s="239"/>
      <c r="IJH12" s="239"/>
      <c r="IJI12" s="239"/>
      <c r="IJJ12" s="239"/>
      <c r="IJK12" s="239"/>
      <c r="IJL12" s="239"/>
      <c r="IJM12" s="239"/>
      <c r="IJN12" s="239"/>
      <c r="IJO12" s="239"/>
      <c r="IJP12" s="239"/>
      <c r="IJQ12" s="239"/>
      <c r="IJR12" s="239"/>
      <c r="IJS12" s="239"/>
      <c r="IJT12" s="239"/>
      <c r="IJU12" s="239"/>
      <c r="IJV12" s="239"/>
      <c r="IJW12" s="239"/>
      <c r="IJX12" s="239"/>
      <c r="IJY12" s="239"/>
      <c r="IJZ12" s="239"/>
      <c r="IKA12" s="239"/>
      <c r="IKB12" s="239"/>
      <c r="IKC12" s="239"/>
      <c r="IKD12" s="239"/>
      <c r="IKE12" s="239"/>
      <c r="IKF12" s="239"/>
      <c r="IKG12" s="239"/>
      <c r="IKH12" s="239"/>
      <c r="IKI12" s="239"/>
      <c r="IKJ12" s="239"/>
      <c r="IKK12" s="239"/>
      <c r="IKL12" s="239"/>
      <c r="IKM12" s="239"/>
      <c r="IKN12" s="239"/>
      <c r="IKO12" s="239"/>
      <c r="IKP12" s="239"/>
      <c r="IKQ12" s="239"/>
      <c r="IKR12" s="239"/>
      <c r="IKS12" s="239"/>
      <c r="IKT12" s="239"/>
      <c r="IKU12" s="239"/>
      <c r="IKV12" s="239"/>
      <c r="IKW12" s="239"/>
      <c r="IKX12" s="239"/>
      <c r="IKY12" s="239"/>
      <c r="IKZ12" s="239"/>
      <c r="ILA12" s="239"/>
      <c r="ILB12" s="239"/>
      <c r="ILC12" s="239"/>
      <c r="ILD12" s="239"/>
      <c r="ILE12" s="239"/>
      <c r="ILF12" s="239"/>
      <c r="ILG12" s="239"/>
      <c r="ILH12" s="239"/>
      <c r="ILI12" s="239"/>
      <c r="ILJ12" s="239"/>
      <c r="ILK12" s="239"/>
      <c r="ILL12" s="239"/>
      <c r="ILM12" s="239"/>
      <c r="ILN12" s="239"/>
      <c r="ILO12" s="239"/>
      <c r="ILP12" s="239"/>
      <c r="ILQ12" s="239"/>
      <c r="ILR12" s="239"/>
      <c r="ILS12" s="239"/>
      <c r="ILT12" s="239"/>
      <c r="ILU12" s="239"/>
      <c r="ILV12" s="239"/>
      <c r="ILW12" s="239"/>
      <c r="ILX12" s="239"/>
      <c r="ILY12" s="239"/>
      <c r="ILZ12" s="239"/>
      <c r="IMA12" s="239"/>
      <c r="IMB12" s="239"/>
      <c r="IMC12" s="239"/>
      <c r="IMD12" s="239"/>
      <c r="IME12" s="239"/>
      <c r="IMF12" s="239"/>
      <c r="IMG12" s="239"/>
      <c r="IMH12" s="239"/>
      <c r="IMI12" s="239"/>
      <c r="IMJ12" s="239"/>
      <c r="IMK12" s="239"/>
      <c r="IML12" s="239"/>
      <c r="IMM12" s="239"/>
      <c r="IMN12" s="239"/>
      <c r="IMO12" s="239"/>
      <c r="IMP12" s="239"/>
      <c r="IMQ12" s="239"/>
      <c r="IMR12" s="239"/>
      <c r="IMS12" s="239"/>
      <c r="IMT12" s="239"/>
      <c r="IMU12" s="239"/>
      <c r="IMV12" s="239"/>
      <c r="IMW12" s="239"/>
      <c r="IMX12" s="239"/>
      <c r="IMY12" s="239"/>
      <c r="IMZ12" s="239"/>
      <c r="INA12" s="239"/>
      <c r="INB12" s="239"/>
      <c r="INC12" s="239"/>
      <c r="IND12" s="239"/>
      <c r="INE12" s="239"/>
      <c r="INF12" s="239"/>
      <c r="ING12" s="239"/>
      <c r="INH12" s="239"/>
      <c r="INI12" s="239"/>
      <c r="INJ12" s="239"/>
      <c r="INK12" s="239"/>
      <c r="INL12" s="239"/>
      <c r="INM12" s="239"/>
      <c r="INN12" s="239"/>
      <c r="INO12" s="239"/>
      <c r="INP12" s="239"/>
      <c r="INQ12" s="239"/>
      <c r="INR12" s="239"/>
      <c r="INS12" s="239"/>
      <c r="INT12" s="239"/>
      <c r="INU12" s="239"/>
      <c r="INV12" s="239"/>
      <c r="INW12" s="239"/>
      <c r="INX12" s="239"/>
      <c r="INY12" s="239"/>
      <c r="INZ12" s="239"/>
      <c r="IOA12" s="239"/>
      <c r="IOB12" s="239"/>
      <c r="IOC12" s="239"/>
      <c r="IOD12" s="239"/>
      <c r="IOE12" s="239"/>
      <c r="IOF12" s="239"/>
      <c r="IOG12" s="239"/>
      <c r="IOH12" s="239"/>
      <c r="IOI12" s="239"/>
      <c r="IOJ12" s="239"/>
      <c r="IOK12" s="239"/>
      <c r="IOL12" s="239"/>
      <c r="IOM12" s="239"/>
      <c r="ION12" s="239"/>
      <c r="IOO12" s="239"/>
      <c r="IOP12" s="239"/>
      <c r="IOQ12" s="239"/>
      <c r="IOR12" s="239"/>
      <c r="IOS12" s="239"/>
      <c r="IOT12" s="239"/>
      <c r="IOU12" s="239"/>
      <c r="IOV12" s="239"/>
      <c r="IOW12" s="239"/>
      <c r="IOX12" s="239"/>
      <c r="IOY12" s="239"/>
      <c r="IOZ12" s="239"/>
      <c r="IPA12" s="239"/>
      <c r="IPB12" s="239"/>
      <c r="IPC12" s="239"/>
      <c r="IPD12" s="239"/>
      <c r="IPE12" s="239"/>
      <c r="IPF12" s="239"/>
      <c r="IPG12" s="239"/>
      <c r="IPH12" s="239"/>
      <c r="IPI12" s="239"/>
      <c r="IPJ12" s="239"/>
      <c r="IPK12" s="239"/>
      <c r="IPL12" s="239"/>
      <c r="IPM12" s="239"/>
      <c r="IPN12" s="239"/>
      <c r="IPO12" s="239"/>
      <c r="IPP12" s="239"/>
      <c r="IPQ12" s="239"/>
      <c r="IPR12" s="239"/>
      <c r="IPS12" s="239"/>
      <c r="IPT12" s="239"/>
      <c r="IPU12" s="239"/>
      <c r="IPV12" s="239"/>
      <c r="IPW12" s="239"/>
      <c r="IPX12" s="239"/>
      <c r="IPY12" s="239"/>
      <c r="IPZ12" s="239"/>
      <c r="IQA12" s="239"/>
      <c r="IQB12" s="239"/>
      <c r="IQC12" s="239"/>
      <c r="IQD12" s="239"/>
      <c r="IQE12" s="239"/>
      <c r="IQF12" s="239"/>
      <c r="IQG12" s="239"/>
      <c r="IQH12" s="239"/>
      <c r="IQI12" s="239"/>
      <c r="IQJ12" s="239"/>
      <c r="IQK12" s="239"/>
      <c r="IQL12" s="239"/>
      <c r="IQM12" s="239"/>
      <c r="IQN12" s="239"/>
      <c r="IQO12" s="239"/>
      <c r="IQP12" s="239"/>
      <c r="IQQ12" s="239"/>
      <c r="IQR12" s="239"/>
      <c r="IQS12" s="239"/>
      <c r="IQT12" s="239"/>
      <c r="IQU12" s="239"/>
      <c r="IQV12" s="239"/>
      <c r="IQW12" s="239"/>
      <c r="IQX12" s="239"/>
      <c r="IQY12" s="239"/>
      <c r="IQZ12" s="239"/>
      <c r="IRA12" s="239"/>
      <c r="IRB12" s="239"/>
      <c r="IRC12" s="239"/>
      <c r="IRD12" s="239"/>
      <c r="IRE12" s="239"/>
      <c r="IRF12" s="239"/>
      <c r="IRG12" s="239"/>
      <c r="IRH12" s="239"/>
      <c r="IRI12" s="239"/>
      <c r="IRJ12" s="239"/>
      <c r="IRK12" s="239"/>
      <c r="IRL12" s="239"/>
      <c r="IRM12" s="239"/>
      <c r="IRN12" s="239"/>
      <c r="IRO12" s="239"/>
      <c r="IRP12" s="239"/>
      <c r="IRQ12" s="239"/>
      <c r="IRR12" s="239"/>
      <c r="IRS12" s="239"/>
      <c r="IRT12" s="239"/>
      <c r="IRU12" s="239"/>
      <c r="IRV12" s="239"/>
      <c r="IRW12" s="239"/>
      <c r="IRX12" s="239"/>
      <c r="IRY12" s="239"/>
      <c r="IRZ12" s="239"/>
      <c r="ISA12" s="239"/>
      <c r="ISB12" s="239"/>
      <c r="ISC12" s="239"/>
      <c r="ISD12" s="239"/>
      <c r="ISE12" s="239"/>
      <c r="ISF12" s="239"/>
      <c r="ISG12" s="239"/>
      <c r="ISH12" s="239"/>
      <c r="ISI12" s="239"/>
      <c r="ISJ12" s="239"/>
      <c r="ISK12" s="239"/>
      <c r="ISL12" s="239"/>
      <c r="ISM12" s="239"/>
      <c r="ISN12" s="239"/>
      <c r="ISO12" s="239"/>
      <c r="ISP12" s="239"/>
      <c r="ISQ12" s="239"/>
      <c r="ISR12" s="239"/>
      <c r="ISS12" s="239"/>
      <c r="IST12" s="239"/>
      <c r="ISU12" s="239"/>
      <c r="ISV12" s="239"/>
      <c r="ISW12" s="239"/>
      <c r="ISX12" s="239"/>
      <c r="ISY12" s="239"/>
      <c r="ISZ12" s="239"/>
      <c r="ITA12" s="239"/>
      <c r="ITB12" s="239"/>
      <c r="ITC12" s="239"/>
      <c r="ITD12" s="239"/>
      <c r="ITE12" s="239"/>
      <c r="ITF12" s="239"/>
      <c r="ITG12" s="239"/>
      <c r="ITH12" s="239"/>
      <c r="ITI12" s="239"/>
      <c r="ITJ12" s="239"/>
      <c r="ITK12" s="239"/>
      <c r="ITL12" s="239"/>
      <c r="ITM12" s="239"/>
      <c r="ITN12" s="239"/>
      <c r="ITO12" s="239"/>
      <c r="ITP12" s="239"/>
      <c r="ITQ12" s="239"/>
      <c r="ITR12" s="239"/>
      <c r="ITS12" s="239"/>
      <c r="ITT12" s="239"/>
      <c r="ITU12" s="239"/>
      <c r="ITV12" s="239"/>
      <c r="ITW12" s="239"/>
      <c r="ITX12" s="239"/>
      <c r="ITY12" s="239"/>
      <c r="ITZ12" s="239"/>
      <c r="IUA12" s="239"/>
      <c r="IUB12" s="239"/>
      <c r="IUC12" s="239"/>
      <c r="IUD12" s="239"/>
      <c r="IUE12" s="239"/>
      <c r="IUF12" s="239"/>
      <c r="IUG12" s="239"/>
      <c r="IUH12" s="239"/>
      <c r="IUI12" s="239"/>
      <c r="IUJ12" s="239"/>
      <c r="IUK12" s="239"/>
      <c r="IUL12" s="239"/>
      <c r="IUM12" s="239"/>
      <c r="IUN12" s="239"/>
      <c r="IUO12" s="239"/>
      <c r="IUP12" s="239"/>
      <c r="IUQ12" s="239"/>
      <c r="IUR12" s="239"/>
      <c r="IUS12" s="239"/>
      <c r="IUT12" s="239"/>
      <c r="IUU12" s="239"/>
      <c r="IUV12" s="239"/>
      <c r="IUW12" s="239"/>
      <c r="IUX12" s="239"/>
      <c r="IUY12" s="239"/>
      <c r="IUZ12" s="239"/>
      <c r="IVA12" s="239"/>
      <c r="IVB12" s="239"/>
      <c r="IVC12" s="239"/>
      <c r="IVD12" s="239"/>
      <c r="IVE12" s="239"/>
      <c r="IVF12" s="239"/>
      <c r="IVG12" s="239"/>
      <c r="IVH12" s="239"/>
      <c r="IVI12" s="239"/>
      <c r="IVJ12" s="239"/>
      <c r="IVK12" s="239"/>
      <c r="IVL12" s="239"/>
      <c r="IVM12" s="239"/>
      <c r="IVN12" s="239"/>
      <c r="IVO12" s="239"/>
      <c r="IVP12" s="239"/>
      <c r="IVQ12" s="239"/>
      <c r="IVR12" s="239"/>
      <c r="IVS12" s="239"/>
      <c r="IVT12" s="239"/>
      <c r="IVU12" s="239"/>
      <c r="IVV12" s="239"/>
      <c r="IVW12" s="239"/>
      <c r="IVX12" s="239"/>
      <c r="IVY12" s="239"/>
      <c r="IVZ12" s="239"/>
      <c r="IWA12" s="239"/>
      <c r="IWB12" s="239"/>
      <c r="IWC12" s="239"/>
      <c r="IWD12" s="239"/>
      <c r="IWE12" s="239"/>
      <c r="IWF12" s="239"/>
      <c r="IWG12" s="239"/>
      <c r="IWH12" s="239"/>
      <c r="IWI12" s="239"/>
      <c r="IWJ12" s="239"/>
      <c r="IWK12" s="239"/>
      <c r="IWL12" s="239"/>
      <c r="IWM12" s="239"/>
      <c r="IWN12" s="239"/>
      <c r="IWO12" s="239"/>
      <c r="IWP12" s="239"/>
      <c r="IWQ12" s="239"/>
      <c r="IWR12" s="239"/>
      <c r="IWS12" s="239"/>
      <c r="IWT12" s="239"/>
      <c r="IWU12" s="239"/>
      <c r="IWV12" s="239"/>
      <c r="IWW12" s="239"/>
      <c r="IWX12" s="239"/>
      <c r="IWY12" s="239"/>
      <c r="IWZ12" s="239"/>
      <c r="IXA12" s="239"/>
      <c r="IXB12" s="239"/>
      <c r="IXC12" s="239"/>
      <c r="IXD12" s="239"/>
      <c r="IXE12" s="239"/>
      <c r="IXF12" s="239"/>
      <c r="IXG12" s="239"/>
      <c r="IXH12" s="239"/>
      <c r="IXI12" s="239"/>
      <c r="IXJ12" s="239"/>
      <c r="IXK12" s="239"/>
      <c r="IXL12" s="239"/>
      <c r="IXM12" s="239"/>
      <c r="IXN12" s="239"/>
      <c r="IXO12" s="239"/>
      <c r="IXP12" s="239"/>
      <c r="IXQ12" s="239"/>
      <c r="IXR12" s="239"/>
      <c r="IXS12" s="239"/>
      <c r="IXT12" s="239"/>
      <c r="IXU12" s="239"/>
      <c r="IXV12" s="239"/>
      <c r="IXW12" s="239"/>
      <c r="IXX12" s="239"/>
      <c r="IXY12" s="239"/>
      <c r="IXZ12" s="239"/>
      <c r="IYA12" s="239"/>
      <c r="IYB12" s="239"/>
      <c r="IYC12" s="239"/>
      <c r="IYD12" s="239"/>
      <c r="IYE12" s="239"/>
      <c r="IYF12" s="239"/>
      <c r="IYG12" s="239"/>
      <c r="IYH12" s="239"/>
      <c r="IYI12" s="239"/>
      <c r="IYJ12" s="239"/>
      <c r="IYK12" s="239"/>
      <c r="IYL12" s="239"/>
      <c r="IYM12" s="239"/>
      <c r="IYN12" s="239"/>
      <c r="IYO12" s="239"/>
      <c r="IYP12" s="239"/>
      <c r="IYQ12" s="239"/>
      <c r="IYR12" s="239"/>
      <c r="IYS12" s="239"/>
      <c r="IYT12" s="239"/>
      <c r="IYU12" s="239"/>
      <c r="IYV12" s="239"/>
      <c r="IYW12" s="239"/>
      <c r="IYX12" s="239"/>
      <c r="IYY12" s="239"/>
      <c r="IYZ12" s="239"/>
      <c r="IZA12" s="239"/>
      <c r="IZB12" s="239"/>
      <c r="IZC12" s="239"/>
      <c r="IZD12" s="239"/>
      <c r="IZE12" s="239"/>
      <c r="IZF12" s="239"/>
      <c r="IZG12" s="239"/>
      <c r="IZH12" s="239"/>
      <c r="IZI12" s="239"/>
      <c r="IZJ12" s="239"/>
      <c r="IZK12" s="239"/>
      <c r="IZL12" s="239"/>
      <c r="IZM12" s="239"/>
      <c r="IZN12" s="239"/>
      <c r="IZO12" s="239"/>
      <c r="IZP12" s="239"/>
      <c r="IZQ12" s="239"/>
      <c r="IZR12" s="239"/>
      <c r="IZS12" s="239"/>
      <c r="IZT12" s="239"/>
      <c r="IZU12" s="239"/>
      <c r="IZV12" s="239"/>
      <c r="IZW12" s="239"/>
      <c r="IZX12" s="239"/>
      <c r="IZY12" s="239"/>
      <c r="IZZ12" s="239"/>
      <c r="JAA12" s="239"/>
      <c r="JAB12" s="239"/>
      <c r="JAC12" s="239"/>
      <c r="JAD12" s="239"/>
      <c r="JAE12" s="239"/>
      <c r="JAF12" s="239"/>
      <c r="JAG12" s="239"/>
      <c r="JAH12" s="239"/>
      <c r="JAI12" s="239"/>
      <c r="JAJ12" s="239"/>
      <c r="JAK12" s="239"/>
      <c r="JAL12" s="239"/>
      <c r="JAM12" s="239"/>
      <c r="JAN12" s="239"/>
      <c r="JAO12" s="239"/>
      <c r="JAP12" s="239"/>
      <c r="JAQ12" s="239"/>
      <c r="JAR12" s="239"/>
      <c r="JAS12" s="239"/>
      <c r="JAT12" s="239"/>
      <c r="JAU12" s="239"/>
      <c r="JAV12" s="239"/>
      <c r="JAW12" s="239"/>
      <c r="JAX12" s="239"/>
      <c r="JAY12" s="239"/>
      <c r="JAZ12" s="239"/>
      <c r="JBA12" s="239"/>
      <c r="JBB12" s="239"/>
      <c r="JBC12" s="239"/>
      <c r="JBD12" s="239"/>
      <c r="JBE12" s="239"/>
      <c r="JBF12" s="239"/>
      <c r="JBG12" s="239"/>
      <c r="JBH12" s="239"/>
      <c r="JBI12" s="239"/>
      <c r="JBJ12" s="239"/>
      <c r="JBK12" s="239"/>
      <c r="JBL12" s="239"/>
      <c r="JBM12" s="239"/>
      <c r="JBN12" s="239"/>
      <c r="JBO12" s="239"/>
      <c r="JBP12" s="239"/>
      <c r="JBQ12" s="239"/>
      <c r="JBR12" s="239"/>
      <c r="JBS12" s="239"/>
      <c r="JBT12" s="239"/>
      <c r="JBU12" s="239"/>
      <c r="JBV12" s="239"/>
      <c r="JBW12" s="239"/>
      <c r="JBX12" s="239"/>
      <c r="JBY12" s="239"/>
      <c r="JBZ12" s="239"/>
      <c r="JCA12" s="239"/>
      <c r="JCB12" s="239"/>
      <c r="JCC12" s="239"/>
      <c r="JCD12" s="239"/>
      <c r="JCE12" s="239"/>
      <c r="JCF12" s="239"/>
      <c r="JCG12" s="239"/>
      <c r="JCH12" s="239"/>
      <c r="JCI12" s="239"/>
      <c r="JCJ12" s="239"/>
      <c r="JCK12" s="239"/>
      <c r="JCL12" s="239"/>
      <c r="JCM12" s="239"/>
      <c r="JCN12" s="239"/>
      <c r="JCO12" s="239"/>
      <c r="JCP12" s="239"/>
      <c r="JCQ12" s="239"/>
      <c r="JCR12" s="239"/>
      <c r="JCS12" s="239"/>
      <c r="JCT12" s="239"/>
      <c r="JCU12" s="239"/>
      <c r="JCV12" s="239"/>
      <c r="JCW12" s="239"/>
      <c r="JCX12" s="239"/>
      <c r="JCY12" s="239"/>
      <c r="JCZ12" s="239"/>
      <c r="JDA12" s="239"/>
      <c r="JDB12" s="239"/>
      <c r="JDC12" s="239"/>
      <c r="JDD12" s="239"/>
      <c r="JDE12" s="239"/>
      <c r="JDF12" s="239"/>
      <c r="JDG12" s="239"/>
      <c r="JDH12" s="239"/>
      <c r="JDI12" s="239"/>
      <c r="JDJ12" s="239"/>
      <c r="JDK12" s="239"/>
      <c r="JDL12" s="239"/>
      <c r="JDM12" s="239"/>
      <c r="JDN12" s="239"/>
      <c r="JDO12" s="239"/>
      <c r="JDP12" s="239"/>
      <c r="JDQ12" s="239"/>
      <c r="JDR12" s="239"/>
      <c r="JDS12" s="239"/>
      <c r="JDT12" s="239"/>
      <c r="JDU12" s="239"/>
      <c r="JDV12" s="239"/>
      <c r="JDW12" s="239"/>
      <c r="JDX12" s="239"/>
      <c r="JDY12" s="239"/>
      <c r="JDZ12" s="239"/>
      <c r="JEA12" s="239"/>
      <c r="JEB12" s="239"/>
      <c r="JEC12" s="239"/>
      <c r="JED12" s="239"/>
      <c r="JEE12" s="239"/>
      <c r="JEF12" s="239"/>
      <c r="JEG12" s="239"/>
      <c r="JEH12" s="239"/>
      <c r="JEI12" s="239"/>
      <c r="JEJ12" s="239"/>
      <c r="JEK12" s="239"/>
      <c r="JEL12" s="239"/>
      <c r="JEM12" s="239"/>
      <c r="JEN12" s="239"/>
      <c r="JEO12" s="239"/>
      <c r="JEP12" s="239"/>
      <c r="JEQ12" s="239"/>
      <c r="JER12" s="239"/>
      <c r="JES12" s="239"/>
      <c r="JET12" s="239"/>
      <c r="JEU12" s="239"/>
      <c r="JEV12" s="239"/>
      <c r="JEW12" s="239"/>
      <c r="JEX12" s="239"/>
      <c r="JEY12" s="239"/>
      <c r="JEZ12" s="239"/>
      <c r="JFA12" s="239"/>
      <c r="JFB12" s="239"/>
      <c r="JFC12" s="239"/>
      <c r="JFD12" s="239"/>
      <c r="JFE12" s="239"/>
      <c r="JFF12" s="239"/>
      <c r="JFG12" s="239"/>
      <c r="JFH12" s="239"/>
      <c r="JFI12" s="239"/>
      <c r="JFJ12" s="239"/>
      <c r="JFK12" s="239"/>
      <c r="JFL12" s="239"/>
      <c r="JFM12" s="239"/>
      <c r="JFN12" s="239"/>
      <c r="JFO12" s="239"/>
      <c r="JFP12" s="239"/>
      <c r="JFQ12" s="239"/>
      <c r="JFR12" s="239"/>
      <c r="JFS12" s="239"/>
      <c r="JFT12" s="239"/>
      <c r="JFU12" s="239"/>
      <c r="JFV12" s="239"/>
      <c r="JFW12" s="239"/>
      <c r="JFX12" s="239"/>
      <c r="JFY12" s="239"/>
      <c r="JFZ12" s="239"/>
      <c r="JGA12" s="239"/>
      <c r="JGB12" s="239"/>
      <c r="JGC12" s="239"/>
      <c r="JGD12" s="239"/>
      <c r="JGE12" s="239"/>
      <c r="JGF12" s="239"/>
      <c r="JGG12" s="239"/>
      <c r="JGH12" s="239"/>
      <c r="JGI12" s="239"/>
      <c r="JGJ12" s="239"/>
      <c r="JGK12" s="239"/>
      <c r="JGL12" s="239"/>
      <c r="JGM12" s="239"/>
      <c r="JGN12" s="239"/>
      <c r="JGO12" s="239"/>
      <c r="JGP12" s="239"/>
      <c r="JGQ12" s="239"/>
      <c r="JGR12" s="239"/>
      <c r="JGS12" s="239"/>
      <c r="JGT12" s="239"/>
      <c r="JGU12" s="239"/>
      <c r="JGV12" s="239"/>
      <c r="JGW12" s="239"/>
      <c r="JGX12" s="239"/>
      <c r="JGY12" s="239"/>
      <c r="JGZ12" s="239"/>
      <c r="JHA12" s="239"/>
      <c r="JHB12" s="239"/>
      <c r="JHC12" s="239"/>
      <c r="JHD12" s="239"/>
      <c r="JHE12" s="239"/>
      <c r="JHF12" s="239"/>
      <c r="JHG12" s="239"/>
      <c r="JHH12" s="239"/>
      <c r="JHI12" s="239"/>
      <c r="JHJ12" s="239"/>
      <c r="JHK12" s="239"/>
      <c r="JHL12" s="239"/>
      <c r="JHM12" s="239"/>
      <c r="JHN12" s="239"/>
      <c r="JHO12" s="239"/>
      <c r="JHP12" s="239"/>
      <c r="JHQ12" s="239"/>
      <c r="JHR12" s="239"/>
      <c r="JHS12" s="239"/>
      <c r="JHT12" s="239"/>
      <c r="JHU12" s="239"/>
      <c r="JHV12" s="239"/>
      <c r="JHW12" s="239"/>
      <c r="JHX12" s="239"/>
      <c r="JHY12" s="239"/>
      <c r="JHZ12" s="239"/>
      <c r="JIA12" s="239"/>
      <c r="JIB12" s="239"/>
      <c r="JIC12" s="239"/>
      <c r="JID12" s="239"/>
      <c r="JIE12" s="239"/>
      <c r="JIF12" s="239"/>
      <c r="JIG12" s="239"/>
      <c r="JIH12" s="239"/>
      <c r="JII12" s="239"/>
      <c r="JIJ12" s="239"/>
      <c r="JIK12" s="239"/>
      <c r="JIL12" s="239"/>
      <c r="JIM12" s="239"/>
      <c r="JIN12" s="239"/>
      <c r="JIO12" s="239"/>
      <c r="JIP12" s="239"/>
      <c r="JIQ12" s="239"/>
      <c r="JIR12" s="239"/>
      <c r="JIS12" s="239"/>
      <c r="JIT12" s="239"/>
      <c r="JIU12" s="239"/>
      <c r="JIV12" s="239"/>
      <c r="JIW12" s="239"/>
      <c r="JIX12" s="239"/>
      <c r="JIY12" s="239"/>
      <c r="JIZ12" s="239"/>
      <c r="JJA12" s="239"/>
      <c r="JJB12" s="239"/>
      <c r="JJC12" s="239"/>
      <c r="JJD12" s="239"/>
      <c r="JJE12" s="239"/>
      <c r="JJF12" s="239"/>
      <c r="JJG12" s="239"/>
      <c r="JJH12" s="239"/>
      <c r="JJI12" s="239"/>
      <c r="JJJ12" s="239"/>
      <c r="JJK12" s="239"/>
      <c r="JJL12" s="239"/>
      <c r="JJM12" s="239"/>
      <c r="JJN12" s="239"/>
      <c r="JJO12" s="239"/>
      <c r="JJP12" s="239"/>
      <c r="JJQ12" s="239"/>
      <c r="JJR12" s="239"/>
      <c r="JJS12" s="239"/>
      <c r="JJT12" s="239"/>
      <c r="JJU12" s="239"/>
      <c r="JJV12" s="239"/>
      <c r="JJW12" s="239"/>
      <c r="JJX12" s="239"/>
      <c r="JJY12" s="239"/>
      <c r="JJZ12" s="239"/>
      <c r="JKA12" s="239"/>
      <c r="JKB12" s="239"/>
      <c r="JKC12" s="239"/>
      <c r="JKD12" s="239"/>
      <c r="JKE12" s="239"/>
      <c r="JKF12" s="239"/>
      <c r="JKG12" s="239"/>
      <c r="JKH12" s="239"/>
      <c r="JKI12" s="239"/>
      <c r="JKJ12" s="239"/>
      <c r="JKK12" s="239"/>
      <c r="JKL12" s="239"/>
      <c r="JKM12" s="239"/>
      <c r="JKN12" s="239"/>
      <c r="JKO12" s="239"/>
      <c r="JKP12" s="239"/>
      <c r="JKQ12" s="239"/>
      <c r="JKR12" s="239"/>
      <c r="JKS12" s="239"/>
      <c r="JKT12" s="239"/>
      <c r="JKU12" s="239"/>
      <c r="JKV12" s="239"/>
      <c r="JKW12" s="239"/>
      <c r="JKX12" s="239"/>
      <c r="JKY12" s="239"/>
      <c r="JKZ12" s="239"/>
      <c r="JLA12" s="239"/>
      <c r="JLB12" s="239"/>
      <c r="JLC12" s="239"/>
      <c r="JLD12" s="239"/>
      <c r="JLE12" s="239"/>
      <c r="JLF12" s="239"/>
      <c r="JLG12" s="239"/>
      <c r="JLH12" s="239"/>
      <c r="JLI12" s="239"/>
      <c r="JLJ12" s="239"/>
      <c r="JLK12" s="239"/>
      <c r="JLL12" s="239"/>
      <c r="JLM12" s="239"/>
      <c r="JLN12" s="239"/>
      <c r="JLO12" s="239"/>
      <c r="JLP12" s="239"/>
      <c r="JLQ12" s="239"/>
      <c r="JLR12" s="239"/>
      <c r="JLS12" s="239"/>
      <c r="JLT12" s="239"/>
      <c r="JLU12" s="239"/>
      <c r="JLV12" s="239"/>
      <c r="JLW12" s="239"/>
      <c r="JLX12" s="239"/>
      <c r="JLY12" s="239"/>
      <c r="JLZ12" s="239"/>
      <c r="JMA12" s="239"/>
      <c r="JMB12" s="239"/>
      <c r="JMC12" s="239"/>
      <c r="JMD12" s="239"/>
      <c r="JME12" s="239"/>
      <c r="JMF12" s="239"/>
      <c r="JMG12" s="239"/>
      <c r="JMH12" s="239"/>
      <c r="JMI12" s="239"/>
      <c r="JMJ12" s="239"/>
      <c r="JMK12" s="239"/>
      <c r="JML12" s="239"/>
      <c r="JMM12" s="239"/>
      <c r="JMN12" s="239"/>
      <c r="JMO12" s="239"/>
      <c r="JMP12" s="239"/>
      <c r="JMQ12" s="239"/>
      <c r="JMR12" s="239"/>
      <c r="JMS12" s="239"/>
      <c r="JMT12" s="239"/>
      <c r="JMU12" s="239"/>
      <c r="JMV12" s="239"/>
      <c r="JMW12" s="239"/>
      <c r="JMX12" s="239"/>
      <c r="JMY12" s="239"/>
      <c r="JMZ12" s="239"/>
      <c r="JNA12" s="239"/>
      <c r="JNB12" s="239"/>
      <c r="JNC12" s="239"/>
      <c r="JND12" s="239"/>
      <c r="JNE12" s="239"/>
      <c r="JNF12" s="239"/>
      <c r="JNG12" s="239"/>
      <c r="JNH12" s="239"/>
      <c r="JNI12" s="239"/>
      <c r="JNJ12" s="239"/>
      <c r="JNK12" s="239"/>
      <c r="JNL12" s="239"/>
      <c r="JNM12" s="239"/>
      <c r="JNN12" s="239"/>
      <c r="JNO12" s="239"/>
      <c r="JNP12" s="239"/>
      <c r="JNQ12" s="239"/>
      <c r="JNR12" s="239"/>
      <c r="JNS12" s="239"/>
      <c r="JNT12" s="239"/>
      <c r="JNU12" s="239"/>
      <c r="JNV12" s="239"/>
      <c r="JNW12" s="239"/>
      <c r="JNX12" s="239"/>
      <c r="JNY12" s="239"/>
      <c r="JNZ12" s="239"/>
      <c r="JOA12" s="239"/>
      <c r="JOB12" s="239"/>
      <c r="JOC12" s="239"/>
      <c r="JOD12" s="239"/>
      <c r="JOE12" s="239"/>
      <c r="JOF12" s="239"/>
      <c r="JOG12" s="239"/>
      <c r="JOH12" s="239"/>
      <c r="JOI12" s="239"/>
      <c r="JOJ12" s="239"/>
      <c r="JOK12" s="239"/>
      <c r="JOL12" s="239"/>
      <c r="JOM12" s="239"/>
      <c r="JON12" s="239"/>
      <c r="JOO12" s="239"/>
      <c r="JOP12" s="239"/>
      <c r="JOQ12" s="239"/>
      <c r="JOR12" s="239"/>
      <c r="JOS12" s="239"/>
      <c r="JOT12" s="239"/>
      <c r="JOU12" s="239"/>
      <c r="JOV12" s="239"/>
      <c r="JOW12" s="239"/>
      <c r="JOX12" s="239"/>
      <c r="JOY12" s="239"/>
      <c r="JOZ12" s="239"/>
      <c r="JPA12" s="239"/>
      <c r="JPB12" s="239"/>
      <c r="JPC12" s="239"/>
      <c r="JPD12" s="239"/>
      <c r="JPE12" s="239"/>
      <c r="JPF12" s="239"/>
      <c r="JPG12" s="239"/>
      <c r="JPH12" s="239"/>
      <c r="JPI12" s="239"/>
      <c r="JPJ12" s="239"/>
      <c r="JPK12" s="239"/>
      <c r="JPL12" s="239"/>
      <c r="JPM12" s="239"/>
      <c r="JPN12" s="239"/>
      <c r="JPO12" s="239"/>
      <c r="JPP12" s="239"/>
      <c r="JPQ12" s="239"/>
      <c r="JPR12" s="239"/>
      <c r="JPS12" s="239"/>
      <c r="JPT12" s="239"/>
      <c r="JPU12" s="239"/>
      <c r="JPV12" s="239"/>
      <c r="JPW12" s="239"/>
      <c r="JPX12" s="239"/>
      <c r="JPY12" s="239"/>
      <c r="JPZ12" s="239"/>
      <c r="JQA12" s="239"/>
      <c r="JQB12" s="239"/>
      <c r="JQC12" s="239"/>
      <c r="JQD12" s="239"/>
      <c r="JQE12" s="239"/>
      <c r="JQF12" s="239"/>
      <c r="JQG12" s="239"/>
      <c r="JQH12" s="239"/>
      <c r="JQI12" s="239"/>
      <c r="JQJ12" s="239"/>
      <c r="JQK12" s="239"/>
      <c r="JQL12" s="239"/>
      <c r="JQM12" s="239"/>
      <c r="JQN12" s="239"/>
      <c r="JQO12" s="239"/>
      <c r="JQP12" s="239"/>
      <c r="JQQ12" s="239"/>
      <c r="JQR12" s="239"/>
      <c r="JQS12" s="239"/>
      <c r="JQT12" s="239"/>
      <c r="JQU12" s="239"/>
      <c r="JQV12" s="239"/>
      <c r="JQW12" s="239"/>
      <c r="JQX12" s="239"/>
      <c r="JQY12" s="239"/>
      <c r="JQZ12" s="239"/>
      <c r="JRA12" s="239"/>
      <c r="JRB12" s="239"/>
      <c r="JRC12" s="239"/>
      <c r="JRD12" s="239"/>
      <c r="JRE12" s="239"/>
      <c r="JRF12" s="239"/>
      <c r="JRG12" s="239"/>
      <c r="JRH12" s="239"/>
      <c r="JRI12" s="239"/>
      <c r="JRJ12" s="239"/>
      <c r="JRK12" s="239"/>
      <c r="JRL12" s="239"/>
      <c r="JRM12" s="239"/>
      <c r="JRN12" s="239"/>
      <c r="JRO12" s="239"/>
      <c r="JRP12" s="239"/>
      <c r="JRQ12" s="239"/>
      <c r="JRR12" s="239"/>
      <c r="JRS12" s="239"/>
      <c r="JRT12" s="239"/>
      <c r="JRU12" s="239"/>
      <c r="JRV12" s="239"/>
      <c r="JRW12" s="239"/>
      <c r="JRX12" s="239"/>
      <c r="JRY12" s="239"/>
      <c r="JRZ12" s="239"/>
      <c r="JSA12" s="239"/>
      <c r="JSB12" s="239"/>
      <c r="JSC12" s="239"/>
      <c r="JSD12" s="239"/>
      <c r="JSE12" s="239"/>
      <c r="JSF12" s="239"/>
      <c r="JSG12" s="239"/>
      <c r="JSH12" s="239"/>
      <c r="JSI12" s="239"/>
      <c r="JSJ12" s="239"/>
      <c r="JSK12" s="239"/>
      <c r="JSL12" s="239"/>
      <c r="JSM12" s="239"/>
      <c r="JSN12" s="239"/>
      <c r="JSO12" s="239"/>
      <c r="JSP12" s="239"/>
      <c r="JSQ12" s="239"/>
      <c r="JSR12" s="239"/>
      <c r="JSS12" s="239"/>
      <c r="JST12" s="239"/>
      <c r="JSU12" s="239"/>
      <c r="JSV12" s="239"/>
      <c r="JSW12" s="239"/>
      <c r="JSX12" s="239"/>
      <c r="JSY12" s="239"/>
      <c r="JSZ12" s="239"/>
      <c r="JTA12" s="239"/>
      <c r="JTB12" s="239"/>
      <c r="JTC12" s="239"/>
      <c r="JTD12" s="239"/>
      <c r="JTE12" s="239"/>
      <c r="JTF12" s="239"/>
      <c r="JTG12" s="239"/>
      <c r="JTH12" s="239"/>
      <c r="JTI12" s="239"/>
      <c r="JTJ12" s="239"/>
      <c r="JTK12" s="239"/>
      <c r="JTL12" s="239"/>
      <c r="JTM12" s="239"/>
      <c r="JTN12" s="239"/>
      <c r="JTO12" s="239"/>
      <c r="JTP12" s="239"/>
      <c r="JTQ12" s="239"/>
      <c r="JTR12" s="239"/>
      <c r="JTS12" s="239"/>
      <c r="JTT12" s="239"/>
      <c r="JTU12" s="239"/>
      <c r="JTV12" s="239"/>
      <c r="JTW12" s="239"/>
      <c r="JTX12" s="239"/>
      <c r="JTY12" s="239"/>
      <c r="JTZ12" s="239"/>
      <c r="JUA12" s="239"/>
      <c r="JUB12" s="239"/>
      <c r="JUC12" s="239"/>
      <c r="JUD12" s="239"/>
      <c r="JUE12" s="239"/>
      <c r="JUF12" s="239"/>
      <c r="JUG12" s="239"/>
      <c r="JUH12" s="239"/>
      <c r="JUI12" s="239"/>
      <c r="JUJ12" s="239"/>
      <c r="JUK12" s="239"/>
      <c r="JUL12" s="239"/>
      <c r="JUM12" s="239"/>
      <c r="JUN12" s="239"/>
      <c r="JUO12" s="239"/>
      <c r="JUP12" s="239"/>
      <c r="JUQ12" s="239"/>
      <c r="JUR12" s="239"/>
      <c r="JUS12" s="239"/>
      <c r="JUT12" s="239"/>
      <c r="JUU12" s="239"/>
      <c r="JUV12" s="239"/>
      <c r="JUW12" s="239"/>
      <c r="JUX12" s="239"/>
      <c r="JUY12" s="239"/>
      <c r="JUZ12" s="239"/>
      <c r="JVA12" s="239"/>
      <c r="JVB12" s="239"/>
      <c r="JVC12" s="239"/>
      <c r="JVD12" s="239"/>
      <c r="JVE12" s="239"/>
      <c r="JVF12" s="239"/>
      <c r="JVG12" s="239"/>
      <c r="JVH12" s="239"/>
      <c r="JVI12" s="239"/>
      <c r="JVJ12" s="239"/>
      <c r="JVK12" s="239"/>
      <c r="JVL12" s="239"/>
      <c r="JVM12" s="239"/>
      <c r="JVN12" s="239"/>
      <c r="JVO12" s="239"/>
      <c r="JVP12" s="239"/>
      <c r="JVQ12" s="239"/>
      <c r="JVR12" s="239"/>
      <c r="JVS12" s="239"/>
      <c r="JVT12" s="239"/>
      <c r="JVU12" s="239"/>
      <c r="JVV12" s="239"/>
      <c r="JVW12" s="239"/>
      <c r="JVX12" s="239"/>
      <c r="JVY12" s="239"/>
      <c r="JVZ12" s="239"/>
      <c r="JWA12" s="239"/>
      <c r="JWB12" s="239"/>
      <c r="JWC12" s="239"/>
      <c r="JWD12" s="239"/>
      <c r="JWE12" s="239"/>
      <c r="JWF12" s="239"/>
      <c r="JWG12" s="239"/>
      <c r="JWH12" s="239"/>
      <c r="JWI12" s="239"/>
      <c r="JWJ12" s="239"/>
      <c r="JWK12" s="239"/>
      <c r="JWL12" s="239"/>
      <c r="JWM12" s="239"/>
      <c r="JWN12" s="239"/>
      <c r="JWO12" s="239"/>
      <c r="JWP12" s="239"/>
      <c r="JWQ12" s="239"/>
      <c r="JWR12" s="239"/>
      <c r="JWS12" s="239"/>
      <c r="JWT12" s="239"/>
      <c r="JWU12" s="239"/>
      <c r="JWV12" s="239"/>
      <c r="JWW12" s="239"/>
      <c r="JWX12" s="239"/>
      <c r="JWY12" s="239"/>
      <c r="JWZ12" s="239"/>
      <c r="JXA12" s="239"/>
      <c r="JXB12" s="239"/>
      <c r="JXC12" s="239"/>
      <c r="JXD12" s="239"/>
      <c r="JXE12" s="239"/>
      <c r="JXF12" s="239"/>
      <c r="JXG12" s="239"/>
      <c r="JXH12" s="239"/>
      <c r="JXI12" s="239"/>
      <c r="JXJ12" s="239"/>
      <c r="JXK12" s="239"/>
      <c r="JXL12" s="239"/>
      <c r="JXM12" s="239"/>
      <c r="JXN12" s="239"/>
      <c r="JXO12" s="239"/>
      <c r="JXP12" s="239"/>
      <c r="JXQ12" s="239"/>
      <c r="JXR12" s="239"/>
      <c r="JXS12" s="239"/>
      <c r="JXT12" s="239"/>
      <c r="JXU12" s="239"/>
      <c r="JXV12" s="239"/>
      <c r="JXW12" s="239"/>
      <c r="JXX12" s="239"/>
      <c r="JXY12" s="239"/>
      <c r="JXZ12" s="239"/>
      <c r="JYA12" s="239"/>
      <c r="JYB12" s="239"/>
      <c r="JYC12" s="239"/>
      <c r="JYD12" s="239"/>
      <c r="JYE12" s="239"/>
      <c r="JYF12" s="239"/>
      <c r="JYG12" s="239"/>
      <c r="JYH12" s="239"/>
      <c r="JYI12" s="239"/>
      <c r="JYJ12" s="239"/>
      <c r="JYK12" s="239"/>
      <c r="JYL12" s="239"/>
      <c r="JYM12" s="239"/>
      <c r="JYN12" s="239"/>
      <c r="JYO12" s="239"/>
      <c r="JYP12" s="239"/>
      <c r="JYQ12" s="239"/>
      <c r="JYR12" s="239"/>
      <c r="JYS12" s="239"/>
      <c r="JYT12" s="239"/>
      <c r="JYU12" s="239"/>
      <c r="JYV12" s="239"/>
      <c r="JYW12" s="239"/>
      <c r="JYX12" s="239"/>
      <c r="JYY12" s="239"/>
      <c r="JYZ12" s="239"/>
      <c r="JZA12" s="239"/>
      <c r="JZB12" s="239"/>
      <c r="JZC12" s="239"/>
      <c r="JZD12" s="239"/>
      <c r="JZE12" s="239"/>
      <c r="JZF12" s="239"/>
      <c r="JZG12" s="239"/>
      <c r="JZH12" s="239"/>
      <c r="JZI12" s="239"/>
      <c r="JZJ12" s="239"/>
      <c r="JZK12" s="239"/>
      <c r="JZL12" s="239"/>
      <c r="JZM12" s="239"/>
      <c r="JZN12" s="239"/>
      <c r="JZO12" s="239"/>
      <c r="JZP12" s="239"/>
      <c r="JZQ12" s="239"/>
      <c r="JZR12" s="239"/>
      <c r="JZS12" s="239"/>
      <c r="JZT12" s="239"/>
      <c r="JZU12" s="239"/>
      <c r="JZV12" s="239"/>
      <c r="JZW12" s="239"/>
      <c r="JZX12" s="239"/>
      <c r="JZY12" s="239"/>
      <c r="JZZ12" s="239"/>
      <c r="KAA12" s="239"/>
      <c r="KAB12" s="239"/>
      <c r="KAC12" s="239"/>
      <c r="KAD12" s="239"/>
      <c r="KAE12" s="239"/>
      <c r="KAF12" s="239"/>
      <c r="KAG12" s="239"/>
      <c r="KAH12" s="239"/>
      <c r="KAI12" s="239"/>
      <c r="KAJ12" s="239"/>
      <c r="KAK12" s="239"/>
      <c r="KAL12" s="239"/>
      <c r="KAM12" s="239"/>
      <c r="KAN12" s="239"/>
      <c r="KAO12" s="239"/>
      <c r="KAP12" s="239"/>
      <c r="KAQ12" s="239"/>
      <c r="KAR12" s="239"/>
      <c r="KAS12" s="239"/>
      <c r="KAT12" s="239"/>
      <c r="KAU12" s="239"/>
      <c r="KAV12" s="239"/>
      <c r="KAW12" s="239"/>
      <c r="KAX12" s="239"/>
      <c r="KAY12" s="239"/>
      <c r="KAZ12" s="239"/>
      <c r="KBA12" s="239"/>
      <c r="KBB12" s="239"/>
      <c r="KBC12" s="239"/>
      <c r="KBD12" s="239"/>
      <c r="KBE12" s="239"/>
      <c r="KBF12" s="239"/>
      <c r="KBG12" s="239"/>
      <c r="KBH12" s="239"/>
      <c r="KBI12" s="239"/>
      <c r="KBJ12" s="239"/>
      <c r="KBK12" s="239"/>
      <c r="KBL12" s="239"/>
      <c r="KBM12" s="239"/>
      <c r="KBN12" s="239"/>
      <c r="KBO12" s="239"/>
      <c r="KBP12" s="239"/>
      <c r="KBQ12" s="239"/>
      <c r="KBR12" s="239"/>
      <c r="KBS12" s="239"/>
      <c r="KBT12" s="239"/>
      <c r="KBU12" s="239"/>
      <c r="KBV12" s="239"/>
      <c r="KBW12" s="239"/>
      <c r="KBX12" s="239"/>
      <c r="KBY12" s="239"/>
      <c r="KBZ12" s="239"/>
      <c r="KCA12" s="239"/>
      <c r="KCB12" s="239"/>
      <c r="KCC12" s="239"/>
      <c r="KCD12" s="239"/>
      <c r="KCE12" s="239"/>
      <c r="KCF12" s="239"/>
      <c r="KCG12" s="239"/>
      <c r="KCH12" s="239"/>
      <c r="KCI12" s="239"/>
      <c r="KCJ12" s="239"/>
      <c r="KCK12" s="239"/>
      <c r="KCL12" s="239"/>
      <c r="KCM12" s="239"/>
      <c r="KCN12" s="239"/>
      <c r="KCO12" s="239"/>
      <c r="KCP12" s="239"/>
      <c r="KCQ12" s="239"/>
      <c r="KCR12" s="239"/>
      <c r="KCS12" s="239"/>
      <c r="KCT12" s="239"/>
      <c r="KCU12" s="239"/>
      <c r="KCV12" s="239"/>
      <c r="KCW12" s="239"/>
      <c r="KCX12" s="239"/>
      <c r="KCY12" s="239"/>
      <c r="KCZ12" s="239"/>
      <c r="KDA12" s="239"/>
      <c r="KDB12" s="239"/>
      <c r="KDC12" s="239"/>
      <c r="KDD12" s="239"/>
      <c r="KDE12" s="239"/>
      <c r="KDF12" s="239"/>
      <c r="KDG12" s="239"/>
      <c r="KDH12" s="239"/>
      <c r="KDI12" s="239"/>
      <c r="KDJ12" s="239"/>
      <c r="KDK12" s="239"/>
      <c r="KDL12" s="239"/>
      <c r="KDM12" s="239"/>
      <c r="KDN12" s="239"/>
      <c r="KDO12" s="239"/>
      <c r="KDP12" s="239"/>
      <c r="KDQ12" s="239"/>
      <c r="KDR12" s="239"/>
      <c r="KDS12" s="239"/>
      <c r="KDT12" s="239"/>
      <c r="KDU12" s="239"/>
      <c r="KDV12" s="239"/>
      <c r="KDW12" s="239"/>
      <c r="KDX12" s="239"/>
      <c r="KDY12" s="239"/>
      <c r="KDZ12" s="239"/>
      <c r="KEA12" s="239"/>
      <c r="KEB12" s="239"/>
      <c r="KEC12" s="239"/>
      <c r="KED12" s="239"/>
      <c r="KEE12" s="239"/>
      <c r="KEF12" s="239"/>
      <c r="KEG12" s="239"/>
      <c r="KEH12" s="239"/>
      <c r="KEI12" s="239"/>
      <c r="KEJ12" s="239"/>
      <c r="KEK12" s="239"/>
      <c r="KEL12" s="239"/>
      <c r="KEM12" s="239"/>
      <c r="KEN12" s="239"/>
      <c r="KEO12" s="239"/>
      <c r="KEP12" s="239"/>
      <c r="KEQ12" s="239"/>
      <c r="KER12" s="239"/>
      <c r="KES12" s="239"/>
      <c r="KET12" s="239"/>
      <c r="KEU12" s="239"/>
      <c r="KEV12" s="239"/>
      <c r="KEW12" s="239"/>
      <c r="KEX12" s="239"/>
      <c r="KEY12" s="239"/>
      <c r="KEZ12" s="239"/>
      <c r="KFA12" s="239"/>
      <c r="KFB12" s="239"/>
      <c r="KFC12" s="239"/>
      <c r="KFD12" s="239"/>
      <c r="KFE12" s="239"/>
      <c r="KFF12" s="239"/>
      <c r="KFG12" s="239"/>
      <c r="KFH12" s="239"/>
      <c r="KFI12" s="239"/>
      <c r="KFJ12" s="239"/>
      <c r="KFK12" s="239"/>
      <c r="KFL12" s="239"/>
      <c r="KFM12" s="239"/>
      <c r="KFN12" s="239"/>
      <c r="KFO12" s="239"/>
      <c r="KFP12" s="239"/>
      <c r="KFQ12" s="239"/>
      <c r="KFR12" s="239"/>
      <c r="KFS12" s="239"/>
      <c r="KFT12" s="239"/>
      <c r="KFU12" s="239"/>
      <c r="KFV12" s="239"/>
      <c r="KFW12" s="239"/>
      <c r="KFX12" s="239"/>
      <c r="KFY12" s="239"/>
      <c r="KFZ12" s="239"/>
      <c r="KGA12" s="239"/>
      <c r="KGB12" s="239"/>
      <c r="KGC12" s="239"/>
      <c r="KGD12" s="239"/>
      <c r="KGE12" s="239"/>
      <c r="KGF12" s="239"/>
      <c r="KGG12" s="239"/>
      <c r="KGH12" s="239"/>
      <c r="KGI12" s="239"/>
      <c r="KGJ12" s="239"/>
      <c r="KGK12" s="239"/>
      <c r="KGL12" s="239"/>
      <c r="KGM12" s="239"/>
      <c r="KGN12" s="239"/>
      <c r="KGO12" s="239"/>
      <c r="KGP12" s="239"/>
      <c r="KGQ12" s="239"/>
      <c r="KGR12" s="239"/>
      <c r="KGS12" s="239"/>
      <c r="KGT12" s="239"/>
      <c r="KGU12" s="239"/>
      <c r="KGV12" s="239"/>
      <c r="KGW12" s="239"/>
      <c r="KGX12" s="239"/>
      <c r="KGY12" s="239"/>
      <c r="KGZ12" s="239"/>
      <c r="KHA12" s="239"/>
      <c r="KHB12" s="239"/>
      <c r="KHC12" s="239"/>
      <c r="KHD12" s="239"/>
      <c r="KHE12" s="239"/>
      <c r="KHF12" s="239"/>
      <c r="KHG12" s="239"/>
      <c r="KHH12" s="239"/>
      <c r="KHI12" s="239"/>
      <c r="KHJ12" s="239"/>
      <c r="KHK12" s="239"/>
      <c r="KHL12" s="239"/>
      <c r="KHM12" s="239"/>
      <c r="KHN12" s="239"/>
      <c r="KHO12" s="239"/>
      <c r="KHP12" s="239"/>
      <c r="KHQ12" s="239"/>
      <c r="KHR12" s="239"/>
      <c r="KHS12" s="239"/>
      <c r="KHT12" s="239"/>
      <c r="KHU12" s="239"/>
      <c r="KHV12" s="239"/>
      <c r="KHW12" s="239"/>
      <c r="KHX12" s="239"/>
      <c r="KHY12" s="239"/>
      <c r="KHZ12" s="239"/>
      <c r="KIA12" s="239"/>
      <c r="KIB12" s="239"/>
      <c r="KIC12" s="239"/>
      <c r="KID12" s="239"/>
      <c r="KIE12" s="239"/>
      <c r="KIF12" s="239"/>
      <c r="KIG12" s="239"/>
      <c r="KIH12" s="239"/>
      <c r="KII12" s="239"/>
      <c r="KIJ12" s="239"/>
      <c r="KIK12" s="239"/>
      <c r="KIL12" s="239"/>
      <c r="KIM12" s="239"/>
      <c r="KIN12" s="239"/>
      <c r="KIO12" s="239"/>
      <c r="KIP12" s="239"/>
      <c r="KIQ12" s="239"/>
      <c r="KIR12" s="239"/>
      <c r="KIS12" s="239"/>
      <c r="KIT12" s="239"/>
      <c r="KIU12" s="239"/>
      <c r="KIV12" s="239"/>
      <c r="KIW12" s="239"/>
      <c r="KIX12" s="239"/>
      <c r="KIY12" s="239"/>
      <c r="KIZ12" s="239"/>
      <c r="KJA12" s="239"/>
      <c r="KJB12" s="239"/>
      <c r="KJC12" s="239"/>
      <c r="KJD12" s="239"/>
      <c r="KJE12" s="239"/>
      <c r="KJF12" s="239"/>
      <c r="KJG12" s="239"/>
      <c r="KJH12" s="239"/>
      <c r="KJI12" s="239"/>
      <c r="KJJ12" s="239"/>
      <c r="KJK12" s="239"/>
      <c r="KJL12" s="239"/>
      <c r="KJM12" s="239"/>
      <c r="KJN12" s="239"/>
      <c r="KJO12" s="239"/>
      <c r="KJP12" s="239"/>
      <c r="KJQ12" s="239"/>
      <c r="KJR12" s="239"/>
      <c r="KJS12" s="239"/>
      <c r="KJT12" s="239"/>
      <c r="KJU12" s="239"/>
      <c r="KJV12" s="239"/>
      <c r="KJW12" s="239"/>
      <c r="KJX12" s="239"/>
      <c r="KJY12" s="239"/>
      <c r="KJZ12" s="239"/>
      <c r="KKA12" s="239"/>
      <c r="KKB12" s="239"/>
      <c r="KKC12" s="239"/>
      <c r="KKD12" s="239"/>
      <c r="KKE12" s="239"/>
      <c r="KKF12" s="239"/>
      <c r="KKG12" s="239"/>
      <c r="KKH12" s="239"/>
      <c r="KKI12" s="239"/>
      <c r="KKJ12" s="239"/>
      <c r="KKK12" s="239"/>
      <c r="KKL12" s="239"/>
      <c r="KKM12" s="239"/>
      <c r="KKN12" s="239"/>
      <c r="KKO12" s="239"/>
      <c r="KKP12" s="239"/>
      <c r="KKQ12" s="239"/>
      <c r="KKR12" s="239"/>
      <c r="KKS12" s="239"/>
      <c r="KKT12" s="239"/>
      <c r="KKU12" s="239"/>
      <c r="KKV12" s="239"/>
      <c r="KKW12" s="239"/>
      <c r="KKX12" s="239"/>
      <c r="KKY12" s="239"/>
      <c r="KKZ12" s="239"/>
      <c r="KLA12" s="239"/>
      <c r="KLB12" s="239"/>
      <c r="KLC12" s="239"/>
      <c r="KLD12" s="239"/>
      <c r="KLE12" s="239"/>
      <c r="KLF12" s="239"/>
      <c r="KLG12" s="239"/>
      <c r="KLH12" s="239"/>
      <c r="KLI12" s="239"/>
      <c r="KLJ12" s="239"/>
      <c r="KLK12" s="239"/>
      <c r="KLL12" s="239"/>
      <c r="KLM12" s="239"/>
      <c r="KLN12" s="239"/>
      <c r="KLO12" s="239"/>
      <c r="KLP12" s="239"/>
      <c r="KLQ12" s="239"/>
      <c r="KLR12" s="239"/>
      <c r="KLS12" s="239"/>
      <c r="KLT12" s="239"/>
      <c r="KLU12" s="239"/>
      <c r="KLV12" s="239"/>
      <c r="KLW12" s="239"/>
      <c r="KLX12" s="239"/>
      <c r="KLY12" s="239"/>
      <c r="KLZ12" s="239"/>
      <c r="KMA12" s="239"/>
      <c r="KMB12" s="239"/>
      <c r="KMC12" s="239"/>
      <c r="KMD12" s="239"/>
      <c r="KME12" s="239"/>
      <c r="KMF12" s="239"/>
      <c r="KMG12" s="239"/>
      <c r="KMH12" s="239"/>
      <c r="KMI12" s="239"/>
      <c r="KMJ12" s="239"/>
      <c r="KMK12" s="239"/>
      <c r="KML12" s="239"/>
      <c r="KMM12" s="239"/>
      <c r="KMN12" s="239"/>
      <c r="KMO12" s="239"/>
      <c r="KMP12" s="239"/>
      <c r="KMQ12" s="239"/>
      <c r="KMR12" s="239"/>
      <c r="KMS12" s="239"/>
      <c r="KMT12" s="239"/>
      <c r="KMU12" s="239"/>
      <c r="KMV12" s="239"/>
      <c r="KMW12" s="239"/>
      <c r="KMX12" s="239"/>
      <c r="KMY12" s="239"/>
      <c r="KMZ12" s="239"/>
      <c r="KNA12" s="239"/>
      <c r="KNB12" s="239"/>
      <c r="KNC12" s="239"/>
      <c r="KND12" s="239"/>
      <c r="KNE12" s="239"/>
      <c r="KNF12" s="239"/>
      <c r="KNG12" s="239"/>
      <c r="KNH12" s="239"/>
      <c r="KNI12" s="239"/>
      <c r="KNJ12" s="239"/>
      <c r="KNK12" s="239"/>
      <c r="KNL12" s="239"/>
      <c r="KNM12" s="239"/>
      <c r="KNN12" s="239"/>
      <c r="KNO12" s="239"/>
      <c r="KNP12" s="239"/>
      <c r="KNQ12" s="239"/>
      <c r="KNR12" s="239"/>
      <c r="KNS12" s="239"/>
      <c r="KNT12" s="239"/>
      <c r="KNU12" s="239"/>
      <c r="KNV12" s="239"/>
      <c r="KNW12" s="239"/>
      <c r="KNX12" s="239"/>
      <c r="KNY12" s="239"/>
      <c r="KNZ12" s="239"/>
      <c r="KOA12" s="239"/>
      <c r="KOB12" s="239"/>
      <c r="KOC12" s="239"/>
      <c r="KOD12" s="239"/>
      <c r="KOE12" s="239"/>
      <c r="KOF12" s="239"/>
      <c r="KOG12" s="239"/>
      <c r="KOH12" s="239"/>
      <c r="KOI12" s="239"/>
      <c r="KOJ12" s="239"/>
      <c r="KOK12" s="239"/>
      <c r="KOL12" s="239"/>
      <c r="KOM12" s="239"/>
      <c r="KON12" s="239"/>
      <c r="KOO12" s="239"/>
      <c r="KOP12" s="239"/>
      <c r="KOQ12" s="239"/>
      <c r="KOR12" s="239"/>
      <c r="KOS12" s="239"/>
      <c r="KOT12" s="239"/>
      <c r="KOU12" s="239"/>
      <c r="KOV12" s="239"/>
      <c r="KOW12" s="239"/>
      <c r="KOX12" s="239"/>
      <c r="KOY12" s="239"/>
      <c r="KOZ12" s="239"/>
      <c r="KPA12" s="239"/>
      <c r="KPB12" s="239"/>
      <c r="KPC12" s="239"/>
      <c r="KPD12" s="239"/>
      <c r="KPE12" s="239"/>
      <c r="KPF12" s="239"/>
      <c r="KPG12" s="239"/>
      <c r="KPH12" s="239"/>
      <c r="KPI12" s="239"/>
      <c r="KPJ12" s="239"/>
      <c r="KPK12" s="239"/>
      <c r="KPL12" s="239"/>
      <c r="KPM12" s="239"/>
      <c r="KPN12" s="239"/>
      <c r="KPO12" s="239"/>
      <c r="KPP12" s="239"/>
      <c r="KPQ12" s="239"/>
      <c r="KPR12" s="239"/>
      <c r="KPS12" s="239"/>
      <c r="KPT12" s="239"/>
      <c r="KPU12" s="239"/>
      <c r="KPV12" s="239"/>
      <c r="KPW12" s="239"/>
      <c r="KPX12" s="239"/>
      <c r="KPY12" s="239"/>
      <c r="KPZ12" s="239"/>
      <c r="KQA12" s="239"/>
      <c r="KQB12" s="239"/>
      <c r="KQC12" s="239"/>
      <c r="KQD12" s="239"/>
      <c r="KQE12" s="239"/>
      <c r="KQF12" s="239"/>
      <c r="KQG12" s="239"/>
      <c r="KQH12" s="239"/>
      <c r="KQI12" s="239"/>
      <c r="KQJ12" s="239"/>
      <c r="KQK12" s="239"/>
      <c r="KQL12" s="239"/>
      <c r="KQM12" s="239"/>
      <c r="KQN12" s="239"/>
      <c r="KQO12" s="239"/>
      <c r="KQP12" s="239"/>
      <c r="KQQ12" s="239"/>
      <c r="KQR12" s="239"/>
      <c r="KQS12" s="239"/>
      <c r="KQT12" s="239"/>
      <c r="KQU12" s="239"/>
      <c r="KQV12" s="239"/>
      <c r="KQW12" s="239"/>
      <c r="KQX12" s="239"/>
      <c r="KQY12" s="239"/>
      <c r="KQZ12" s="239"/>
      <c r="KRA12" s="239"/>
      <c r="KRB12" s="239"/>
      <c r="KRC12" s="239"/>
      <c r="KRD12" s="239"/>
      <c r="KRE12" s="239"/>
      <c r="KRF12" s="239"/>
      <c r="KRG12" s="239"/>
      <c r="KRH12" s="239"/>
      <c r="KRI12" s="239"/>
      <c r="KRJ12" s="239"/>
      <c r="KRK12" s="239"/>
      <c r="KRL12" s="239"/>
      <c r="KRM12" s="239"/>
      <c r="KRN12" s="239"/>
      <c r="KRO12" s="239"/>
      <c r="KRP12" s="239"/>
      <c r="KRQ12" s="239"/>
      <c r="KRR12" s="239"/>
      <c r="KRS12" s="239"/>
      <c r="KRT12" s="239"/>
      <c r="KRU12" s="239"/>
      <c r="KRV12" s="239"/>
      <c r="KRW12" s="239"/>
      <c r="KRX12" s="239"/>
      <c r="KRY12" s="239"/>
      <c r="KRZ12" s="239"/>
      <c r="KSA12" s="239"/>
      <c r="KSB12" s="239"/>
      <c r="KSC12" s="239"/>
      <c r="KSD12" s="239"/>
      <c r="KSE12" s="239"/>
      <c r="KSF12" s="239"/>
      <c r="KSG12" s="239"/>
      <c r="KSH12" s="239"/>
      <c r="KSI12" s="239"/>
      <c r="KSJ12" s="239"/>
      <c r="KSK12" s="239"/>
      <c r="KSL12" s="239"/>
      <c r="KSM12" s="239"/>
      <c r="KSN12" s="239"/>
      <c r="KSO12" s="239"/>
      <c r="KSP12" s="239"/>
      <c r="KSQ12" s="239"/>
      <c r="KSR12" s="239"/>
      <c r="KSS12" s="239"/>
      <c r="KST12" s="239"/>
      <c r="KSU12" s="239"/>
      <c r="KSV12" s="239"/>
      <c r="KSW12" s="239"/>
      <c r="KSX12" s="239"/>
      <c r="KSY12" s="239"/>
      <c r="KSZ12" s="239"/>
      <c r="KTA12" s="239"/>
      <c r="KTB12" s="239"/>
      <c r="KTC12" s="239"/>
      <c r="KTD12" s="239"/>
      <c r="KTE12" s="239"/>
      <c r="KTF12" s="239"/>
      <c r="KTG12" s="239"/>
      <c r="KTH12" s="239"/>
      <c r="KTI12" s="239"/>
      <c r="KTJ12" s="239"/>
      <c r="KTK12" s="239"/>
      <c r="KTL12" s="239"/>
      <c r="KTM12" s="239"/>
      <c r="KTN12" s="239"/>
      <c r="KTO12" s="239"/>
      <c r="KTP12" s="239"/>
      <c r="KTQ12" s="239"/>
      <c r="KTR12" s="239"/>
      <c r="KTS12" s="239"/>
      <c r="KTT12" s="239"/>
      <c r="KTU12" s="239"/>
      <c r="KTV12" s="239"/>
      <c r="KTW12" s="239"/>
      <c r="KTX12" s="239"/>
      <c r="KTY12" s="239"/>
      <c r="KTZ12" s="239"/>
      <c r="KUA12" s="239"/>
      <c r="KUB12" s="239"/>
      <c r="KUC12" s="239"/>
      <c r="KUD12" s="239"/>
      <c r="KUE12" s="239"/>
      <c r="KUF12" s="239"/>
      <c r="KUG12" s="239"/>
      <c r="KUH12" s="239"/>
      <c r="KUI12" s="239"/>
      <c r="KUJ12" s="239"/>
      <c r="KUK12" s="239"/>
      <c r="KUL12" s="239"/>
      <c r="KUM12" s="239"/>
      <c r="KUN12" s="239"/>
      <c r="KUO12" s="239"/>
      <c r="KUP12" s="239"/>
      <c r="KUQ12" s="239"/>
      <c r="KUR12" s="239"/>
      <c r="KUS12" s="239"/>
      <c r="KUT12" s="239"/>
      <c r="KUU12" s="239"/>
      <c r="KUV12" s="239"/>
      <c r="KUW12" s="239"/>
      <c r="KUX12" s="239"/>
      <c r="KUY12" s="239"/>
      <c r="KUZ12" s="239"/>
      <c r="KVA12" s="239"/>
      <c r="KVB12" s="239"/>
      <c r="KVC12" s="239"/>
      <c r="KVD12" s="239"/>
      <c r="KVE12" s="239"/>
      <c r="KVF12" s="239"/>
      <c r="KVG12" s="239"/>
      <c r="KVH12" s="239"/>
      <c r="KVI12" s="239"/>
      <c r="KVJ12" s="239"/>
      <c r="KVK12" s="239"/>
      <c r="KVL12" s="239"/>
      <c r="KVM12" s="239"/>
      <c r="KVN12" s="239"/>
      <c r="KVO12" s="239"/>
      <c r="KVP12" s="239"/>
      <c r="KVQ12" s="239"/>
      <c r="KVR12" s="239"/>
      <c r="KVS12" s="239"/>
      <c r="KVT12" s="239"/>
      <c r="KVU12" s="239"/>
      <c r="KVV12" s="239"/>
      <c r="KVW12" s="239"/>
      <c r="KVX12" s="239"/>
      <c r="KVY12" s="239"/>
      <c r="KVZ12" s="239"/>
      <c r="KWA12" s="239"/>
      <c r="KWB12" s="239"/>
      <c r="KWC12" s="239"/>
      <c r="KWD12" s="239"/>
      <c r="KWE12" s="239"/>
      <c r="KWF12" s="239"/>
      <c r="KWG12" s="239"/>
      <c r="KWH12" s="239"/>
      <c r="KWI12" s="239"/>
      <c r="KWJ12" s="239"/>
      <c r="KWK12" s="239"/>
      <c r="KWL12" s="239"/>
      <c r="KWM12" s="239"/>
      <c r="KWN12" s="239"/>
      <c r="KWO12" s="239"/>
      <c r="KWP12" s="239"/>
      <c r="KWQ12" s="239"/>
      <c r="KWR12" s="239"/>
      <c r="KWS12" s="239"/>
      <c r="KWT12" s="239"/>
      <c r="KWU12" s="239"/>
      <c r="KWV12" s="239"/>
      <c r="KWW12" s="239"/>
      <c r="KWX12" s="239"/>
      <c r="KWY12" s="239"/>
      <c r="KWZ12" s="239"/>
      <c r="KXA12" s="239"/>
      <c r="KXB12" s="239"/>
      <c r="KXC12" s="239"/>
      <c r="KXD12" s="239"/>
      <c r="KXE12" s="239"/>
      <c r="KXF12" s="239"/>
      <c r="KXG12" s="239"/>
      <c r="KXH12" s="239"/>
      <c r="KXI12" s="239"/>
      <c r="KXJ12" s="239"/>
      <c r="KXK12" s="239"/>
      <c r="KXL12" s="239"/>
      <c r="KXM12" s="239"/>
      <c r="KXN12" s="239"/>
      <c r="KXO12" s="239"/>
      <c r="KXP12" s="239"/>
      <c r="KXQ12" s="239"/>
      <c r="KXR12" s="239"/>
      <c r="KXS12" s="239"/>
      <c r="KXT12" s="239"/>
      <c r="KXU12" s="239"/>
      <c r="KXV12" s="239"/>
      <c r="KXW12" s="239"/>
      <c r="KXX12" s="239"/>
      <c r="KXY12" s="239"/>
      <c r="KXZ12" s="239"/>
      <c r="KYA12" s="239"/>
      <c r="KYB12" s="239"/>
      <c r="KYC12" s="239"/>
      <c r="KYD12" s="239"/>
      <c r="KYE12" s="239"/>
      <c r="KYF12" s="239"/>
      <c r="KYG12" s="239"/>
      <c r="KYH12" s="239"/>
      <c r="KYI12" s="239"/>
      <c r="KYJ12" s="239"/>
      <c r="KYK12" s="239"/>
      <c r="KYL12" s="239"/>
      <c r="KYM12" s="239"/>
      <c r="KYN12" s="239"/>
      <c r="KYO12" s="239"/>
      <c r="KYP12" s="239"/>
      <c r="KYQ12" s="239"/>
      <c r="KYR12" s="239"/>
      <c r="KYS12" s="239"/>
      <c r="KYT12" s="239"/>
      <c r="KYU12" s="239"/>
      <c r="KYV12" s="239"/>
      <c r="KYW12" s="239"/>
      <c r="KYX12" s="239"/>
      <c r="KYY12" s="239"/>
      <c r="KYZ12" s="239"/>
      <c r="KZA12" s="239"/>
      <c r="KZB12" s="239"/>
      <c r="KZC12" s="239"/>
      <c r="KZD12" s="239"/>
      <c r="KZE12" s="239"/>
      <c r="KZF12" s="239"/>
      <c r="KZG12" s="239"/>
      <c r="KZH12" s="239"/>
      <c r="KZI12" s="239"/>
      <c r="KZJ12" s="239"/>
      <c r="KZK12" s="239"/>
      <c r="KZL12" s="239"/>
      <c r="KZM12" s="239"/>
      <c r="KZN12" s="239"/>
      <c r="KZO12" s="239"/>
      <c r="KZP12" s="239"/>
      <c r="KZQ12" s="239"/>
      <c r="KZR12" s="239"/>
      <c r="KZS12" s="239"/>
      <c r="KZT12" s="239"/>
      <c r="KZU12" s="239"/>
      <c r="KZV12" s="239"/>
      <c r="KZW12" s="239"/>
      <c r="KZX12" s="239"/>
      <c r="KZY12" s="239"/>
      <c r="KZZ12" s="239"/>
      <c r="LAA12" s="239"/>
      <c r="LAB12" s="239"/>
      <c r="LAC12" s="239"/>
      <c r="LAD12" s="239"/>
      <c r="LAE12" s="239"/>
      <c r="LAF12" s="239"/>
      <c r="LAG12" s="239"/>
      <c r="LAH12" s="239"/>
      <c r="LAI12" s="239"/>
      <c r="LAJ12" s="239"/>
      <c r="LAK12" s="239"/>
      <c r="LAL12" s="239"/>
      <c r="LAM12" s="239"/>
      <c r="LAN12" s="239"/>
      <c r="LAO12" s="239"/>
      <c r="LAP12" s="239"/>
      <c r="LAQ12" s="239"/>
      <c r="LAR12" s="239"/>
      <c r="LAS12" s="239"/>
      <c r="LAT12" s="239"/>
      <c r="LAU12" s="239"/>
      <c r="LAV12" s="239"/>
      <c r="LAW12" s="239"/>
      <c r="LAX12" s="239"/>
      <c r="LAY12" s="239"/>
      <c r="LAZ12" s="239"/>
      <c r="LBA12" s="239"/>
      <c r="LBB12" s="239"/>
      <c r="LBC12" s="239"/>
      <c r="LBD12" s="239"/>
      <c r="LBE12" s="239"/>
      <c r="LBF12" s="239"/>
      <c r="LBG12" s="239"/>
      <c r="LBH12" s="239"/>
      <c r="LBI12" s="239"/>
      <c r="LBJ12" s="239"/>
      <c r="LBK12" s="239"/>
      <c r="LBL12" s="239"/>
      <c r="LBM12" s="239"/>
      <c r="LBN12" s="239"/>
      <c r="LBO12" s="239"/>
      <c r="LBP12" s="239"/>
      <c r="LBQ12" s="239"/>
      <c r="LBR12" s="239"/>
      <c r="LBS12" s="239"/>
      <c r="LBT12" s="239"/>
      <c r="LBU12" s="239"/>
      <c r="LBV12" s="239"/>
      <c r="LBW12" s="239"/>
      <c r="LBX12" s="239"/>
      <c r="LBY12" s="239"/>
      <c r="LBZ12" s="239"/>
      <c r="LCA12" s="239"/>
      <c r="LCB12" s="239"/>
      <c r="LCC12" s="239"/>
      <c r="LCD12" s="239"/>
      <c r="LCE12" s="239"/>
      <c r="LCF12" s="239"/>
      <c r="LCG12" s="239"/>
      <c r="LCH12" s="239"/>
      <c r="LCI12" s="239"/>
      <c r="LCJ12" s="239"/>
      <c r="LCK12" s="239"/>
      <c r="LCL12" s="239"/>
      <c r="LCM12" s="239"/>
      <c r="LCN12" s="239"/>
      <c r="LCO12" s="239"/>
      <c r="LCP12" s="239"/>
      <c r="LCQ12" s="239"/>
      <c r="LCR12" s="239"/>
      <c r="LCS12" s="239"/>
      <c r="LCT12" s="239"/>
      <c r="LCU12" s="239"/>
      <c r="LCV12" s="239"/>
      <c r="LCW12" s="239"/>
      <c r="LCX12" s="239"/>
      <c r="LCY12" s="239"/>
      <c r="LCZ12" s="239"/>
      <c r="LDA12" s="239"/>
      <c r="LDB12" s="239"/>
      <c r="LDC12" s="239"/>
      <c r="LDD12" s="239"/>
      <c r="LDE12" s="239"/>
      <c r="LDF12" s="239"/>
      <c r="LDG12" s="239"/>
      <c r="LDH12" s="239"/>
      <c r="LDI12" s="239"/>
      <c r="LDJ12" s="239"/>
      <c r="LDK12" s="239"/>
      <c r="LDL12" s="239"/>
      <c r="LDM12" s="239"/>
      <c r="LDN12" s="239"/>
      <c r="LDO12" s="239"/>
      <c r="LDP12" s="239"/>
      <c r="LDQ12" s="239"/>
      <c r="LDR12" s="239"/>
      <c r="LDS12" s="239"/>
      <c r="LDT12" s="239"/>
      <c r="LDU12" s="239"/>
      <c r="LDV12" s="239"/>
      <c r="LDW12" s="239"/>
      <c r="LDX12" s="239"/>
      <c r="LDY12" s="239"/>
      <c r="LDZ12" s="239"/>
      <c r="LEA12" s="239"/>
      <c r="LEB12" s="239"/>
      <c r="LEC12" s="239"/>
      <c r="LED12" s="239"/>
      <c r="LEE12" s="239"/>
      <c r="LEF12" s="239"/>
      <c r="LEG12" s="239"/>
      <c r="LEH12" s="239"/>
      <c r="LEI12" s="239"/>
      <c r="LEJ12" s="239"/>
      <c r="LEK12" s="239"/>
      <c r="LEL12" s="239"/>
      <c r="LEM12" s="239"/>
      <c r="LEN12" s="239"/>
      <c r="LEO12" s="239"/>
      <c r="LEP12" s="239"/>
      <c r="LEQ12" s="239"/>
      <c r="LER12" s="239"/>
      <c r="LES12" s="239"/>
      <c r="LET12" s="239"/>
      <c r="LEU12" s="239"/>
      <c r="LEV12" s="239"/>
      <c r="LEW12" s="239"/>
      <c r="LEX12" s="239"/>
      <c r="LEY12" s="239"/>
      <c r="LEZ12" s="239"/>
      <c r="LFA12" s="239"/>
      <c r="LFB12" s="239"/>
      <c r="LFC12" s="239"/>
      <c r="LFD12" s="239"/>
      <c r="LFE12" s="239"/>
      <c r="LFF12" s="239"/>
      <c r="LFG12" s="239"/>
      <c r="LFH12" s="239"/>
      <c r="LFI12" s="239"/>
      <c r="LFJ12" s="239"/>
      <c r="LFK12" s="239"/>
      <c r="LFL12" s="239"/>
      <c r="LFM12" s="239"/>
      <c r="LFN12" s="239"/>
      <c r="LFO12" s="239"/>
      <c r="LFP12" s="239"/>
      <c r="LFQ12" s="239"/>
      <c r="LFR12" s="239"/>
      <c r="LFS12" s="239"/>
      <c r="LFT12" s="239"/>
      <c r="LFU12" s="239"/>
      <c r="LFV12" s="239"/>
      <c r="LFW12" s="239"/>
      <c r="LFX12" s="239"/>
      <c r="LFY12" s="239"/>
      <c r="LFZ12" s="239"/>
      <c r="LGA12" s="239"/>
      <c r="LGB12" s="239"/>
      <c r="LGC12" s="239"/>
      <c r="LGD12" s="239"/>
      <c r="LGE12" s="239"/>
      <c r="LGF12" s="239"/>
      <c r="LGG12" s="239"/>
      <c r="LGH12" s="239"/>
      <c r="LGI12" s="239"/>
      <c r="LGJ12" s="239"/>
      <c r="LGK12" s="239"/>
      <c r="LGL12" s="239"/>
      <c r="LGM12" s="239"/>
      <c r="LGN12" s="239"/>
      <c r="LGO12" s="239"/>
      <c r="LGP12" s="239"/>
      <c r="LGQ12" s="239"/>
      <c r="LGR12" s="239"/>
      <c r="LGS12" s="239"/>
      <c r="LGT12" s="239"/>
      <c r="LGU12" s="239"/>
      <c r="LGV12" s="239"/>
      <c r="LGW12" s="239"/>
      <c r="LGX12" s="239"/>
      <c r="LGY12" s="239"/>
      <c r="LGZ12" s="239"/>
      <c r="LHA12" s="239"/>
      <c r="LHB12" s="239"/>
      <c r="LHC12" s="239"/>
      <c r="LHD12" s="239"/>
      <c r="LHE12" s="239"/>
      <c r="LHF12" s="239"/>
      <c r="LHG12" s="239"/>
      <c r="LHH12" s="239"/>
      <c r="LHI12" s="239"/>
      <c r="LHJ12" s="239"/>
      <c r="LHK12" s="239"/>
      <c r="LHL12" s="239"/>
      <c r="LHM12" s="239"/>
      <c r="LHN12" s="239"/>
      <c r="LHO12" s="239"/>
      <c r="LHP12" s="239"/>
      <c r="LHQ12" s="239"/>
      <c r="LHR12" s="239"/>
      <c r="LHS12" s="239"/>
      <c r="LHT12" s="239"/>
      <c r="LHU12" s="239"/>
      <c r="LHV12" s="239"/>
      <c r="LHW12" s="239"/>
      <c r="LHX12" s="239"/>
      <c r="LHY12" s="239"/>
      <c r="LHZ12" s="239"/>
      <c r="LIA12" s="239"/>
      <c r="LIB12" s="239"/>
      <c r="LIC12" s="239"/>
      <c r="LID12" s="239"/>
      <c r="LIE12" s="239"/>
      <c r="LIF12" s="239"/>
      <c r="LIG12" s="239"/>
      <c r="LIH12" s="239"/>
      <c r="LII12" s="239"/>
      <c r="LIJ12" s="239"/>
      <c r="LIK12" s="239"/>
      <c r="LIL12" s="239"/>
      <c r="LIM12" s="239"/>
      <c r="LIN12" s="239"/>
      <c r="LIO12" s="239"/>
      <c r="LIP12" s="239"/>
      <c r="LIQ12" s="239"/>
      <c r="LIR12" s="239"/>
      <c r="LIS12" s="239"/>
      <c r="LIT12" s="239"/>
      <c r="LIU12" s="239"/>
      <c r="LIV12" s="239"/>
      <c r="LIW12" s="239"/>
      <c r="LIX12" s="239"/>
      <c r="LIY12" s="239"/>
      <c r="LIZ12" s="239"/>
      <c r="LJA12" s="239"/>
      <c r="LJB12" s="239"/>
      <c r="LJC12" s="239"/>
      <c r="LJD12" s="239"/>
      <c r="LJE12" s="239"/>
      <c r="LJF12" s="239"/>
      <c r="LJG12" s="239"/>
      <c r="LJH12" s="239"/>
      <c r="LJI12" s="239"/>
      <c r="LJJ12" s="239"/>
      <c r="LJK12" s="239"/>
      <c r="LJL12" s="239"/>
      <c r="LJM12" s="239"/>
      <c r="LJN12" s="239"/>
      <c r="LJO12" s="239"/>
      <c r="LJP12" s="239"/>
      <c r="LJQ12" s="239"/>
      <c r="LJR12" s="239"/>
      <c r="LJS12" s="239"/>
      <c r="LJT12" s="239"/>
      <c r="LJU12" s="239"/>
      <c r="LJV12" s="239"/>
      <c r="LJW12" s="239"/>
      <c r="LJX12" s="239"/>
      <c r="LJY12" s="239"/>
      <c r="LJZ12" s="239"/>
      <c r="LKA12" s="239"/>
      <c r="LKB12" s="239"/>
      <c r="LKC12" s="239"/>
      <c r="LKD12" s="239"/>
      <c r="LKE12" s="239"/>
      <c r="LKF12" s="239"/>
      <c r="LKG12" s="239"/>
      <c r="LKH12" s="239"/>
      <c r="LKI12" s="239"/>
      <c r="LKJ12" s="239"/>
      <c r="LKK12" s="239"/>
      <c r="LKL12" s="239"/>
      <c r="LKM12" s="239"/>
      <c r="LKN12" s="239"/>
      <c r="LKO12" s="239"/>
      <c r="LKP12" s="239"/>
      <c r="LKQ12" s="239"/>
      <c r="LKR12" s="239"/>
      <c r="LKS12" s="239"/>
      <c r="LKT12" s="239"/>
      <c r="LKU12" s="239"/>
      <c r="LKV12" s="239"/>
      <c r="LKW12" s="239"/>
      <c r="LKX12" s="239"/>
      <c r="LKY12" s="239"/>
      <c r="LKZ12" s="239"/>
      <c r="LLA12" s="239"/>
      <c r="LLB12" s="239"/>
      <c r="LLC12" s="239"/>
      <c r="LLD12" s="239"/>
      <c r="LLE12" s="239"/>
      <c r="LLF12" s="239"/>
      <c r="LLG12" s="239"/>
      <c r="LLH12" s="239"/>
      <c r="LLI12" s="239"/>
      <c r="LLJ12" s="239"/>
      <c r="LLK12" s="239"/>
      <c r="LLL12" s="239"/>
      <c r="LLM12" s="239"/>
      <c r="LLN12" s="239"/>
      <c r="LLO12" s="239"/>
      <c r="LLP12" s="239"/>
      <c r="LLQ12" s="239"/>
      <c r="LLR12" s="239"/>
      <c r="LLS12" s="239"/>
      <c r="LLT12" s="239"/>
      <c r="LLU12" s="239"/>
      <c r="LLV12" s="239"/>
      <c r="LLW12" s="239"/>
      <c r="LLX12" s="239"/>
      <c r="LLY12" s="239"/>
      <c r="LLZ12" s="239"/>
      <c r="LMA12" s="239"/>
      <c r="LMB12" s="239"/>
      <c r="LMC12" s="239"/>
      <c r="LMD12" s="239"/>
      <c r="LME12" s="239"/>
      <c r="LMF12" s="239"/>
      <c r="LMG12" s="239"/>
      <c r="LMH12" s="239"/>
      <c r="LMI12" s="239"/>
      <c r="LMJ12" s="239"/>
      <c r="LMK12" s="239"/>
      <c r="LML12" s="239"/>
      <c r="LMM12" s="239"/>
      <c r="LMN12" s="239"/>
      <c r="LMO12" s="239"/>
      <c r="LMP12" s="239"/>
      <c r="LMQ12" s="239"/>
      <c r="LMR12" s="239"/>
      <c r="LMS12" s="239"/>
      <c r="LMT12" s="239"/>
      <c r="LMU12" s="239"/>
      <c r="LMV12" s="239"/>
      <c r="LMW12" s="239"/>
      <c r="LMX12" s="239"/>
      <c r="LMY12" s="239"/>
      <c r="LMZ12" s="239"/>
      <c r="LNA12" s="239"/>
      <c r="LNB12" s="239"/>
      <c r="LNC12" s="239"/>
      <c r="LND12" s="239"/>
      <c r="LNE12" s="239"/>
      <c r="LNF12" s="239"/>
      <c r="LNG12" s="239"/>
      <c r="LNH12" s="239"/>
      <c r="LNI12" s="239"/>
      <c r="LNJ12" s="239"/>
      <c r="LNK12" s="239"/>
      <c r="LNL12" s="239"/>
      <c r="LNM12" s="239"/>
      <c r="LNN12" s="239"/>
      <c r="LNO12" s="239"/>
      <c r="LNP12" s="239"/>
      <c r="LNQ12" s="239"/>
      <c r="LNR12" s="239"/>
      <c r="LNS12" s="239"/>
      <c r="LNT12" s="239"/>
      <c r="LNU12" s="239"/>
      <c r="LNV12" s="239"/>
      <c r="LNW12" s="239"/>
      <c r="LNX12" s="239"/>
      <c r="LNY12" s="239"/>
      <c r="LNZ12" s="239"/>
      <c r="LOA12" s="239"/>
      <c r="LOB12" s="239"/>
      <c r="LOC12" s="239"/>
      <c r="LOD12" s="239"/>
      <c r="LOE12" s="239"/>
      <c r="LOF12" s="239"/>
      <c r="LOG12" s="239"/>
      <c r="LOH12" s="239"/>
      <c r="LOI12" s="239"/>
      <c r="LOJ12" s="239"/>
      <c r="LOK12" s="239"/>
      <c r="LOL12" s="239"/>
      <c r="LOM12" s="239"/>
      <c r="LON12" s="239"/>
      <c r="LOO12" s="239"/>
      <c r="LOP12" s="239"/>
      <c r="LOQ12" s="239"/>
      <c r="LOR12" s="239"/>
      <c r="LOS12" s="239"/>
      <c r="LOT12" s="239"/>
      <c r="LOU12" s="239"/>
      <c r="LOV12" s="239"/>
      <c r="LOW12" s="239"/>
      <c r="LOX12" s="239"/>
      <c r="LOY12" s="239"/>
      <c r="LOZ12" s="239"/>
      <c r="LPA12" s="239"/>
      <c r="LPB12" s="239"/>
      <c r="LPC12" s="239"/>
      <c r="LPD12" s="239"/>
      <c r="LPE12" s="239"/>
      <c r="LPF12" s="239"/>
      <c r="LPG12" s="239"/>
      <c r="LPH12" s="239"/>
      <c r="LPI12" s="239"/>
      <c r="LPJ12" s="239"/>
      <c r="LPK12" s="239"/>
      <c r="LPL12" s="239"/>
      <c r="LPM12" s="239"/>
      <c r="LPN12" s="239"/>
      <c r="LPO12" s="239"/>
      <c r="LPP12" s="239"/>
      <c r="LPQ12" s="239"/>
      <c r="LPR12" s="239"/>
      <c r="LPS12" s="239"/>
      <c r="LPT12" s="239"/>
      <c r="LPU12" s="239"/>
      <c r="LPV12" s="239"/>
      <c r="LPW12" s="239"/>
      <c r="LPX12" s="239"/>
      <c r="LPY12" s="239"/>
      <c r="LPZ12" s="239"/>
      <c r="LQA12" s="239"/>
      <c r="LQB12" s="239"/>
      <c r="LQC12" s="239"/>
      <c r="LQD12" s="239"/>
      <c r="LQE12" s="239"/>
      <c r="LQF12" s="239"/>
      <c r="LQG12" s="239"/>
      <c r="LQH12" s="239"/>
      <c r="LQI12" s="239"/>
      <c r="LQJ12" s="239"/>
      <c r="LQK12" s="239"/>
      <c r="LQL12" s="239"/>
      <c r="LQM12" s="239"/>
      <c r="LQN12" s="239"/>
      <c r="LQO12" s="239"/>
      <c r="LQP12" s="239"/>
      <c r="LQQ12" s="239"/>
      <c r="LQR12" s="239"/>
      <c r="LQS12" s="239"/>
      <c r="LQT12" s="239"/>
      <c r="LQU12" s="239"/>
      <c r="LQV12" s="239"/>
      <c r="LQW12" s="239"/>
      <c r="LQX12" s="239"/>
      <c r="LQY12" s="239"/>
      <c r="LQZ12" s="239"/>
      <c r="LRA12" s="239"/>
      <c r="LRB12" s="239"/>
      <c r="LRC12" s="239"/>
      <c r="LRD12" s="239"/>
      <c r="LRE12" s="239"/>
      <c r="LRF12" s="239"/>
      <c r="LRG12" s="239"/>
      <c r="LRH12" s="239"/>
      <c r="LRI12" s="239"/>
      <c r="LRJ12" s="239"/>
      <c r="LRK12" s="239"/>
      <c r="LRL12" s="239"/>
      <c r="LRM12" s="239"/>
      <c r="LRN12" s="239"/>
      <c r="LRO12" s="239"/>
      <c r="LRP12" s="239"/>
      <c r="LRQ12" s="239"/>
      <c r="LRR12" s="239"/>
      <c r="LRS12" s="239"/>
      <c r="LRT12" s="239"/>
      <c r="LRU12" s="239"/>
      <c r="LRV12" s="239"/>
      <c r="LRW12" s="239"/>
      <c r="LRX12" s="239"/>
      <c r="LRY12" s="239"/>
      <c r="LRZ12" s="239"/>
      <c r="LSA12" s="239"/>
      <c r="LSB12" s="239"/>
      <c r="LSC12" s="239"/>
      <c r="LSD12" s="239"/>
      <c r="LSE12" s="239"/>
      <c r="LSF12" s="239"/>
      <c r="LSG12" s="239"/>
      <c r="LSH12" s="239"/>
      <c r="LSI12" s="239"/>
      <c r="LSJ12" s="239"/>
      <c r="LSK12" s="239"/>
      <c r="LSL12" s="239"/>
      <c r="LSM12" s="239"/>
      <c r="LSN12" s="239"/>
      <c r="LSO12" s="239"/>
      <c r="LSP12" s="239"/>
      <c r="LSQ12" s="239"/>
      <c r="LSR12" s="239"/>
      <c r="LSS12" s="239"/>
      <c r="LST12" s="239"/>
      <c r="LSU12" s="239"/>
      <c r="LSV12" s="239"/>
      <c r="LSW12" s="239"/>
      <c r="LSX12" s="239"/>
      <c r="LSY12" s="239"/>
      <c r="LSZ12" s="239"/>
      <c r="LTA12" s="239"/>
      <c r="LTB12" s="239"/>
      <c r="LTC12" s="239"/>
      <c r="LTD12" s="239"/>
      <c r="LTE12" s="239"/>
      <c r="LTF12" s="239"/>
      <c r="LTG12" s="239"/>
      <c r="LTH12" s="239"/>
      <c r="LTI12" s="239"/>
      <c r="LTJ12" s="239"/>
      <c r="LTK12" s="239"/>
      <c r="LTL12" s="239"/>
      <c r="LTM12" s="239"/>
      <c r="LTN12" s="239"/>
      <c r="LTO12" s="239"/>
      <c r="LTP12" s="239"/>
      <c r="LTQ12" s="239"/>
      <c r="LTR12" s="239"/>
      <c r="LTS12" s="239"/>
      <c r="LTT12" s="239"/>
      <c r="LTU12" s="239"/>
      <c r="LTV12" s="239"/>
      <c r="LTW12" s="239"/>
      <c r="LTX12" s="239"/>
      <c r="LTY12" s="239"/>
      <c r="LTZ12" s="239"/>
      <c r="LUA12" s="239"/>
      <c r="LUB12" s="239"/>
      <c r="LUC12" s="239"/>
      <c r="LUD12" s="239"/>
      <c r="LUE12" s="239"/>
      <c r="LUF12" s="239"/>
      <c r="LUG12" s="239"/>
      <c r="LUH12" s="239"/>
      <c r="LUI12" s="239"/>
      <c r="LUJ12" s="239"/>
      <c r="LUK12" s="239"/>
      <c r="LUL12" s="239"/>
      <c r="LUM12" s="239"/>
      <c r="LUN12" s="239"/>
      <c r="LUO12" s="239"/>
      <c r="LUP12" s="239"/>
      <c r="LUQ12" s="239"/>
      <c r="LUR12" s="239"/>
      <c r="LUS12" s="239"/>
      <c r="LUT12" s="239"/>
      <c r="LUU12" s="239"/>
      <c r="LUV12" s="239"/>
      <c r="LUW12" s="239"/>
      <c r="LUX12" s="239"/>
      <c r="LUY12" s="239"/>
      <c r="LUZ12" s="239"/>
      <c r="LVA12" s="239"/>
      <c r="LVB12" s="239"/>
      <c r="LVC12" s="239"/>
      <c r="LVD12" s="239"/>
      <c r="LVE12" s="239"/>
      <c r="LVF12" s="239"/>
      <c r="LVG12" s="239"/>
      <c r="LVH12" s="239"/>
      <c r="LVI12" s="239"/>
      <c r="LVJ12" s="239"/>
      <c r="LVK12" s="239"/>
      <c r="LVL12" s="239"/>
      <c r="LVM12" s="239"/>
      <c r="LVN12" s="239"/>
      <c r="LVO12" s="239"/>
      <c r="LVP12" s="239"/>
      <c r="LVQ12" s="239"/>
      <c r="LVR12" s="239"/>
      <c r="LVS12" s="239"/>
      <c r="LVT12" s="239"/>
      <c r="LVU12" s="239"/>
      <c r="LVV12" s="239"/>
      <c r="LVW12" s="239"/>
      <c r="LVX12" s="239"/>
      <c r="LVY12" s="239"/>
      <c r="LVZ12" s="239"/>
      <c r="LWA12" s="239"/>
      <c r="LWB12" s="239"/>
      <c r="LWC12" s="239"/>
      <c r="LWD12" s="239"/>
      <c r="LWE12" s="239"/>
      <c r="LWF12" s="239"/>
      <c r="LWG12" s="239"/>
      <c r="LWH12" s="239"/>
      <c r="LWI12" s="239"/>
      <c r="LWJ12" s="239"/>
      <c r="LWK12" s="239"/>
      <c r="LWL12" s="239"/>
      <c r="LWM12" s="239"/>
      <c r="LWN12" s="239"/>
      <c r="LWO12" s="239"/>
      <c r="LWP12" s="239"/>
      <c r="LWQ12" s="239"/>
      <c r="LWR12" s="239"/>
      <c r="LWS12" s="239"/>
      <c r="LWT12" s="239"/>
      <c r="LWU12" s="239"/>
      <c r="LWV12" s="239"/>
      <c r="LWW12" s="239"/>
      <c r="LWX12" s="239"/>
      <c r="LWY12" s="239"/>
      <c r="LWZ12" s="239"/>
      <c r="LXA12" s="239"/>
      <c r="LXB12" s="239"/>
      <c r="LXC12" s="239"/>
      <c r="LXD12" s="239"/>
      <c r="LXE12" s="239"/>
      <c r="LXF12" s="239"/>
      <c r="LXG12" s="239"/>
      <c r="LXH12" s="239"/>
      <c r="LXI12" s="239"/>
      <c r="LXJ12" s="239"/>
      <c r="LXK12" s="239"/>
      <c r="LXL12" s="239"/>
      <c r="LXM12" s="239"/>
      <c r="LXN12" s="239"/>
      <c r="LXO12" s="239"/>
      <c r="LXP12" s="239"/>
      <c r="LXQ12" s="239"/>
      <c r="LXR12" s="239"/>
      <c r="LXS12" s="239"/>
      <c r="LXT12" s="239"/>
      <c r="LXU12" s="239"/>
      <c r="LXV12" s="239"/>
      <c r="LXW12" s="239"/>
      <c r="LXX12" s="239"/>
      <c r="LXY12" s="239"/>
      <c r="LXZ12" s="239"/>
      <c r="LYA12" s="239"/>
      <c r="LYB12" s="239"/>
      <c r="LYC12" s="239"/>
      <c r="LYD12" s="239"/>
      <c r="LYE12" s="239"/>
      <c r="LYF12" s="239"/>
      <c r="LYG12" s="239"/>
      <c r="LYH12" s="239"/>
      <c r="LYI12" s="239"/>
      <c r="LYJ12" s="239"/>
      <c r="LYK12" s="239"/>
      <c r="LYL12" s="239"/>
      <c r="LYM12" s="239"/>
      <c r="LYN12" s="239"/>
      <c r="LYO12" s="239"/>
      <c r="LYP12" s="239"/>
      <c r="LYQ12" s="239"/>
      <c r="LYR12" s="239"/>
      <c r="LYS12" s="239"/>
      <c r="LYT12" s="239"/>
      <c r="LYU12" s="239"/>
      <c r="LYV12" s="239"/>
      <c r="LYW12" s="239"/>
      <c r="LYX12" s="239"/>
      <c r="LYY12" s="239"/>
      <c r="LYZ12" s="239"/>
      <c r="LZA12" s="239"/>
      <c r="LZB12" s="239"/>
      <c r="LZC12" s="239"/>
      <c r="LZD12" s="239"/>
      <c r="LZE12" s="239"/>
      <c r="LZF12" s="239"/>
      <c r="LZG12" s="239"/>
      <c r="LZH12" s="239"/>
      <c r="LZI12" s="239"/>
      <c r="LZJ12" s="239"/>
      <c r="LZK12" s="239"/>
      <c r="LZL12" s="239"/>
      <c r="LZM12" s="239"/>
      <c r="LZN12" s="239"/>
      <c r="LZO12" s="239"/>
      <c r="LZP12" s="239"/>
      <c r="LZQ12" s="239"/>
      <c r="LZR12" s="239"/>
      <c r="LZS12" s="239"/>
      <c r="LZT12" s="239"/>
      <c r="LZU12" s="239"/>
      <c r="LZV12" s="239"/>
      <c r="LZW12" s="239"/>
      <c r="LZX12" s="239"/>
      <c r="LZY12" s="239"/>
      <c r="LZZ12" s="239"/>
      <c r="MAA12" s="239"/>
      <c r="MAB12" s="239"/>
      <c r="MAC12" s="239"/>
      <c r="MAD12" s="239"/>
      <c r="MAE12" s="239"/>
      <c r="MAF12" s="239"/>
      <c r="MAG12" s="239"/>
      <c r="MAH12" s="239"/>
      <c r="MAI12" s="239"/>
      <c r="MAJ12" s="239"/>
      <c r="MAK12" s="239"/>
      <c r="MAL12" s="239"/>
      <c r="MAM12" s="239"/>
      <c r="MAN12" s="239"/>
      <c r="MAO12" s="239"/>
      <c r="MAP12" s="239"/>
      <c r="MAQ12" s="239"/>
      <c r="MAR12" s="239"/>
      <c r="MAS12" s="239"/>
      <c r="MAT12" s="239"/>
      <c r="MAU12" s="239"/>
      <c r="MAV12" s="239"/>
      <c r="MAW12" s="239"/>
      <c r="MAX12" s="239"/>
      <c r="MAY12" s="239"/>
      <c r="MAZ12" s="239"/>
      <c r="MBA12" s="239"/>
      <c r="MBB12" s="239"/>
      <c r="MBC12" s="239"/>
      <c r="MBD12" s="239"/>
      <c r="MBE12" s="239"/>
      <c r="MBF12" s="239"/>
      <c r="MBG12" s="239"/>
      <c r="MBH12" s="239"/>
      <c r="MBI12" s="239"/>
      <c r="MBJ12" s="239"/>
      <c r="MBK12" s="239"/>
      <c r="MBL12" s="239"/>
      <c r="MBM12" s="239"/>
      <c r="MBN12" s="239"/>
      <c r="MBO12" s="239"/>
      <c r="MBP12" s="239"/>
      <c r="MBQ12" s="239"/>
      <c r="MBR12" s="239"/>
      <c r="MBS12" s="239"/>
      <c r="MBT12" s="239"/>
      <c r="MBU12" s="239"/>
      <c r="MBV12" s="239"/>
      <c r="MBW12" s="239"/>
      <c r="MBX12" s="239"/>
      <c r="MBY12" s="239"/>
      <c r="MBZ12" s="239"/>
      <c r="MCA12" s="239"/>
      <c r="MCB12" s="239"/>
      <c r="MCC12" s="239"/>
      <c r="MCD12" s="239"/>
      <c r="MCE12" s="239"/>
      <c r="MCF12" s="239"/>
      <c r="MCG12" s="239"/>
      <c r="MCH12" s="239"/>
      <c r="MCI12" s="239"/>
      <c r="MCJ12" s="239"/>
      <c r="MCK12" s="239"/>
      <c r="MCL12" s="239"/>
      <c r="MCM12" s="239"/>
      <c r="MCN12" s="239"/>
      <c r="MCO12" s="239"/>
      <c r="MCP12" s="239"/>
      <c r="MCQ12" s="239"/>
      <c r="MCR12" s="239"/>
      <c r="MCS12" s="239"/>
      <c r="MCT12" s="239"/>
      <c r="MCU12" s="239"/>
      <c r="MCV12" s="239"/>
      <c r="MCW12" s="239"/>
      <c r="MCX12" s="239"/>
      <c r="MCY12" s="239"/>
      <c r="MCZ12" s="239"/>
      <c r="MDA12" s="239"/>
      <c r="MDB12" s="239"/>
      <c r="MDC12" s="239"/>
      <c r="MDD12" s="239"/>
      <c r="MDE12" s="239"/>
      <c r="MDF12" s="239"/>
      <c r="MDG12" s="239"/>
      <c r="MDH12" s="239"/>
      <c r="MDI12" s="239"/>
      <c r="MDJ12" s="239"/>
      <c r="MDK12" s="239"/>
      <c r="MDL12" s="239"/>
      <c r="MDM12" s="239"/>
      <c r="MDN12" s="239"/>
      <c r="MDO12" s="239"/>
      <c r="MDP12" s="239"/>
      <c r="MDQ12" s="239"/>
      <c r="MDR12" s="239"/>
      <c r="MDS12" s="239"/>
      <c r="MDT12" s="239"/>
      <c r="MDU12" s="239"/>
      <c r="MDV12" s="239"/>
      <c r="MDW12" s="239"/>
    </row>
    <row r="13" spans="1:8915" s="47" customFormat="1" hidden="1">
      <c r="A13" s="52"/>
      <c r="B13" s="101">
        <v>45756</v>
      </c>
      <c r="C13" s="101" t="s">
        <v>194</v>
      </c>
      <c r="D13" s="119">
        <v>3934.6047999997827</v>
      </c>
      <c r="E13" s="119">
        <v>5315.7695999999742</v>
      </c>
      <c r="F13" s="119">
        <v>616.75</v>
      </c>
      <c r="G13" s="119">
        <v>714.49999999988358</v>
      </c>
      <c r="H13" s="119">
        <v>922.56000000001222</v>
      </c>
      <c r="I13" s="119">
        <v>653.41999999999825</v>
      </c>
      <c r="J13" s="119">
        <v>1551.1896000000106</v>
      </c>
      <c r="K13" s="119">
        <v>2025.1642000000138</v>
      </c>
      <c r="L13" s="119">
        <v>10062.969999999197</v>
      </c>
      <c r="M13" s="119">
        <v>868</v>
      </c>
      <c r="N13" s="119">
        <v>489.47</v>
      </c>
      <c r="O13" s="119">
        <v>2292.5248000011698</v>
      </c>
      <c r="P13" s="141">
        <f t="shared" si="0"/>
        <v>29446.923000000046</v>
      </c>
      <c r="Q13" s="119">
        <v>15043.170000000126</v>
      </c>
      <c r="R13" s="119">
        <v>22847.933399999787</v>
      </c>
      <c r="S13" s="119">
        <v>1422.0236000000757</v>
      </c>
      <c r="T13" s="119">
        <v>1709.3093999999164</v>
      </c>
      <c r="U13" s="119">
        <v>2462.805399999892</v>
      </c>
      <c r="V13" s="141">
        <f t="shared" si="1"/>
        <v>72932.164799999839</v>
      </c>
      <c r="W13" s="53"/>
      <c r="X13" s="262">
        <f>Summary!K13</f>
        <v>72932.164799999839</v>
      </c>
      <c r="Y13" s="239"/>
      <c r="Z13" s="281">
        <f t="shared" si="2"/>
        <v>0</v>
      </c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39"/>
      <c r="AL13" s="239"/>
      <c r="AM13" s="239"/>
      <c r="AN13" s="239"/>
      <c r="AO13" s="239"/>
      <c r="AP13" s="239"/>
      <c r="AQ13" s="239"/>
      <c r="AR13" s="239"/>
      <c r="AS13" s="239"/>
      <c r="AT13" s="239"/>
      <c r="AU13" s="239"/>
      <c r="AV13" s="239"/>
      <c r="AW13" s="239"/>
      <c r="AX13" s="239"/>
      <c r="AY13" s="239"/>
      <c r="AZ13" s="239"/>
      <c r="BA13" s="239"/>
      <c r="BB13" s="239"/>
      <c r="BC13" s="239"/>
      <c r="BD13" s="239"/>
      <c r="BE13" s="239"/>
      <c r="BF13" s="239"/>
      <c r="BG13" s="239"/>
      <c r="BH13" s="239"/>
      <c r="BI13" s="239"/>
      <c r="BJ13" s="239"/>
      <c r="BK13" s="239"/>
      <c r="BL13" s="239"/>
      <c r="BM13" s="239"/>
      <c r="BN13" s="239"/>
      <c r="BO13" s="239"/>
      <c r="BP13" s="239"/>
      <c r="BQ13" s="239"/>
      <c r="BR13" s="239"/>
      <c r="BS13" s="239"/>
      <c r="BT13" s="239"/>
      <c r="BU13" s="239"/>
      <c r="BV13" s="239"/>
      <c r="BW13" s="239"/>
      <c r="BX13" s="239"/>
      <c r="BY13" s="239"/>
      <c r="BZ13" s="239"/>
      <c r="CA13" s="239"/>
      <c r="CB13" s="239"/>
      <c r="CC13" s="239"/>
      <c r="CD13" s="239"/>
      <c r="CE13" s="239"/>
      <c r="CF13" s="239"/>
      <c r="CG13" s="239"/>
      <c r="CH13" s="239"/>
      <c r="CI13" s="239"/>
      <c r="CJ13" s="239"/>
      <c r="CK13" s="239"/>
      <c r="CL13" s="239"/>
      <c r="CM13" s="239"/>
      <c r="CN13" s="239"/>
      <c r="CO13" s="239"/>
      <c r="CP13" s="239"/>
      <c r="CQ13" s="239"/>
      <c r="CR13" s="239"/>
      <c r="CS13" s="239"/>
      <c r="CT13" s="239"/>
      <c r="CU13" s="239"/>
      <c r="CV13" s="239"/>
      <c r="CW13" s="239"/>
      <c r="CX13" s="239"/>
      <c r="CY13" s="239"/>
      <c r="CZ13" s="239"/>
      <c r="DA13" s="239"/>
      <c r="DB13" s="239"/>
      <c r="DC13" s="239"/>
      <c r="DD13" s="239"/>
      <c r="DE13" s="239"/>
      <c r="DF13" s="239"/>
      <c r="DG13" s="239"/>
      <c r="DH13" s="239"/>
      <c r="DI13" s="239"/>
      <c r="DJ13" s="239"/>
      <c r="DK13" s="239"/>
      <c r="DL13" s="239"/>
      <c r="DM13" s="239"/>
      <c r="DN13" s="239"/>
      <c r="DO13" s="239"/>
      <c r="DP13" s="239"/>
      <c r="DQ13" s="239"/>
      <c r="DR13" s="239"/>
      <c r="DS13" s="239"/>
      <c r="DT13" s="239"/>
      <c r="DU13" s="239"/>
      <c r="DV13" s="239"/>
      <c r="DW13" s="239"/>
      <c r="DX13" s="239"/>
      <c r="DY13" s="239"/>
      <c r="DZ13" s="239"/>
      <c r="EA13" s="239"/>
      <c r="EB13" s="239"/>
      <c r="EC13" s="239"/>
      <c r="ED13" s="239"/>
      <c r="EE13" s="239"/>
      <c r="EF13" s="239"/>
      <c r="EG13" s="239"/>
      <c r="EH13" s="239"/>
      <c r="EI13" s="239"/>
      <c r="EJ13" s="239"/>
      <c r="EK13" s="239"/>
      <c r="EL13" s="239"/>
      <c r="EM13" s="239"/>
      <c r="EN13" s="239"/>
      <c r="EO13" s="239"/>
      <c r="EP13" s="239"/>
      <c r="EQ13" s="239"/>
      <c r="ER13" s="239"/>
      <c r="ES13" s="239"/>
      <c r="ET13" s="239"/>
      <c r="EU13" s="239"/>
      <c r="EV13" s="239"/>
      <c r="EW13" s="239"/>
      <c r="EX13" s="239"/>
      <c r="EY13" s="239"/>
      <c r="EZ13" s="239"/>
      <c r="FA13" s="239"/>
      <c r="FB13" s="239"/>
      <c r="FC13" s="239"/>
      <c r="FD13" s="239"/>
      <c r="FE13" s="239"/>
      <c r="FF13" s="239"/>
      <c r="FG13" s="239"/>
      <c r="FH13" s="239"/>
      <c r="FI13" s="239"/>
      <c r="FJ13" s="239"/>
      <c r="FK13" s="239"/>
      <c r="FL13" s="239"/>
      <c r="FM13" s="239"/>
      <c r="FN13" s="239"/>
      <c r="FO13" s="239"/>
      <c r="FP13" s="239"/>
      <c r="FQ13" s="239"/>
      <c r="FR13" s="239"/>
      <c r="FS13" s="239"/>
      <c r="FT13" s="239"/>
      <c r="FU13" s="239"/>
      <c r="FV13" s="239"/>
      <c r="FW13" s="239"/>
      <c r="FX13" s="239"/>
      <c r="FY13" s="239"/>
      <c r="FZ13" s="239"/>
      <c r="GA13" s="239"/>
      <c r="GB13" s="239"/>
      <c r="GC13" s="239"/>
      <c r="GD13" s="239"/>
      <c r="GE13" s="239"/>
      <c r="GF13" s="239"/>
      <c r="GG13" s="239"/>
      <c r="GH13" s="239"/>
      <c r="GI13" s="239"/>
      <c r="GJ13" s="239"/>
      <c r="GK13" s="239"/>
      <c r="GL13" s="239"/>
      <c r="GM13" s="239"/>
      <c r="GN13" s="239"/>
      <c r="GO13" s="239"/>
      <c r="GP13" s="239"/>
      <c r="GQ13" s="239"/>
      <c r="GR13" s="239"/>
      <c r="GS13" s="239"/>
      <c r="GT13" s="239"/>
      <c r="GU13" s="239"/>
      <c r="GV13" s="239"/>
      <c r="GW13" s="239"/>
      <c r="GX13" s="239"/>
      <c r="GY13" s="239"/>
      <c r="GZ13" s="239"/>
      <c r="HA13" s="239"/>
      <c r="HB13" s="239"/>
      <c r="HC13" s="239"/>
      <c r="HD13" s="239"/>
      <c r="HE13" s="239"/>
      <c r="HF13" s="239"/>
      <c r="HG13" s="239"/>
      <c r="HH13" s="239"/>
      <c r="HI13" s="239"/>
      <c r="HJ13" s="239"/>
      <c r="HK13" s="239"/>
      <c r="HL13" s="239"/>
      <c r="HM13" s="239"/>
      <c r="HN13" s="239"/>
      <c r="HO13" s="239"/>
      <c r="HP13" s="239"/>
      <c r="HQ13" s="239"/>
      <c r="HR13" s="239"/>
      <c r="HS13" s="239"/>
      <c r="HT13" s="239"/>
      <c r="HU13" s="239"/>
      <c r="HV13" s="239"/>
      <c r="HW13" s="239"/>
      <c r="HX13" s="239"/>
      <c r="HY13" s="239"/>
      <c r="HZ13" s="239"/>
      <c r="IA13" s="239"/>
      <c r="IB13" s="239"/>
      <c r="IC13" s="239"/>
      <c r="ID13" s="239"/>
      <c r="IE13" s="239"/>
      <c r="IF13" s="239"/>
      <c r="IG13" s="239"/>
      <c r="IH13" s="239"/>
      <c r="II13" s="239"/>
      <c r="IJ13" s="239"/>
      <c r="IK13" s="239"/>
      <c r="IL13" s="239"/>
      <c r="IM13" s="239"/>
      <c r="IN13" s="239"/>
      <c r="IO13" s="239"/>
      <c r="IP13" s="239"/>
      <c r="IQ13" s="239"/>
      <c r="IR13" s="239"/>
      <c r="IS13" s="239"/>
      <c r="IT13" s="239"/>
      <c r="IU13" s="239"/>
      <c r="IV13" s="239"/>
      <c r="IW13" s="239"/>
      <c r="IX13" s="239"/>
      <c r="IY13" s="239"/>
      <c r="IZ13" s="239"/>
      <c r="JA13" s="239"/>
      <c r="JB13" s="239"/>
      <c r="JC13" s="239"/>
      <c r="JD13" s="239"/>
      <c r="JE13" s="239"/>
      <c r="JF13" s="239"/>
      <c r="JG13" s="239"/>
      <c r="JH13" s="239"/>
      <c r="JI13" s="239"/>
      <c r="JJ13" s="239"/>
      <c r="JK13" s="239"/>
      <c r="JL13" s="239"/>
      <c r="JM13" s="239"/>
      <c r="JN13" s="239"/>
      <c r="JO13" s="239"/>
      <c r="JP13" s="239"/>
      <c r="JQ13" s="239"/>
      <c r="JR13" s="239"/>
      <c r="JS13" s="239"/>
      <c r="JT13" s="239"/>
      <c r="JU13" s="239"/>
      <c r="JV13" s="239"/>
      <c r="JW13" s="239"/>
      <c r="JX13" s="239"/>
      <c r="JY13" s="239"/>
      <c r="JZ13" s="239"/>
      <c r="KA13" s="239"/>
      <c r="KB13" s="239"/>
      <c r="KC13" s="239"/>
      <c r="KD13" s="239"/>
      <c r="KE13" s="239"/>
      <c r="KF13" s="239"/>
      <c r="KG13" s="239"/>
      <c r="KH13" s="239"/>
      <c r="KI13" s="239"/>
      <c r="KJ13" s="239"/>
      <c r="KK13" s="239"/>
      <c r="KL13" s="239"/>
      <c r="KM13" s="239"/>
      <c r="KN13" s="239"/>
      <c r="KO13" s="239"/>
      <c r="KP13" s="239"/>
      <c r="KQ13" s="239"/>
      <c r="KR13" s="239"/>
      <c r="KS13" s="239"/>
      <c r="KT13" s="239"/>
      <c r="KU13" s="239"/>
      <c r="KV13" s="239"/>
      <c r="KW13" s="239"/>
      <c r="KX13" s="239"/>
      <c r="KY13" s="239"/>
      <c r="KZ13" s="239"/>
      <c r="LA13" s="239"/>
      <c r="LB13" s="239"/>
      <c r="LC13" s="239"/>
      <c r="LD13" s="239"/>
      <c r="LE13" s="239"/>
      <c r="LF13" s="239"/>
      <c r="LG13" s="239"/>
      <c r="LH13" s="239"/>
      <c r="LI13" s="239"/>
      <c r="LJ13" s="239"/>
      <c r="LK13" s="239"/>
      <c r="LL13" s="239"/>
      <c r="LM13" s="239"/>
      <c r="LN13" s="239"/>
      <c r="LO13" s="239"/>
      <c r="LP13" s="239"/>
      <c r="LQ13" s="239"/>
      <c r="LR13" s="239"/>
      <c r="LS13" s="239"/>
      <c r="LT13" s="239"/>
      <c r="LU13" s="239"/>
      <c r="LV13" s="239"/>
      <c r="LW13" s="239"/>
      <c r="LX13" s="239"/>
      <c r="LY13" s="239"/>
      <c r="LZ13" s="239"/>
      <c r="MA13" s="239"/>
      <c r="MB13" s="239"/>
      <c r="MC13" s="239"/>
      <c r="MD13" s="239"/>
      <c r="ME13" s="239"/>
      <c r="MF13" s="239"/>
      <c r="MG13" s="239"/>
      <c r="MH13" s="239"/>
      <c r="MI13" s="239"/>
      <c r="MJ13" s="239"/>
      <c r="MK13" s="239"/>
      <c r="ML13" s="239"/>
      <c r="MM13" s="239"/>
      <c r="MN13" s="239"/>
      <c r="MO13" s="239"/>
      <c r="MP13" s="239"/>
      <c r="MQ13" s="239"/>
      <c r="MR13" s="239"/>
      <c r="MS13" s="239"/>
      <c r="MT13" s="239"/>
      <c r="MU13" s="239"/>
      <c r="MV13" s="239"/>
      <c r="MW13" s="239"/>
      <c r="MX13" s="239"/>
      <c r="MY13" s="239"/>
      <c r="MZ13" s="239"/>
      <c r="NA13" s="239"/>
      <c r="NB13" s="239"/>
      <c r="NC13" s="239"/>
      <c r="ND13" s="239"/>
      <c r="NE13" s="239"/>
      <c r="NF13" s="239"/>
      <c r="NG13" s="239"/>
      <c r="NH13" s="239"/>
      <c r="NI13" s="239"/>
      <c r="NJ13" s="239"/>
      <c r="NK13" s="239"/>
      <c r="NL13" s="239"/>
      <c r="NM13" s="239"/>
      <c r="NN13" s="239"/>
      <c r="NO13" s="239"/>
      <c r="NP13" s="239"/>
      <c r="NQ13" s="239"/>
      <c r="NR13" s="239"/>
      <c r="NS13" s="239"/>
      <c r="NT13" s="239"/>
      <c r="NU13" s="239"/>
      <c r="NV13" s="239"/>
      <c r="NW13" s="239"/>
      <c r="NX13" s="239"/>
      <c r="NY13" s="239"/>
      <c r="NZ13" s="239"/>
      <c r="OA13" s="239"/>
      <c r="OB13" s="239"/>
      <c r="OC13" s="239"/>
      <c r="OD13" s="239"/>
      <c r="OE13" s="239"/>
      <c r="OF13" s="239"/>
      <c r="OG13" s="239"/>
      <c r="OH13" s="239"/>
      <c r="OI13" s="239"/>
      <c r="OJ13" s="239"/>
      <c r="OK13" s="239"/>
      <c r="OL13" s="239"/>
      <c r="OM13" s="239"/>
      <c r="ON13" s="239"/>
      <c r="OO13" s="239"/>
      <c r="OP13" s="239"/>
      <c r="OQ13" s="239"/>
      <c r="OR13" s="239"/>
      <c r="OS13" s="239"/>
      <c r="OT13" s="239"/>
      <c r="OU13" s="239"/>
      <c r="OV13" s="239"/>
      <c r="OW13" s="239"/>
      <c r="OX13" s="239"/>
      <c r="OY13" s="239"/>
      <c r="OZ13" s="239"/>
      <c r="PA13" s="239"/>
      <c r="PB13" s="239"/>
      <c r="PC13" s="239"/>
      <c r="PD13" s="239"/>
      <c r="PE13" s="239"/>
      <c r="PF13" s="239"/>
      <c r="PG13" s="239"/>
      <c r="PH13" s="239"/>
      <c r="PI13" s="239"/>
      <c r="PJ13" s="239"/>
      <c r="PK13" s="239"/>
      <c r="PL13" s="239"/>
      <c r="PM13" s="239"/>
      <c r="PN13" s="239"/>
      <c r="PO13" s="239"/>
      <c r="PP13" s="239"/>
      <c r="PQ13" s="239"/>
      <c r="PR13" s="239"/>
      <c r="PS13" s="239"/>
      <c r="PT13" s="239"/>
      <c r="PU13" s="239"/>
      <c r="PV13" s="239"/>
      <c r="PW13" s="239"/>
      <c r="PX13" s="239"/>
      <c r="PY13" s="239"/>
      <c r="PZ13" s="239"/>
      <c r="QA13" s="239"/>
      <c r="QB13" s="239"/>
      <c r="QC13" s="239"/>
      <c r="QD13" s="239"/>
      <c r="QE13" s="239"/>
      <c r="QF13" s="239"/>
      <c r="QG13" s="239"/>
      <c r="QH13" s="239"/>
      <c r="QI13" s="239"/>
      <c r="QJ13" s="239"/>
      <c r="QK13" s="239"/>
      <c r="QL13" s="239"/>
      <c r="QM13" s="239"/>
      <c r="QN13" s="239"/>
      <c r="QO13" s="239"/>
      <c r="QP13" s="239"/>
      <c r="QQ13" s="239"/>
      <c r="QR13" s="239"/>
      <c r="QS13" s="239"/>
      <c r="QT13" s="239"/>
      <c r="QU13" s="239"/>
      <c r="QV13" s="239"/>
      <c r="QW13" s="239"/>
      <c r="QX13" s="239"/>
      <c r="QY13" s="239"/>
      <c r="QZ13" s="239"/>
      <c r="RA13" s="239"/>
      <c r="RB13" s="239"/>
      <c r="RC13" s="239"/>
      <c r="RD13" s="239"/>
      <c r="RE13" s="239"/>
      <c r="RF13" s="239"/>
      <c r="RG13" s="239"/>
      <c r="RH13" s="239"/>
      <c r="RI13" s="239"/>
      <c r="RJ13" s="239"/>
      <c r="RK13" s="239"/>
      <c r="RL13" s="239"/>
      <c r="RM13" s="239"/>
      <c r="RN13" s="239"/>
      <c r="RO13" s="239"/>
      <c r="RP13" s="239"/>
      <c r="RQ13" s="239"/>
      <c r="RR13" s="239"/>
      <c r="RS13" s="239"/>
      <c r="RT13" s="239"/>
      <c r="RU13" s="239"/>
      <c r="RV13" s="239"/>
      <c r="RW13" s="239"/>
      <c r="RX13" s="239"/>
      <c r="RY13" s="239"/>
      <c r="RZ13" s="239"/>
      <c r="SA13" s="239"/>
      <c r="SB13" s="239"/>
      <c r="SC13" s="239"/>
      <c r="SD13" s="239"/>
      <c r="SE13" s="239"/>
      <c r="SF13" s="239"/>
      <c r="SG13" s="239"/>
      <c r="SH13" s="239"/>
      <c r="SI13" s="239"/>
      <c r="SJ13" s="239"/>
      <c r="SK13" s="239"/>
      <c r="SL13" s="239"/>
      <c r="SM13" s="239"/>
      <c r="SN13" s="239"/>
      <c r="SO13" s="239"/>
      <c r="SP13" s="239"/>
      <c r="SQ13" s="239"/>
      <c r="SR13" s="239"/>
      <c r="SS13" s="239"/>
      <c r="ST13" s="239"/>
      <c r="SU13" s="239"/>
      <c r="SV13" s="239"/>
      <c r="SW13" s="239"/>
      <c r="SX13" s="239"/>
      <c r="SY13" s="239"/>
      <c r="SZ13" s="239"/>
      <c r="TA13" s="239"/>
      <c r="TB13" s="239"/>
      <c r="TC13" s="239"/>
      <c r="TD13" s="239"/>
      <c r="TE13" s="239"/>
      <c r="TF13" s="239"/>
      <c r="TG13" s="239"/>
      <c r="TH13" s="239"/>
      <c r="TI13" s="239"/>
      <c r="TJ13" s="239"/>
      <c r="TK13" s="239"/>
      <c r="TL13" s="239"/>
      <c r="TM13" s="239"/>
      <c r="TN13" s="239"/>
      <c r="TO13" s="239"/>
      <c r="TP13" s="239"/>
      <c r="TQ13" s="239"/>
      <c r="TR13" s="239"/>
      <c r="TS13" s="239"/>
      <c r="TT13" s="239"/>
      <c r="TU13" s="239"/>
      <c r="TV13" s="239"/>
      <c r="TW13" s="239"/>
      <c r="TX13" s="239"/>
      <c r="TY13" s="239"/>
      <c r="TZ13" s="239"/>
      <c r="UA13" s="239"/>
      <c r="UB13" s="239"/>
      <c r="UC13" s="239"/>
      <c r="UD13" s="239"/>
      <c r="UE13" s="239"/>
      <c r="UF13" s="239"/>
      <c r="UG13" s="239"/>
      <c r="UH13" s="239"/>
      <c r="UI13" s="239"/>
      <c r="UJ13" s="239"/>
      <c r="UK13" s="239"/>
      <c r="UL13" s="239"/>
      <c r="UM13" s="239"/>
      <c r="UN13" s="239"/>
      <c r="UO13" s="239"/>
      <c r="UP13" s="239"/>
      <c r="UQ13" s="239"/>
      <c r="UR13" s="239"/>
      <c r="US13" s="239"/>
      <c r="UT13" s="239"/>
      <c r="UU13" s="239"/>
      <c r="UV13" s="239"/>
      <c r="UW13" s="239"/>
      <c r="UX13" s="239"/>
      <c r="UY13" s="239"/>
      <c r="UZ13" s="239"/>
      <c r="VA13" s="239"/>
      <c r="VB13" s="239"/>
      <c r="VC13" s="239"/>
      <c r="VD13" s="239"/>
      <c r="VE13" s="239"/>
      <c r="VF13" s="239"/>
      <c r="VG13" s="239"/>
      <c r="VH13" s="239"/>
      <c r="VI13" s="239"/>
      <c r="VJ13" s="239"/>
      <c r="VK13" s="239"/>
      <c r="VL13" s="239"/>
      <c r="VM13" s="239"/>
      <c r="VN13" s="239"/>
      <c r="VO13" s="239"/>
      <c r="VP13" s="239"/>
      <c r="VQ13" s="239"/>
      <c r="VR13" s="239"/>
      <c r="VS13" s="239"/>
      <c r="VT13" s="239"/>
      <c r="VU13" s="239"/>
      <c r="VV13" s="239"/>
      <c r="VW13" s="239"/>
      <c r="VX13" s="239"/>
      <c r="VY13" s="239"/>
      <c r="VZ13" s="239"/>
      <c r="WA13" s="239"/>
      <c r="WB13" s="239"/>
      <c r="WC13" s="239"/>
      <c r="WD13" s="239"/>
      <c r="WE13" s="239"/>
      <c r="WF13" s="239"/>
      <c r="WG13" s="239"/>
      <c r="WH13" s="239"/>
      <c r="WI13" s="239"/>
      <c r="WJ13" s="239"/>
      <c r="WK13" s="239"/>
      <c r="WL13" s="239"/>
      <c r="WM13" s="239"/>
      <c r="WN13" s="239"/>
      <c r="WO13" s="239"/>
      <c r="WP13" s="239"/>
      <c r="WQ13" s="239"/>
      <c r="WR13" s="239"/>
      <c r="WS13" s="239"/>
      <c r="WT13" s="239"/>
      <c r="WU13" s="239"/>
      <c r="WV13" s="239"/>
      <c r="WW13" s="239"/>
      <c r="WX13" s="239"/>
      <c r="WY13" s="239"/>
      <c r="WZ13" s="239"/>
      <c r="XA13" s="239"/>
      <c r="XB13" s="239"/>
      <c r="XC13" s="239"/>
      <c r="XD13" s="239"/>
      <c r="XE13" s="239"/>
      <c r="XF13" s="239"/>
      <c r="XG13" s="239"/>
      <c r="XH13" s="239"/>
      <c r="XI13" s="239"/>
      <c r="XJ13" s="239"/>
      <c r="XK13" s="239"/>
      <c r="XL13" s="239"/>
      <c r="XM13" s="239"/>
      <c r="XN13" s="239"/>
      <c r="XO13" s="239"/>
      <c r="XP13" s="239"/>
      <c r="XQ13" s="239"/>
      <c r="XR13" s="239"/>
      <c r="XS13" s="239"/>
      <c r="XT13" s="239"/>
      <c r="XU13" s="239"/>
      <c r="XV13" s="239"/>
      <c r="XW13" s="239"/>
      <c r="XX13" s="239"/>
      <c r="XY13" s="239"/>
      <c r="XZ13" s="239"/>
      <c r="YA13" s="239"/>
      <c r="YB13" s="239"/>
      <c r="YC13" s="239"/>
      <c r="YD13" s="239"/>
      <c r="YE13" s="239"/>
      <c r="YF13" s="239"/>
      <c r="YG13" s="239"/>
      <c r="YH13" s="239"/>
      <c r="YI13" s="239"/>
      <c r="YJ13" s="239"/>
      <c r="YK13" s="239"/>
      <c r="YL13" s="239"/>
      <c r="YM13" s="239"/>
      <c r="YN13" s="239"/>
      <c r="YO13" s="239"/>
      <c r="YP13" s="239"/>
      <c r="YQ13" s="239"/>
      <c r="YR13" s="239"/>
      <c r="YS13" s="239"/>
      <c r="YT13" s="239"/>
      <c r="YU13" s="239"/>
      <c r="YV13" s="239"/>
      <c r="YW13" s="239"/>
      <c r="YX13" s="239"/>
      <c r="YY13" s="239"/>
      <c r="YZ13" s="239"/>
      <c r="ZA13" s="239"/>
      <c r="ZB13" s="239"/>
      <c r="ZC13" s="239"/>
      <c r="ZD13" s="239"/>
      <c r="ZE13" s="239"/>
      <c r="ZF13" s="239"/>
      <c r="ZG13" s="239"/>
      <c r="ZH13" s="239"/>
      <c r="ZI13" s="239"/>
      <c r="ZJ13" s="239"/>
      <c r="ZK13" s="239"/>
      <c r="ZL13" s="239"/>
      <c r="ZM13" s="239"/>
      <c r="ZN13" s="239"/>
      <c r="ZO13" s="239"/>
      <c r="ZP13" s="239"/>
      <c r="ZQ13" s="239"/>
      <c r="ZR13" s="239"/>
      <c r="ZS13" s="239"/>
      <c r="ZT13" s="239"/>
      <c r="ZU13" s="239"/>
      <c r="ZV13" s="239"/>
      <c r="ZW13" s="239"/>
      <c r="ZX13" s="239"/>
      <c r="ZY13" s="239"/>
      <c r="ZZ13" s="239"/>
      <c r="AAA13" s="239"/>
      <c r="AAB13" s="239"/>
      <c r="AAC13" s="239"/>
      <c r="AAD13" s="239"/>
      <c r="AAE13" s="239"/>
      <c r="AAF13" s="239"/>
      <c r="AAG13" s="239"/>
      <c r="AAH13" s="239"/>
      <c r="AAI13" s="239"/>
      <c r="AAJ13" s="239"/>
      <c r="AAK13" s="239"/>
      <c r="AAL13" s="239"/>
      <c r="AAM13" s="239"/>
      <c r="AAN13" s="239"/>
      <c r="AAO13" s="239"/>
      <c r="AAP13" s="239"/>
      <c r="AAQ13" s="239"/>
      <c r="AAR13" s="239"/>
      <c r="AAS13" s="239"/>
      <c r="AAT13" s="239"/>
      <c r="AAU13" s="239"/>
      <c r="AAV13" s="239"/>
      <c r="AAW13" s="239"/>
      <c r="AAX13" s="239"/>
      <c r="AAY13" s="239"/>
      <c r="AAZ13" s="239"/>
      <c r="ABA13" s="239"/>
      <c r="ABB13" s="239"/>
      <c r="ABC13" s="239"/>
      <c r="ABD13" s="239"/>
      <c r="ABE13" s="239"/>
      <c r="ABF13" s="239"/>
      <c r="ABG13" s="239"/>
      <c r="ABH13" s="239"/>
      <c r="ABI13" s="239"/>
      <c r="ABJ13" s="239"/>
      <c r="ABK13" s="239"/>
      <c r="ABL13" s="239"/>
      <c r="ABM13" s="239"/>
      <c r="ABN13" s="239"/>
      <c r="ABO13" s="239"/>
      <c r="ABP13" s="239"/>
      <c r="ABQ13" s="239"/>
      <c r="ABR13" s="239"/>
      <c r="ABS13" s="239"/>
      <c r="ABT13" s="239"/>
      <c r="ABU13" s="239"/>
      <c r="ABV13" s="239"/>
      <c r="ABW13" s="239"/>
      <c r="ABX13" s="239"/>
      <c r="ABY13" s="239"/>
      <c r="ABZ13" s="239"/>
      <c r="ACA13" s="239"/>
      <c r="ACB13" s="239"/>
      <c r="ACC13" s="239"/>
      <c r="ACD13" s="239"/>
      <c r="ACE13" s="239"/>
      <c r="ACF13" s="239"/>
      <c r="ACG13" s="239"/>
      <c r="ACH13" s="239"/>
      <c r="ACI13" s="239"/>
      <c r="ACJ13" s="239"/>
      <c r="ACK13" s="239"/>
      <c r="ACL13" s="239"/>
      <c r="ACM13" s="239"/>
      <c r="ACN13" s="239"/>
      <c r="ACO13" s="239"/>
      <c r="ACP13" s="239"/>
      <c r="ACQ13" s="239"/>
      <c r="ACR13" s="239"/>
      <c r="ACS13" s="239"/>
      <c r="ACT13" s="239"/>
      <c r="ACU13" s="239"/>
      <c r="ACV13" s="239"/>
      <c r="ACW13" s="239"/>
      <c r="ACX13" s="239"/>
      <c r="ACY13" s="239"/>
      <c r="ACZ13" s="239"/>
      <c r="ADA13" s="239"/>
      <c r="ADB13" s="239"/>
      <c r="ADC13" s="239"/>
      <c r="ADD13" s="239"/>
      <c r="ADE13" s="239"/>
      <c r="ADF13" s="239"/>
      <c r="ADG13" s="239"/>
      <c r="ADH13" s="239"/>
      <c r="ADI13" s="239"/>
      <c r="ADJ13" s="239"/>
      <c r="ADK13" s="239"/>
      <c r="ADL13" s="239"/>
      <c r="ADM13" s="239"/>
      <c r="ADN13" s="239"/>
      <c r="ADO13" s="239"/>
      <c r="ADP13" s="239"/>
      <c r="ADQ13" s="239"/>
      <c r="ADR13" s="239"/>
      <c r="ADS13" s="239"/>
      <c r="ADT13" s="239"/>
      <c r="ADU13" s="239"/>
      <c r="ADV13" s="239"/>
      <c r="ADW13" s="239"/>
      <c r="ADX13" s="239"/>
      <c r="ADY13" s="239"/>
      <c r="ADZ13" s="239"/>
      <c r="AEA13" s="239"/>
      <c r="AEB13" s="239"/>
      <c r="AEC13" s="239"/>
      <c r="AED13" s="239"/>
      <c r="AEE13" s="239"/>
      <c r="AEF13" s="239"/>
      <c r="AEG13" s="239"/>
      <c r="AEH13" s="239"/>
      <c r="AEI13" s="239"/>
      <c r="AEJ13" s="239"/>
      <c r="AEK13" s="239"/>
      <c r="AEL13" s="239"/>
      <c r="AEM13" s="239"/>
      <c r="AEN13" s="239"/>
      <c r="AEO13" s="239"/>
      <c r="AEP13" s="239"/>
      <c r="AEQ13" s="239"/>
      <c r="AER13" s="239"/>
      <c r="AES13" s="239"/>
      <c r="AET13" s="239"/>
      <c r="AEU13" s="239"/>
      <c r="AEV13" s="239"/>
      <c r="AEW13" s="239"/>
      <c r="AEX13" s="239"/>
      <c r="AEY13" s="239"/>
      <c r="AEZ13" s="239"/>
      <c r="AFA13" s="239"/>
      <c r="AFB13" s="239"/>
      <c r="AFC13" s="239"/>
      <c r="AFD13" s="239"/>
      <c r="AFE13" s="239"/>
      <c r="AFF13" s="239"/>
      <c r="AFG13" s="239"/>
      <c r="AFH13" s="239"/>
      <c r="AFI13" s="239"/>
      <c r="AFJ13" s="239"/>
      <c r="AFK13" s="239"/>
      <c r="AFL13" s="239"/>
      <c r="AFM13" s="239"/>
      <c r="AFN13" s="239"/>
      <c r="AFO13" s="239"/>
      <c r="AFP13" s="239"/>
      <c r="AFQ13" s="239"/>
      <c r="AFR13" s="239"/>
      <c r="AFS13" s="239"/>
      <c r="AFT13" s="239"/>
      <c r="AFU13" s="239"/>
      <c r="AFV13" s="239"/>
      <c r="AFW13" s="239"/>
      <c r="AFX13" s="239"/>
      <c r="AFY13" s="239"/>
      <c r="AFZ13" s="239"/>
      <c r="AGA13" s="239"/>
      <c r="AGB13" s="239"/>
      <c r="AGC13" s="239"/>
      <c r="AGD13" s="239"/>
      <c r="AGE13" s="239"/>
      <c r="AGF13" s="239"/>
      <c r="AGG13" s="239"/>
      <c r="AGH13" s="239"/>
      <c r="AGI13" s="239"/>
      <c r="AGJ13" s="239"/>
      <c r="AGK13" s="239"/>
      <c r="AGL13" s="239"/>
      <c r="AGM13" s="239"/>
      <c r="AGN13" s="239"/>
      <c r="AGO13" s="239"/>
      <c r="AGP13" s="239"/>
      <c r="AGQ13" s="239"/>
      <c r="AGR13" s="239"/>
      <c r="AGS13" s="239"/>
      <c r="AGT13" s="239"/>
      <c r="AGU13" s="239"/>
      <c r="AGV13" s="239"/>
      <c r="AGW13" s="239"/>
      <c r="AGX13" s="239"/>
      <c r="AGY13" s="239"/>
      <c r="AGZ13" s="239"/>
      <c r="AHA13" s="239"/>
      <c r="AHB13" s="239"/>
      <c r="AHC13" s="239"/>
      <c r="AHD13" s="239"/>
      <c r="AHE13" s="239"/>
      <c r="AHF13" s="239"/>
      <c r="AHG13" s="239"/>
      <c r="AHH13" s="239"/>
      <c r="AHI13" s="239"/>
      <c r="AHJ13" s="239"/>
      <c r="AHK13" s="239"/>
      <c r="AHL13" s="239"/>
      <c r="AHM13" s="239"/>
      <c r="AHN13" s="239"/>
      <c r="AHO13" s="239"/>
      <c r="AHP13" s="239"/>
      <c r="AHQ13" s="239"/>
      <c r="AHR13" s="239"/>
      <c r="AHS13" s="239"/>
      <c r="AHT13" s="239"/>
      <c r="AHU13" s="239"/>
      <c r="AHV13" s="239"/>
      <c r="AHW13" s="239"/>
      <c r="AHX13" s="239"/>
      <c r="AHY13" s="239"/>
      <c r="AHZ13" s="239"/>
      <c r="AIA13" s="239"/>
      <c r="AIB13" s="239"/>
      <c r="AIC13" s="239"/>
      <c r="AID13" s="239"/>
      <c r="AIE13" s="239"/>
      <c r="AIF13" s="239"/>
      <c r="AIG13" s="239"/>
      <c r="AIH13" s="239"/>
      <c r="AII13" s="239"/>
      <c r="AIJ13" s="239"/>
      <c r="AIK13" s="239"/>
      <c r="AIL13" s="239"/>
      <c r="AIM13" s="239"/>
      <c r="AIN13" s="239"/>
      <c r="AIO13" s="239"/>
      <c r="AIP13" s="239"/>
      <c r="AIQ13" s="239"/>
      <c r="AIR13" s="239"/>
      <c r="AIS13" s="239"/>
      <c r="AIT13" s="239"/>
      <c r="AIU13" s="239"/>
      <c r="AIV13" s="239"/>
      <c r="AIW13" s="239"/>
      <c r="AIX13" s="239"/>
      <c r="AIY13" s="239"/>
      <c r="AIZ13" s="239"/>
      <c r="AJA13" s="239"/>
      <c r="AJB13" s="239"/>
      <c r="AJC13" s="239"/>
      <c r="AJD13" s="239"/>
      <c r="AJE13" s="239"/>
      <c r="AJF13" s="239"/>
      <c r="AJG13" s="239"/>
      <c r="AJH13" s="239"/>
      <c r="AJI13" s="239"/>
      <c r="AJJ13" s="239"/>
      <c r="AJK13" s="239"/>
      <c r="AJL13" s="239"/>
      <c r="AJM13" s="239"/>
      <c r="AJN13" s="239"/>
      <c r="AJO13" s="239"/>
      <c r="AJP13" s="239"/>
      <c r="AJQ13" s="239"/>
      <c r="AJR13" s="239"/>
      <c r="AJS13" s="239"/>
      <c r="AJT13" s="239"/>
      <c r="AJU13" s="239"/>
      <c r="AJV13" s="239"/>
      <c r="AJW13" s="239"/>
      <c r="AJX13" s="239"/>
      <c r="AJY13" s="239"/>
      <c r="AJZ13" s="239"/>
      <c r="AKA13" s="239"/>
      <c r="AKB13" s="239"/>
      <c r="AKC13" s="239"/>
      <c r="AKD13" s="239"/>
      <c r="AKE13" s="239"/>
      <c r="AKF13" s="239"/>
      <c r="AKG13" s="239"/>
      <c r="AKH13" s="239"/>
      <c r="AKI13" s="239"/>
      <c r="AKJ13" s="239"/>
      <c r="AKK13" s="239"/>
      <c r="AKL13" s="239"/>
      <c r="AKM13" s="239"/>
      <c r="AKN13" s="239"/>
      <c r="AKO13" s="239"/>
      <c r="AKP13" s="239"/>
      <c r="AKQ13" s="239"/>
      <c r="AKR13" s="239"/>
      <c r="AKS13" s="239"/>
      <c r="AKT13" s="239"/>
      <c r="AKU13" s="239"/>
      <c r="AKV13" s="239"/>
      <c r="AKW13" s="239"/>
      <c r="AKX13" s="239"/>
      <c r="AKY13" s="239"/>
      <c r="AKZ13" s="239"/>
      <c r="ALA13" s="239"/>
      <c r="ALB13" s="239"/>
      <c r="ALC13" s="239"/>
      <c r="ALD13" s="239"/>
      <c r="ALE13" s="239"/>
      <c r="ALF13" s="239"/>
      <c r="ALG13" s="239"/>
      <c r="ALH13" s="239"/>
      <c r="ALI13" s="239"/>
      <c r="ALJ13" s="239"/>
      <c r="ALK13" s="239"/>
      <c r="ALL13" s="239"/>
      <c r="ALM13" s="239"/>
      <c r="ALN13" s="239"/>
      <c r="ALO13" s="239"/>
      <c r="ALP13" s="239"/>
      <c r="ALQ13" s="239"/>
      <c r="ALR13" s="239"/>
      <c r="ALS13" s="239"/>
      <c r="ALT13" s="239"/>
      <c r="ALU13" s="239"/>
      <c r="ALV13" s="239"/>
      <c r="ALW13" s="239"/>
      <c r="ALX13" s="239"/>
      <c r="ALY13" s="239"/>
      <c r="ALZ13" s="239"/>
      <c r="AMA13" s="239"/>
      <c r="AMB13" s="239"/>
      <c r="AMC13" s="239"/>
      <c r="AMD13" s="239"/>
      <c r="AME13" s="239"/>
      <c r="AMF13" s="239"/>
      <c r="AMG13" s="239"/>
      <c r="AMH13" s="239"/>
      <c r="AMI13" s="239"/>
      <c r="AMJ13" s="239"/>
      <c r="AMK13" s="239"/>
      <c r="AML13" s="239"/>
      <c r="AMM13" s="239"/>
      <c r="AMN13" s="239"/>
      <c r="AMO13" s="239"/>
      <c r="AMP13" s="239"/>
      <c r="AMQ13" s="239"/>
      <c r="AMR13" s="239"/>
      <c r="AMS13" s="239"/>
      <c r="AMT13" s="239"/>
      <c r="AMU13" s="239"/>
      <c r="AMV13" s="239"/>
      <c r="AMW13" s="239"/>
      <c r="AMX13" s="239"/>
      <c r="AMY13" s="239"/>
      <c r="AMZ13" s="239"/>
      <c r="ANA13" s="239"/>
      <c r="ANB13" s="239"/>
      <c r="ANC13" s="239"/>
      <c r="AND13" s="239"/>
      <c r="ANE13" s="239"/>
      <c r="ANF13" s="239"/>
      <c r="ANG13" s="239"/>
      <c r="ANH13" s="239"/>
      <c r="ANI13" s="239"/>
      <c r="ANJ13" s="239"/>
      <c r="ANK13" s="239"/>
      <c r="ANL13" s="239"/>
      <c r="ANM13" s="239"/>
      <c r="ANN13" s="239"/>
      <c r="ANO13" s="239"/>
      <c r="ANP13" s="239"/>
      <c r="ANQ13" s="239"/>
      <c r="ANR13" s="239"/>
      <c r="ANS13" s="239"/>
      <c r="ANT13" s="239"/>
      <c r="ANU13" s="239"/>
      <c r="ANV13" s="239"/>
      <c r="ANW13" s="239"/>
      <c r="ANX13" s="239"/>
      <c r="ANY13" s="239"/>
      <c r="ANZ13" s="239"/>
      <c r="AOA13" s="239"/>
      <c r="AOB13" s="239"/>
      <c r="AOC13" s="239"/>
      <c r="AOD13" s="239"/>
      <c r="AOE13" s="239"/>
      <c r="AOF13" s="239"/>
      <c r="AOG13" s="239"/>
      <c r="AOH13" s="239"/>
      <c r="AOI13" s="239"/>
      <c r="AOJ13" s="239"/>
      <c r="AOK13" s="239"/>
      <c r="AOL13" s="239"/>
      <c r="AOM13" s="239"/>
      <c r="AON13" s="239"/>
      <c r="AOO13" s="239"/>
      <c r="AOP13" s="239"/>
      <c r="AOQ13" s="239"/>
      <c r="AOR13" s="239"/>
      <c r="AOS13" s="239"/>
      <c r="AOT13" s="239"/>
      <c r="AOU13" s="239"/>
      <c r="AOV13" s="239"/>
      <c r="AOW13" s="239"/>
      <c r="AOX13" s="239"/>
      <c r="AOY13" s="239"/>
      <c r="AOZ13" s="239"/>
      <c r="APA13" s="239"/>
      <c r="APB13" s="239"/>
      <c r="APC13" s="239"/>
      <c r="APD13" s="239"/>
      <c r="APE13" s="239"/>
      <c r="APF13" s="239"/>
      <c r="APG13" s="239"/>
      <c r="APH13" s="239"/>
      <c r="API13" s="239"/>
      <c r="APJ13" s="239"/>
      <c r="APK13" s="239"/>
      <c r="APL13" s="239"/>
      <c r="APM13" s="239"/>
      <c r="APN13" s="239"/>
      <c r="APO13" s="239"/>
      <c r="APP13" s="239"/>
      <c r="APQ13" s="239"/>
      <c r="APR13" s="239"/>
      <c r="APS13" s="239"/>
      <c r="APT13" s="239"/>
      <c r="APU13" s="239"/>
      <c r="APV13" s="239"/>
      <c r="APW13" s="239"/>
      <c r="APX13" s="239"/>
      <c r="APY13" s="239"/>
      <c r="APZ13" s="239"/>
      <c r="AQA13" s="239"/>
      <c r="AQB13" s="239"/>
      <c r="AQC13" s="239"/>
      <c r="AQD13" s="239"/>
      <c r="AQE13" s="239"/>
      <c r="AQF13" s="239"/>
      <c r="AQG13" s="239"/>
      <c r="AQH13" s="239"/>
      <c r="AQI13" s="239"/>
      <c r="AQJ13" s="239"/>
      <c r="AQK13" s="239"/>
      <c r="AQL13" s="239"/>
      <c r="AQM13" s="239"/>
      <c r="AQN13" s="239"/>
      <c r="AQO13" s="239"/>
      <c r="AQP13" s="239"/>
      <c r="AQQ13" s="239"/>
      <c r="AQR13" s="239"/>
      <c r="AQS13" s="239"/>
      <c r="AQT13" s="239"/>
      <c r="AQU13" s="239"/>
      <c r="AQV13" s="239"/>
      <c r="AQW13" s="239"/>
      <c r="AQX13" s="239"/>
      <c r="AQY13" s="239"/>
      <c r="AQZ13" s="239"/>
      <c r="ARA13" s="239"/>
      <c r="ARB13" s="239"/>
      <c r="ARC13" s="239"/>
      <c r="ARD13" s="239"/>
      <c r="ARE13" s="239"/>
      <c r="ARF13" s="239"/>
      <c r="ARG13" s="239"/>
      <c r="ARH13" s="239"/>
      <c r="ARI13" s="239"/>
      <c r="ARJ13" s="239"/>
      <c r="ARK13" s="239"/>
      <c r="ARL13" s="239"/>
      <c r="ARM13" s="239"/>
      <c r="ARN13" s="239"/>
      <c r="ARO13" s="239"/>
      <c r="ARP13" s="239"/>
      <c r="ARQ13" s="239"/>
      <c r="ARR13" s="239"/>
      <c r="ARS13" s="239"/>
      <c r="ART13" s="239"/>
      <c r="ARU13" s="239"/>
      <c r="ARV13" s="239"/>
      <c r="ARW13" s="239"/>
      <c r="ARX13" s="239"/>
      <c r="ARY13" s="239"/>
      <c r="ARZ13" s="239"/>
      <c r="ASA13" s="239"/>
      <c r="ASB13" s="239"/>
      <c r="ASC13" s="239"/>
      <c r="ASD13" s="239"/>
      <c r="ASE13" s="239"/>
      <c r="ASF13" s="239"/>
      <c r="ASG13" s="239"/>
      <c r="ASH13" s="239"/>
      <c r="ASI13" s="239"/>
      <c r="ASJ13" s="239"/>
      <c r="ASK13" s="239"/>
      <c r="ASL13" s="239"/>
      <c r="ASM13" s="239"/>
      <c r="ASN13" s="239"/>
      <c r="ASO13" s="239"/>
      <c r="ASP13" s="239"/>
      <c r="ASQ13" s="239"/>
      <c r="ASR13" s="239"/>
      <c r="ASS13" s="239"/>
      <c r="AST13" s="239"/>
      <c r="ASU13" s="239"/>
      <c r="ASV13" s="239"/>
      <c r="ASW13" s="239"/>
      <c r="ASX13" s="239"/>
      <c r="ASY13" s="239"/>
      <c r="ASZ13" s="239"/>
      <c r="ATA13" s="239"/>
      <c r="ATB13" s="239"/>
      <c r="ATC13" s="239"/>
      <c r="ATD13" s="239"/>
      <c r="ATE13" s="239"/>
      <c r="ATF13" s="239"/>
      <c r="ATG13" s="239"/>
      <c r="ATH13" s="239"/>
      <c r="ATI13" s="239"/>
      <c r="ATJ13" s="239"/>
      <c r="ATK13" s="239"/>
      <c r="ATL13" s="239"/>
      <c r="ATM13" s="239"/>
      <c r="ATN13" s="239"/>
      <c r="ATO13" s="239"/>
      <c r="ATP13" s="239"/>
      <c r="ATQ13" s="239"/>
      <c r="ATR13" s="239"/>
      <c r="ATS13" s="239"/>
      <c r="ATT13" s="239"/>
      <c r="ATU13" s="239"/>
      <c r="ATV13" s="239"/>
      <c r="ATW13" s="239"/>
      <c r="ATX13" s="239"/>
      <c r="ATY13" s="239"/>
      <c r="ATZ13" s="239"/>
      <c r="AUA13" s="239"/>
      <c r="AUB13" s="239"/>
      <c r="AUC13" s="239"/>
      <c r="AUD13" s="239"/>
      <c r="AUE13" s="239"/>
      <c r="AUF13" s="239"/>
      <c r="AUG13" s="239"/>
      <c r="AUH13" s="239"/>
      <c r="AUI13" s="239"/>
      <c r="AUJ13" s="239"/>
      <c r="AUK13" s="239"/>
      <c r="AUL13" s="239"/>
      <c r="AUM13" s="239"/>
      <c r="AUN13" s="239"/>
      <c r="AUO13" s="239"/>
      <c r="AUP13" s="239"/>
      <c r="AUQ13" s="239"/>
      <c r="AUR13" s="239"/>
      <c r="AUS13" s="239"/>
      <c r="AUT13" s="239"/>
      <c r="AUU13" s="239"/>
      <c r="AUV13" s="239"/>
      <c r="AUW13" s="239"/>
      <c r="AUX13" s="239"/>
      <c r="AUY13" s="239"/>
      <c r="AUZ13" s="239"/>
      <c r="AVA13" s="239"/>
      <c r="AVB13" s="239"/>
      <c r="AVC13" s="239"/>
      <c r="AVD13" s="239"/>
      <c r="AVE13" s="239"/>
      <c r="AVF13" s="239"/>
      <c r="AVG13" s="239"/>
      <c r="AVH13" s="239"/>
      <c r="AVI13" s="239"/>
      <c r="AVJ13" s="239"/>
      <c r="AVK13" s="239"/>
      <c r="AVL13" s="239"/>
      <c r="AVM13" s="239"/>
      <c r="AVN13" s="239"/>
      <c r="AVO13" s="239"/>
      <c r="AVP13" s="239"/>
      <c r="AVQ13" s="239"/>
      <c r="AVR13" s="239"/>
      <c r="AVS13" s="239"/>
      <c r="AVT13" s="239"/>
      <c r="AVU13" s="239"/>
      <c r="AVV13" s="239"/>
      <c r="AVW13" s="239"/>
      <c r="AVX13" s="239"/>
      <c r="AVY13" s="239"/>
      <c r="AVZ13" s="239"/>
      <c r="AWA13" s="239"/>
      <c r="AWB13" s="239"/>
      <c r="AWC13" s="239"/>
      <c r="AWD13" s="239"/>
      <c r="AWE13" s="239"/>
      <c r="AWF13" s="239"/>
      <c r="AWG13" s="239"/>
      <c r="AWH13" s="239"/>
      <c r="AWI13" s="239"/>
      <c r="AWJ13" s="239"/>
      <c r="AWK13" s="239"/>
      <c r="AWL13" s="239"/>
      <c r="AWM13" s="239"/>
      <c r="AWN13" s="239"/>
      <c r="AWO13" s="239"/>
      <c r="AWP13" s="239"/>
      <c r="AWQ13" s="239"/>
      <c r="AWR13" s="239"/>
      <c r="AWS13" s="239"/>
      <c r="AWT13" s="239"/>
      <c r="AWU13" s="239"/>
      <c r="AWV13" s="239"/>
      <c r="AWW13" s="239"/>
      <c r="AWX13" s="239"/>
      <c r="AWY13" s="239"/>
      <c r="AWZ13" s="239"/>
      <c r="AXA13" s="239"/>
      <c r="AXB13" s="239"/>
      <c r="AXC13" s="239"/>
      <c r="AXD13" s="239"/>
      <c r="AXE13" s="239"/>
      <c r="AXF13" s="239"/>
      <c r="AXG13" s="239"/>
      <c r="AXH13" s="239"/>
      <c r="AXI13" s="239"/>
      <c r="AXJ13" s="239"/>
      <c r="AXK13" s="239"/>
      <c r="AXL13" s="239"/>
      <c r="AXM13" s="239"/>
      <c r="AXN13" s="239"/>
      <c r="AXO13" s="239"/>
      <c r="AXP13" s="239"/>
      <c r="AXQ13" s="239"/>
      <c r="AXR13" s="239"/>
      <c r="AXS13" s="239"/>
      <c r="AXT13" s="239"/>
      <c r="AXU13" s="239"/>
      <c r="AXV13" s="239"/>
      <c r="AXW13" s="239"/>
      <c r="AXX13" s="239"/>
      <c r="AXY13" s="239"/>
      <c r="AXZ13" s="239"/>
      <c r="AYA13" s="239"/>
      <c r="AYB13" s="239"/>
      <c r="AYC13" s="239"/>
      <c r="AYD13" s="239"/>
      <c r="AYE13" s="239"/>
      <c r="AYF13" s="239"/>
      <c r="AYG13" s="239"/>
      <c r="AYH13" s="239"/>
      <c r="AYI13" s="239"/>
      <c r="AYJ13" s="239"/>
      <c r="AYK13" s="239"/>
      <c r="AYL13" s="239"/>
      <c r="AYM13" s="239"/>
      <c r="AYN13" s="239"/>
      <c r="AYO13" s="239"/>
      <c r="AYP13" s="239"/>
      <c r="AYQ13" s="239"/>
      <c r="AYR13" s="239"/>
      <c r="AYS13" s="239"/>
      <c r="AYT13" s="239"/>
      <c r="AYU13" s="239"/>
      <c r="AYV13" s="239"/>
      <c r="AYW13" s="239"/>
      <c r="AYX13" s="239"/>
      <c r="AYY13" s="239"/>
      <c r="AYZ13" s="239"/>
      <c r="AZA13" s="239"/>
      <c r="AZB13" s="239"/>
      <c r="AZC13" s="239"/>
      <c r="AZD13" s="239"/>
      <c r="AZE13" s="239"/>
      <c r="AZF13" s="239"/>
      <c r="AZG13" s="239"/>
      <c r="AZH13" s="239"/>
      <c r="AZI13" s="239"/>
      <c r="AZJ13" s="239"/>
      <c r="AZK13" s="239"/>
      <c r="AZL13" s="239"/>
      <c r="AZM13" s="239"/>
      <c r="AZN13" s="239"/>
      <c r="AZO13" s="239"/>
      <c r="AZP13" s="239"/>
      <c r="AZQ13" s="239"/>
      <c r="AZR13" s="239"/>
      <c r="AZS13" s="239"/>
      <c r="AZT13" s="239"/>
      <c r="AZU13" s="239"/>
      <c r="AZV13" s="239"/>
      <c r="AZW13" s="239"/>
      <c r="AZX13" s="239"/>
      <c r="AZY13" s="239"/>
      <c r="AZZ13" s="239"/>
      <c r="BAA13" s="239"/>
      <c r="BAB13" s="239"/>
      <c r="BAC13" s="239"/>
      <c r="BAD13" s="239"/>
      <c r="BAE13" s="239"/>
      <c r="BAF13" s="239"/>
      <c r="BAG13" s="239"/>
      <c r="BAH13" s="239"/>
      <c r="BAI13" s="239"/>
      <c r="BAJ13" s="239"/>
      <c r="BAK13" s="239"/>
      <c r="BAL13" s="239"/>
      <c r="BAM13" s="239"/>
      <c r="BAN13" s="239"/>
      <c r="BAO13" s="239"/>
      <c r="BAP13" s="239"/>
      <c r="BAQ13" s="239"/>
      <c r="BAR13" s="239"/>
      <c r="BAS13" s="239"/>
      <c r="BAT13" s="239"/>
      <c r="BAU13" s="239"/>
      <c r="BAV13" s="239"/>
      <c r="BAW13" s="239"/>
      <c r="BAX13" s="239"/>
      <c r="BAY13" s="239"/>
      <c r="BAZ13" s="239"/>
      <c r="BBA13" s="239"/>
      <c r="BBB13" s="239"/>
      <c r="BBC13" s="239"/>
      <c r="BBD13" s="239"/>
      <c r="BBE13" s="239"/>
      <c r="BBF13" s="239"/>
      <c r="BBG13" s="239"/>
      <c r="BBH13" s="239"/>
      <c r="BBI13" s="239"/>
      <c r="BBJ13" s="239"/>
      <c r="BBK13" s="239"/>
      <c r="BBL13" s="239"/>
      <c r="BBM13" s="239"/>
      <c r="BBN13" s="239"/>
      <c r="BBO13" s="239"/>
      <c r="BBP13" s="239"/>
      <c r="BBQ13" s="239"/>
      <c r="BBR13" s="239"/>
      <c r="BBS13" s="239"/>
      <c r="BBT13" s="239"/>
      <c r="BBU13" s="239"/>
      <c r="BBV13" s="239"/>
      <c r="BBW13" s="239"/>
      <c r="BBX13" s="239"/>
      <c r="BBY13" s="239"/>
      <c r="BBZ13" s="239"/>
      <c r="BCA13" s="239"/>
      <c r="BCB13" s="239"/>
      <c r="BCC13" s="239"/>
      <c r="BCD13" s="239"/>
      <c r="BCE13" s="239"/>
      <c r="BCF13" s="239"/>
      <c r="BCG13" s="239"/>
      <c r="BCH13" s="239"/>
      <c r="BCI13" s="239"/>
      <c r="BCJ13" s="239"/>
      <c r="BCK13" s="239"/>
      <c r="BCL13" s="239"/>
      <c r="BCM13" s="239"/>
      <c r="BCN13" s="239"/>
      <c r="BCO13" s="239"/>
      <c r="BCP13" s="239"/>
      <c r="BCQ13" s="239"/>
      <c r="BCR13" s="239"/>
      <c r="BCS13" s="239"/>
      <c r="BCT13" s="239"/>
      <c r="BCU13" s="239"/>
      <c r="BCV13" s="239"/>
      <c r="BCW13" s="239"/>
      <c r="BCX13" s="239"/>
      <c r="BCY13" s="239"/>
      <c r="BCZ13" s="239"/>
      <c r="BDA13" s="239"/>
      <c r="BDB13" s="239"/>
      <c r="BDC13" s="239"/>
      <c r="BDD13" s="239"/>
      <c r="BDE13" s="239"/>
      <c r="BDF13" s="239"/>
      <c r="BDG13" s="239"/>
      <c r="BDH13" s="239"/>
      <c r="BDI13" s="239"/>
      <c r="BDJ13" s="239"/>
      <c r="BDK13" s="239"/>
      <c r="BDL13" s="239"/>
      <c r="BDM13" s="239"/>
      <c r="BDN13" s="239"/>
      <c r="BDO13" s="239"/>
      <c r="BDP13" s="239"/>
      <c r="BDQ13" s="239"/>
      <c r="BDR13" s="239"/>
      <c r="BDS13" s="239"/>
      <c r="BDT13" s="239"/>
      <c r="BDU13" s="239"/>
      <c r="BDV13" s="239"/>
      <c r="BDW13" s="239"/>
      <c r="BDX13" s="239"/>
      <c r="BDY13" s="239"/>
      <c r="BDZ13" s="239"/>
      <c r="BEA13" s="239"/>
      <c r="BEB13" s="239"/>
      <c r="BEC13" s="239"/>
      <c r="BED13" s="239"/>
      <c r="BEE13" s="239"/>
      <c r="BEF13" s="239"/>
      <c r="BEG13" s="239"/>
      <c r="BEH13" s="239"/>
      <c r="BEI13" s="239"/>
      <c r="BEJ13" s="239"/>
      <c r="BEK13" s="239"/>
      <c r="BEL13" s="239"/>
      <c r="BEM13" s="239"/>
      <c r="BEN13" s="239"/>
      <c r="BEO13" s="239"/>
      <c r="BEP13" s="239"/>
      <c r="BEQ13" s="239"/>
      <c r="BER13" s="239"/>
      <c r="BES13" s="239"/>
      <c r="BET13" s="239"/>
      <c r="BEU13" s="239"/>
      <c r="BEV13" s="239"/>
      <c r="BEW13" s="239"/>
      <c r="BEX13" s="239"/>
      <c r="BEY13" s="239"/>
      <c r="BEZ13" s="239"/>
      <c r="BFA13" s="239"/>
      <c r="BFB13" s="239"/>
      <c r="BFC13" s="239"/>
      <c r="BFD13" s="239"/>
      <c r="BFE13" s="239"/>
      <c r="BFF13" s="239"/>
      <c r="BFG13" s="239"/>
      <c r="BFH13" s="239"/>
      <c r="BFI13" s="239"/>
      <c r="BFJ13" s="239"/>
      <c r="BFK13" s="239"/>
      <c r="BFL13" s="239"/>
      <c r="BFM13" s="239"/>
      <c r="BFN13" s="239"/>
      <c r="BFO13" s="239"/>
      <c r="BFP13" s="239"/>
      <c r="BFQ13" s="239"/>
      <c r="BFR13" s="239"/>
      <c r="BFS13" s="239"/>
      <c r="BFT13" s="239"/>
      <c r="BFU13" s="239"/>
      <c r="BFV13" s="239"/>
      <c r="BFW13" s="239"/>
      <c r="BFX13" s="239"/>
      <c r="BFY13" s="239"/>
      <c r="BFZ13" s="239"/>
      <c r="BGA13" s="239"/>
      <c r="BGB13" s="239"/>
      <c r="BGC13" s="239"/>
      <c r="BGD13" s="239"/>
      <c r="BGE13" s="239"/>
      <c r="BGF13" s="239"/>
      <c r="BGG13" s="239"/>
      <c r="BGH13" s="239"/>
      <c r="BGI13" s="239"/>
      <c r="BGJ13" s="239"/>
      <c r="BGK13" s="239"/>
      <c r="BGL13" s="239"/>
      <c r="BGM13" s="239"/>
      <c r="BGN13" s="239"/>
      <c r="BGO13" s="239"/>
      <c r="BGP13" s="239"/>
      <c r="BGQ13" s="239"/>
      <c r="BGR13" s="239"/>
      <c r="BGS13" s="239"/>
      <c r="BGT13" s="239"/>
      <c r="BGU13" s="239"/>
      <c r="BGV13" s="239"/>
      <c r="BGW13" s="239"/>
      <c r="BGX13" s="239"/>
      <c r="BGY13" s="239"/>
      <c r="BGZ13" s="239"/>
      <c r="BHA13" s="239"/>
      <c r="BHB13" s="239"/>
      <c r="BHC13" s="239"/>
      <c r="BHD13" s="239"/>
      <c r="BHE13" s="239"/>
      <c r="BHF13" s="239"/>
      <c r="BHG13" s="239"/>
      <c r="BHH13" s="239"/>
      <c r="BHI13" s="239"/>
      <c r="BHJ13" s="239"/>
      <c r="BHK13" s="239"/>
      <c r="BHL13" s="239"/>
      <c r="BHM13" s="239"/>
      <c r="BHN13" s="239"/>
      <c r="BHO13" s="239"/>
      <c r="BHP13" s="239"/>
      <c r="BHQ13" s="239"/>
      <c r="BHR13" s="239"/>
      <c r="BHS13" s="239"/>
      <c r="BHT13" s="239"/>
      <c r="BHU13" s="239"/>
      <c r="BHV13" s="239"/>
      <c r="BHW13" s="239"/>
      <c r="BHX13" s="239"/>
      <c r="BHY13" s="239"/>
      <c r="BHZ13" s="239"/>
      <c r="BIA13" s="239"/>
      <c r="BIB13" s="239"/>
      <c r="BIC13" s="239"/>
      <c r="BID13" s="239"/>
      <c r="BIE13" s="239"/>
      <c r="BIF13" s="239"/>
      <c r="BIG13" s="239"/>
      <c r="BIH13" s="239"/>
      <c r="BII13" s="239"/>
      <c r="BIJ13" s="239"/>
      <c r="BIK13" s="239"/>
      <c r="BIL13" s="239"/>
      <c r="BIM13" s="239"/>
      <c r="BIN13" s="239"/>
      <c r="BIO13" s="239"/>
      <c r="BIP13" s="239"/>
      <c r="BIQ13" s="239"/>
      <c r="BIR13" s="239"/>
      <c r="BIS13" s="239"/>
      <c r="BIT13" s="239"/>
      <c r="BIU13" s="239"/>
      <c r="BIV13" s="239"/>
      <c r="BIW13" s="239"/>
      <c r="BIX13" s="239"/>
      <c r="BIY13" s="239"/>
      <c r="BIZ13" s="239"/>
      <c r="BJA13" s="239"/>
      <c r="BJB13" s="239"/>
      <c r="BJC13" s="239"/>
      <c r="BJD13" s="239"/>
      <c r="BJE13" s="239"/>
      <c r="BJF13" s="239"/>
      <c r="BJG13" s="239"/>
      <c r="BJH13" s="239"/>
      <c r="BJI13" s="239"/>
      <c r="BJJ13" s="239"/>
      <c r="BJK13" s="239"/>
      <c r="BJL13" s="239"/>
      <c r="BJM13" s="239"/>
      <c r="BJN13" s="239"/>
      <c r="BJO13" s="239"/>
      <c r="BJP13" s="239"/>
      <c r="BJQ13" s="239"/>
      <c r="BJR13" s="239"/>
      <c r="BJS13" s="239"/>
      <c r="BJT13" s="239"/>
      <c r="BJU13" s="239"/>
      <c r="BJV13" s="239"/>
      <c r="BJW13" s="239"/>
      <c r="BJX13" s="239"/>
      <c r="BJY13" s="239"/>
      <c r="BJZ13" s="239"/>
      <c r="BKA13" s="239"/>
      <c r="BKB13" s="239"/>
      <c r="BKC13" s="239"/>
      <c r="BKD13" s="239"/>
      <c r="BKE13" s="239"/>
      <c r="BKF13" s="239"/>
      <c r="BKG13" s="239"/>
      <c r="BKH13" s="239"/>
      <c r="BKI13" s="239"/>
      <c r="BKJ13" s="239"/>
      <c r="BKK13" s="239"/>
      <c r="BKL13" s="239"/>
      <c r="BKM13" s="239"/>
      <c r="BKN13" s="239"/>
      <c r="BKO13" s="239"/>
      <c r="BKP13" s="239"/>
      <c r="BKQ13" s="239"/>
      <c r="BKR13" s="239"/>
      <c r="BKS13" s="239"/>
      <c r="BKT13" s="239"/>
      <c r="BKU13" s="239"/>
      <c r="BKV13" s="239"/>
      <c r="BKW13" s="239"/>
      <c r="BKX13" s="239"/>
      <c r="BKY13" s="239"/>
      <c r="BKZ13" s="239"/>
      <c r="BLA13" s="239"/>
      <c r="BLB13" s="239"/>
      <c r="BLC13" s="239"/>
      <c r="BLD13" s="239"/>
      <c r="BLE13" s="239"/>
      <c r="BLF13" s="239"/>
      <c r="BLG13" s="239"/>
      <c r="BLH13" s="239"/>
      <c r="BLI13" s="239"/>
      <c r="BLJ13" s="239"/>
      <c r="BLK13" s="239"/>
      <c r="BLL13" s="239"/>
      <c r="BLM13" s="239"/>
      <c r="BLN13" s="239"/>
      <c r="BLO13" s="239"/>
      <c r="BLP13" s="239"/>
      <c r="BLQ13" s="239"/>
      <c r="BLR13" s="239"/>
      <c r="BLS13" s="239"/>
      <c r="BLT13" s="239"/>
      <c r="BLU13" s="239"/>
      <c r="BLV13" s="239"/>
      <c r="BLW13" s="239"/>
      <c r="BLX13" s="239"/>
      <c r="BLY13" s="239"/>
      <c r="BLZ13" s="239"/>
      <c r="BMA13" s="239"/>
      <c r="BMB13" s="239"/>
      <c r="BMC13" s="239"/>
      <c r="BMD13" s="239"/>
      <c r="BME13" s="239"/>
      <c r="BMF13" s="239"/>
      <c r="BMG13" s="239"/>
      <c r="BMH13" s="239"/>
      <c r="BMI13" s="239"/>
      <c r="BMJ13" s="239"/>
      <c r="BMK13" s="239"/>
      <c r="BML13" s="239"/>
      <c r="BMM13" s="239"/>
      <c r="BMN13" s="239"/>
      <c r="BMO13" s="239"/>
      <c r="BMP13" s="239"/>
      <c r="BMQ13" s="239"/>
      <c r="BMR13" s="239"/>
      <c r="BMS13" s="239"/>
      <c r="BMT13" s="239"/>
      <c r="BMU13" s="239"/>
      <c r="BMV13" s="239"/>
      <c r="BMW13" s="239"/>
      <c r="BMX13" s="239"/>
      <c r="BMY13" s="239"/>
      <c r="BMZ13" s="239"/>
      <c r="BNA13" s="239"/>
      <c r="BNB13" s="239"/>
      <c r="BNC13" s="239"/>
      <c r="BND13" s="239"/>
      <c r="BNE13" s="239"/>
      <c r="BNF13" s="239"/>
      <c r="BNG13" s="239"/>
      <c r="BNH13" s="239"/>
      <c r="BNI13" s="239"/>
      <c r="BNJ13" s="239"/>
      <c r="BNK13" s="239"/>
      <c r="BNL13" s="239"/>
      <c r="BNM13" s="239"/>
      <c r="BNN13" s="239"/>
      <c r="BNO13" s="239"/>
      <c r="BNP13" s="239"/>
      <c r="BNQ13" s="239"/>
      <c r="BNR13" s="239"/>
      <c r="BNS13" s="239"/>
      <c r="BNT13" s="239"/>
      <c r="BNU13" s="239"/>
      <c r="BNV13" s="239"/>
      <c r="BNW13" s="239"/>
      <c r="BNX13" s="239"/>
      <c r="BNY13" s="239"/>
      <c r="BNZ13" s="239"/>
      <c r="BOA13" s="239"/>
      <c r="BOB13" s="239"/>
      <c r="BOC13" s="239"/>
      <c r="BOD13" s="239"/>
      <c r="BOE13" s="239"/>
      <c r="BOF13" s="239"/>
      <c r="BOG13" s="239"/>
      <c r="BOH13" s="239"/>
      <c r="BOI13" s="239"/>
      <c r="BOJ13" s="239"/>
      <c r="BOK13" s="239"/>
      <c r="BOL13" s="239"/>
      <c r="BOM13" s="239"/>
      <c r="BON13" s="239"/>
      <c r="BOO13" s="239"/>
      <c r="BOP13" s="239"/>
      <c r="BOQ13" s="239"/>
      <c r="BOR13" s="239"/>
      <c r="BOS13" s="239"/>
      <c r="BOT13" s="239"/>
      <c r="BOU13" s="239"/>
      <c r="BOV13" s="239"/>
      <c r="BOW13" s="239"/>
      <c r="BOX13" s="239"/>
      <c r="BOY13" s="239"/>
      <c r="BOZ13" s="239"/>
      <c r="BPA13" s="239"/>
      <c r="BPB13" s="239"/>
      <c r="BPC13" s="239"/>
      <c r="BPD13" s="239"/>
      <c r="BPE13" s="239"/>
      <c r="BPF13" s="239"/>
      <c r="BPG13" s="239"/>
      <c r="BPH13" s="239"/>
      <c r="BPI13" s="239"/>
      <c r="BPJ13" s="239"/>
      <c r="BPK13" s="239"/>
      <c r="BPL13" s="239"/>
      <c r="BPM13" s="239"/>
      <c r="BPN13" s="239"/>
      <c r="BPO13" s="239"/>
      <c r="BPP13" s="239"/>
      <c r="BPQ13" s="239"/>
      <c r="BPR13" s="239"/>
      <c r="BPS13" s="239"/>
      <c r="BPT13" s="239"/>
      <c r="BPU13" s="239"/>
      <c r="BPV13" s="239"/>
      <c r="BPW13" s="239"/>
      <c r="BPX13" s="239"/>
      <c r="BPY13" s="239"/>
      <c r="BPZ13" s="239"/>
      <c r="BQA13" s="239"/>
      <c r="BQB13" s="239"/>
      <c r="BQC13" s="239"/>
      <c r="BQD13" s="239"/>
      <c r="BQE13" s="239"/>
      <c r="BQF13" s="239"/>
      <c r="BQG13" s="239"/>
      <c r="BQH13" s="239"/>
      <c r="BQI13" s="239"/>
      <c r="BQJ13" s="239"/>
      <c r="BQK13" s="239"/>
      <c r="BQL13" s="239"/>
      <c r="BQM13" s="239"/>
      <c r="BQN13" s="239"/>
      <c r="BQO13" s="239"/>
      <c r="BQP13" s="239"/>
      <c r="BQQ13" s="239"/>
      <c r="BQR13" s="239"/>
      <c r="BQS13" s="239"/>
      <c r="BQT13" s="239"/>
      <c r="BQU13" s="239"/>
      <c r="BQV13" s="239"/>
      <c r="BQW13" s="239"/>
      <c r="BQX13" s="239"/>
      <c r="BQY13" s="239"/>
      <c r="BQZ13" s="239"/>
      <c r="BRA13" s="239"/>
      <c r="BRB13" s="239"/>
      <c r="BRC13" s="239"/>
      <c r="BRD13" s="239"/>
      <c r="BRE13" s="239"/>
      <c r="BRF13" s="239"/>
      <c r="BRG13" s="239"/>
      <c r="BRH13" s="239"/>
      <c r="BRI13" s="239"/>
      <c r="BRJ13" s="239"/>
      <c r="BRK13" s="239"/>
      <c r="BRL13" s="239"/>
      <c r="BRM13" s="239"/>
      <c r="BRN13" s="239"/>
      <c r="BRO13" s="239"/>
      <c r="BRP13" s="239"/>
      <c r="BRQ13" s="239"/>
      <c r="BRR13" s="239"/>
      <c r="BRS13" s="239"/>
      <c r="BRT13" s="239"/>
      <c r="BRU13" s="239"/>
      <c r="BRV13" s="239"/>
      <c r="BRW13" s="239"/>
      <c r="BRX13" s="239"/>
      <c r="BRY13" s="239"/>
      <c r="BRZ13" s="239"/>
      <c r="BSA13" s="239"/>
      <c r="BSB13" s="239"/>
      <c r="BSC13" s="239"/>
      <c r="BSD13" s="239"/>
      <c r="BSE13" s="239"/>
      <c r="BSF13" s="239"/>
      <c r="BSG13" s="239"/>
      <c r="BSH13" s="239"/>
      <c r="BSI13" s="239"/>
      <c r="BSJ13" s="239"/>
      <c r="BSK13" s="239"/>
      <c r="BSL13" s="239"/>
      <c r="BSM13" s="239"/>
      <c r="BSN13" s="239"/>
      <c r="BSO13" s="239"/>
      <c r="BSP13" s="239"/>
      <c r="BSQ13" s="239"/>
      <c r="BSR13" s="239"/>
      <c r="BSS13" s="239"/>
      <c r="BST13" s="239"/>
      <c r="BSU13" s="239"/>
      <c r="BSV13" s="239"/>
      <c r="BSW13" s="239"/>
      <c r="BSX13" s="239"/>
      <c r="BSY13" s="239"/>
      <c r="BSZ13" s="239"/>
      <c r="BTA13" s="239"/>
      <c r="BTB13" s="239"/>
      <c r="BTC13" s="239"/>
      <c r="BTD13" s="239"/>
      <c r="BTE13" s="239"/>
      <c r="BTF13" s="239"/>
      <c r="BTG13" s="239"/>
      <c r="BTH13" s="239"/>
      <c r="BTI13" s="239"/>
      <c r="BTJ13" s="239"/>
      <c r="BTK13" s="239"/>
      <c r="BTL13" s="239"/>
      <c r="BTM13" s="239"/>
      <c r="BTN13" s="239"/>
      <c r="BTO13" s="239"/>
      <c r="BTP13" s="239"/>
      <c r="BTQ13" s="239"/>
      <c r="BTR13" s="239"/>
      <c r="BTS13" s="239"/>
      <c r="BTT13" s="239"/>
      <c r="BTU13" s="239"/>
      <c r="BTV13" s="239"/>
      <c r="BTW13" s="239"/>
      <c r="BTX13" s="239"/>
      <c r="BTY13" s="239"/>
      <c r="BTZ13" s="239"/>
      <c r="BUA13" s="239"/>
      <c r="BUB13" s="239"/>
      <c r="BUC13" s="239"/>
      <c r="BUD13" s="239"/>
      <c r="BUE13" s="239"/>
      <c r="BUF13" s="239"/>
      <c r="BUG13" s="239"/>
      <c r="BUH13" s="239"/>
      <c r="BUI13" s="239"/>
      <c r="BUJ13" s="239"/>
      <c r="BUK13" s="239"/>
      <c r="BUL13" s="239"/>
      <c r="BUM13" s="239"/>
      <c r="BUN13" s="239"/>
      <c r="BUO13" s="239"/>
      <c r="BUP13" s="239"/>
      <c r="BUQ13" s="239"/>
      <c r="BUR13" s="239"/>
      <c r="BUS13" s="239"/>
      <c r="BUT13" s="239"/>
      <c r="BUU13" s="239"/>
      <c r="BUV13" s="239"/>
      <c r="BUW13" s="239"/>
      <c r="BUX13" s="239"/>
      <c r="BUY13" s="239"/>
      <c r="BUZ13" s="239"/>
      <c r="BVA13" s="239"/>
      <c r="BVB13" s="239"/>
      <c r="BVC13" s="239"/>
      <c r="BVD13" s="239"/>
      <c r="BVE13" s="239"/>
      <c r="BVF13" s="239"/>
      <c r="BVG13" s="239"/>
      <c r="BVH13" s="239"/>
      <c r="BVI13" s="239"/>
      <c r="BVJ13" s="239"/>
      <c r="BVK13" s="239"/>
      <c r="BVL13" s="239"/>
      <c r="BVM13" s="239"/>
      <c r="BVN13" s="239"/>
      <c r="BVO13" s="239"/>
      <c r="BVP13" s="239"/>
      <c r="BVQ13" s="239"/>
      <c r="BVR13" s="239"/>
      <c r="BVS13" s="239"/>
      <c r="BVT13" s="239"/>
      <c r="BVU13" s="239"/>
      <c r="BVV13" s="239"/>
      <c r="BVW13" s="239"/>
      <c r="BVX13" s="239"/>
      <c r="BVY13" s="239"/>
      <c r="BVZ13" s="239"/>
      <c r="BWA13" s="239"/>
      <c r="BWB13" s="239"/>
      <c r="BWC13" s="239"/>
      <c r="BWD13" s="239"/>
      <c r="BWE13" s="239"/>
      <c r="BWF13" s="239"/>
      <c r="BWG13" s="239"/>
      <c r="BWH13" s="239"/>
      <c r="BWI13" s="239"/>
      <c r="BWJ13" s="239"/>
      <c r="BWK13" s="239"/>
      <c r="BWL13" s="239"/>
      <c r="BWM13" s="239"/>
      <c r="BWN13" s="239"/>
      <c r="BWO13" s="239"/>
      <c r="BWP13" s="239"/>
      <c r="BWQ13" s="239"/>
      <c r="BWR13" s="239"/>
      <c r="BWS13" s="239"/>
      <c r="BWT13" s="239"/>
      <c r="BWU13" s="239"/>
      <c r="BWV13" s="239"/>
      <c r="BWW13" s="239"/>
      <c r="BWX13" s="239"/>
      <c r="BWY13" s="239"/>
      <c r="BWZ13" s="239"/>
      <c r="BXA13" s="239"/>
      <c r="BXB13" s="239"/>
      <c r="BXC13" s="239"/>
      <c r="BXD13" s="239"/>
      <c r="BXE13" s="239"/>
      <c r="BXF13" s="239"/>
      <c r="BXG13" s="239"/>
      <c r="BXH13" s="239"/>
      <c r="BXI13" s="239"/>
      <c r="BXJ13" s="239"/>
      <c r="BXK13" s="239"/>
      <c r="BXL13" s="239"/>
      <c r="BXM13" s="239"/>
      <c r="BXN13" s="239"/>
      <c r="BXO13" s="239"/>
      <c r="BXP13" s="239"/>
      <c r="BXQ13" s="239"/>
      <c r="BXR13" s="239"/>
      <c r="BXS13" s="239"/>
      <c r="BXT13" s="239"/>
      <c r="BXU13" s="239"/>
      <c r="BXV13" s="239"/>
      <c r="BXW13" s="239"/>
      <c r="BXX13" s="239"/>
      <c r="BXY13" s="239"/>
      <c r="BXZ13" s="239"/>
      <c r="BYA13" s="239"/>
      <c r="BYB13" s="239"/>
      <c r="BYC13" s="239"/>
      <c r="BYD13" s="239"/>
      <c r="BYE13" s="239"/>
      <c r="BYF13" s="239"/>
      <c r="BYG13" s="239"/>
      <c r="BYH13" s="239"/>
      <c r="BYI13" s="239"/>
      <c r="BYJ13" s="239"/>
      <c r="BYK13" s="239"/>
      <c r="BYL13" s="239"/>
      <c r="BYM13" s="239"/>
      <c r="BYN13" s="239"/>
      <c r="BYO13" s="239"/>
      <c r="BYP13" s="239"/>
      <c r="BYQ13" s="239"/>
      <c r="BYR13" s="239"/>
      <c r="BYS13" s="239"/>
      <c r="BYT13" s="239"/>
      <c r="BYU13" s="239"/>
      <c r="BYV13" s="239"/>
      <c r="BYW13" s="239"/>
      <c r="BYX13" s="239"/>
      <c r="BYY13" s="239"/>
      <c r="BYZ13" s="239"/>
      <c r="BZA13" s="239"/>
      <c r="BZB13" s="239"/>
      <c r="BZC13" s="239"/>
      <c r="BZD13" s="239"/>
      <c r="BZE13" s="239"/>
      <c r="BZF13" s="239"/>
      <c r="BZG13" s="239"/>
      <c r="BZH13" s="239"/>
      <c r="BZI13" s="239"/>
      <c r="BZJ13" s="239"/>
      <c r="BZK13" s="239"/>
      <c r="BZL13" s="239"/>
      <c r="BZM13" s="239"/>
      <c r="BZN13" s="239"/>
      <c r="BZO13" s="239"/>
      <c r="BZP13" s="239"/>
      <c r="BZQ13" s="239"/>
      <c r="BZR13" s="239"/>
      <c r="BZS13" s="239"/>
      <c r="BZT13" s="239"/>
      <c r="BZU13" s="239"/>
      <c r="BZV13" s="239"/>
      <c r="BZW13" s="239"/>
      <c r="BZX13" s="239"/>
      <c r="BZY13" s="239"/>
      <c r="BZZ13" s="239"/>
      <c r="CAA13" s="239"/>
      <c r="CAB13" s="239"/>
      <c r="CAC13" s="239"/>
      <c r="CAD13" s="239"/>
      <c r="CAE13" s="239"/>
      <c r="CAF13" s="239"/>
      <c r="CAG13" s="239"/>
      <c r="CAH13" s="239"/>
      <c r="CAI13" s="239"/>
      <c r="CAJ13" s="239"/>
      <c r="CAK13" s="239"/>
      <c r="CAL13" s="239"/>
      <c r="CAM13" s="239"/>
      <c r="CAN13" s="239"/>
      <c r="CAO13" s="239"/>
      <c r="CAP13" s="239"/>
      <c r="CAQ13" s="239"/>
      <c r="CAR13" s="239"/>
      <c r="CAS13" s="239"/>
      <c r="CAT13" s="239"/>
      <c r="CAU13" s="239"/>
      <c r="CAV13" s="239"/>
      <c r="CAW13" s="239"/>
      <c r="CAX13" s="239"/>
      <c r="CAY13" s="239"/>
      <c r="CAZ13" s="239"/>
      <c r="CBA13" s="239"/>
      <c r="CBB13" s="239"/>
      <c r="CBC13" s="239"/>
      <c r="CBD13" s="239"/>
      <c r="CBE13" s="239"/>
      <c r="CBF13" s="239"/>
      <c r="CBG13" s="239"/>
      <c r="CBH13" s="239"/>
      <c r="CBI13" s="239"/>
      <c r="CBJ13" s="239"/>
      <c r="CBK13" s="239"/>
      <c r="CBL13" s="239"/>
      <c r="CBM13" s="239"/>
      <c r="CBN13" s="239"/>
      <c r="CBO13" s="239"/>
      <c r="CBP13" s="239"/>
      <c r="CBQ13" s="239"/>
      <c r="CBR13" s="239"/>
      <c r="CBS13" s="239"/>
      <c r="CBT13" s="239"/>
      <c r="CBU13" s="239"/>
      <c r="CBV13" s="239"/>
      <c r="CBW13" s="239"/>
      <c r="CBX13" s="239"/>
      <c r="CBY13" s="239"/>
      <c r="CBZ13" s="239"/>
      <c r="CCA13" s="239"/>
      <c r="CCB13" s="239"/>
      <c r="CCC13" s="239"/>
      <c r="CCD13" s="239"/>
      <c r="CCE13" s="239"/>
      <c r="CCF13" s="239"/>
      <c r="CCG13" s="239"/>
      <c r="CCH13" s="239"/>
      <c r="CCI13" s="239"/>
      <c r="CCJ13" s="239"/>
      <c r="CCK13" s="239"/>
      <c r="CCL13" s="239"/>
      <c r="CCM13" s="239"/>
      <c r="CCN13" s="239"/>
      <c r="CCO13" s="239"/>
      <c r="CCP13" s="239"/>
      <c r="CCQ13" s="239"/>
      <c r="CCR13" s="239"/>
      <c r="CCS13" s="239"/>
      <c r="CCT13" s="239"/>
      <c r="CCU13" s="239"/>
      <c r="CCV13" s="239"/>
      <c r="CCW13" s="239"/>
      <c r="CCX13" s="239"/>
      <c r="CCY13" s="239"/>
      <c r="CCZ13" s="239"/>
      <c r="CDA13" s="239"/>
      <c r="CDB13" s="239"/>
      <c r="CDC13" s="239"/>
      <c r="CDD13" s="239"/>
      <c r="CDE13" s="239"/>
      <c r="CDF13" s="239"/>
      <c r="CDG13" s="239"/>
      <c r="CDH13" s="239"/>
      <c r="CDI13" s="239"/>
      <c r="CDJ13" s="239"/>
      <c r="CDK13" s="239"/>
      <c r="CDL13" s="239"/>
      <c r="CDM13" s="239"/>
      <c r="CDN13" s="239"/>
      <c r="CDO13" s="239"/>
      <c r="CDP13" s="239"/>
      <c r="CDQ13" s="239"/>
      <c r="CDR13" s="239"/>
      <c r="CDS13" s="239"/>
      <c r="CDT13" s="239"/>
      <c r="CDU13" s="239"/>
      <c r="CDV13" s="239"/>
      <c r="CDW13" s="239"/>
      <c r="CDX13" s="239"/>
      <c r="CDY13" s="239"/>
      <c r="CDZ13" s="239"/>
      <c r="CEA13" s="239"/>
      <c r="CEB13" s="239"/>
      <c r="CEC13" s="239"/>
      <c r="CED13" s="239"/>
      <c r="CEE13" s="239"/>
      <c r="CEF13" s="239"/>
      <c r="CEG13" s="239"/>
      <c r="CEH13" s="239"/>
      <c r="CEI13" s="239"/>
      <c r="CEJ13" s="239"/>
      <c r="CEK13" s="239"/>
      <c r="CEL13" s="239"/>
      <c r="CEM13" s="239"/>
      <c r="CEN13" s="239"/>
      <c r="CEO13" s="239"/>
      <c r="CEP13" s="239"/>
      <c r="CEQ13" s="239"/>
      <c r="CER13" s="239"/>
      <c r="CES13" s="239"/>
      <c r="CET13" s="239"/>
      <c r="CEU13" s="239"/>
      <c r="CEV13" s="239"/>
      <c r="CEW13" s="239"/>
      <c r="CEX13" s="239"/>
      <c r="CEY13" s="239"/>
      <c r="CEZ13" s="239"/>
      <c r="CFA13" s="239"/>
      <c r="CFB13" s="239"/>
      <c r="CFC13" s="239"/>
      <c r="CFD13" s="239"/>
      <c r="CFE13" s="239"/>
      <c r="CFF13" s="239"/>
      <c r="CFG13" s="239"/>
      <c r="CFH13" s="239"/>
      <c r="CFI13" s="239"/>
      <c r="CFJ13" s="239"/>
      <c r="CFK13" s="239"/>
      <c r="CFL13" s="239"/>
      <c r="CFM13" s="239"/>
      <c r="CFN13" s="239"/>
      <c r="CFO13" s="239"/>
      <c r="CFP13" s="239"/>
      <c r="CFQ13" s="239"/>
      <c r="CFR13" s="239"/>
      <c r="CFS13" s="239"/>
      <c r="CFT13" s="239"/>
      <c r="CFU13" s="239"/>
      <c r="CFV13" s="239"/>
      <c r="CFW13" s="239"/>
      <c r="CFX13" s="239"/>
      <c r="CFY13" s="239"/>
      <c r="CFZ13" s="239"/>
      <c r="CGA13" s="239"/>
      <c r="CGB13" s="239"/>
      <c r="CGC13" s="239"/>
      <c r="CGD13" s="239"/>
      <c r="CGE13" s="239"/>
      <c r="CGF13" s="239"/>
      <c r="CGG13" s="239"/>
      <c r="CGH13" s="239"/>
      <c r="CGI13" s="239"/>
      <c r="CGJ13" s="239"/>
      <c r="CGK13" s="239"/>
      <c r="CGL13" s="239"/>
      <c r="CGM13" s="239"/>
      <c r="CGN13" s="239"/>
      <c r="CGO13" s="239"/>
      <c r="CGP13" s="239"/>
      <c r="CGQ13" s="239"/>
      <c r="CGR13" s="239"/>
      <c r="CGS13" s="239"/>
      <c r="CGT13" s="239"/>
      <c r="CGU13" s="239"/>
      <c r="CGV13" s="239"/>
      <c r="CGW13" s="239"/>
      <c r="CGX13" s="239"/>
      <c r="CGY13" s="239"/>
      <c r="CGZ13" s="239"/>
      <c r="CHA13" s="239"/>
      <c r="CHB13" s="239"/>
      <c r="CHC13" s="239"/>
      <c r="CHD13" s="239"/>
      <c r="CHE13" s="239"/>
      <c r="CHF13" s="239"/>
      <c r="CHG13" s="239"/>
      <c r="CHH13" s="239"/>
      <c r="CHI13" s="239"/>
      <c r="CHJ13" s="239"/>
      <c r="CHK13" s="239"/>
      <c r="CHL13" s="239"/>
      <c r="CHM13" s="239"/>
      <c r="CHN13" s="239"/>
      <c r="CHO13" s="239"/>
      <c r="CHP13" s="239"/>
      <c r="CHQ13" s="239"/>
      <c r="CHR13" s="239"/>
      <c r="CHS13" s="239"/>
      <c r="CHT13" s="239"/>
      <c r="CHU13" s="239"/>
      <c r="CHV13" s="239"/>
      <c r="CHW13" s="239"/>
      <c r="CHX13" s="239"/>
      <c r="CHY13" s="239"/>
      <c r="CHZ13" s="239"/>
      <c r="CIA13" s="239"/>
      <c r="CIB13" s="239"/>
      <c r="CIC13" s="239"/>
      <c r="CID13" s="239"/>
      <c r="CIE13" s="239"/>
      <c r="CIF13" s="239"/>
      <c r="CIG13" s="239"/>
      <c r="CIH13" s="239"/>
      <c r="CII13" s="239"/>
      <c r="CIJ13" s="239"/>
      <c r="CIK13" s="239"/>
      <c r="CIL13" s="239"/>
      <c r="CIM13" s="239"/>
      <c r="CIN13" s="239"/>
      <c r="CIO13" s="239"/>
      <c r="CIP13" s="239"/>
      <c r="CIQ13" s="239"/>
      <c r="CIR13" s="239"/>
      <c r="CIS13" s="239"/>
      <c r="CIT13" s="239"/>
      <c r="CIU13" s="239"/>
      <c r="CIV13" s="239"/>
      <c r="CIW13" s="239"/>
      <c r="CIX13" s="239"/>
      <c r="CIY13" s="239"/>
      <c r="CIZ13" s="239"/>
      <c r="CJA13" s="239"/>
      <c r="CJB13" s="239"/>
      <c r="CJC13" s="239"/>
      <c r="CJD13" s="239"/>
      <c r="CJE13" s="239"/>
      <c r="CJF13" s="239"/>
      <c r="CJG13" s="239"/>
      <c r="CJH13" s="239"/>
      <c r="CJI13" s="239"/>
      <c r="CJJ13" s="239"/>
      <c r="CJK13" s="239"/>
      <c r="CJL13" s="239"/>
      <c r="CJM13" s="239"/>
      <c r="CJN13" s="239"/>
      <c r="CJO13" s="239"/>
      <c r="CJP13" s="239"/>
      <c r="CJQ13" s="239"/>
      <c r="CJR13" s="239"/>
      <c r="CJS13" s="239"/>
      <c r="CJT13" s="239"/>
      <c r="CJU13" s="239"/>
      <c r="CJV13" s="239"/>
      <c r="CJW13" s="239"/>
      <c r="CJX13" s="239"/>
      <c r="CJY13" s="239"/>
      <c r="CJZ13" s="239"/>
      <c r="CKA13" s="239"/>
      <c r="CKB13" s="239"/>
      <c r="CKC13" s="239"/>
      <c r="CKD13" s="239"/>
      <c r="CKE13" s="239"/>
      <c r="CKF13" s="239"/>
      <c r="CKG13" s="239"/>
      <c r="CKH13" s="239"/>
      <c r="CKI13" s="239"/>
      <c r="CKJ13" s="239"/>
      <c r="CKK13" s="239"/>
      <c r="CKL13" s="239"/>
      <c r="CKM13" s="239"/>
      <c r="CKN13" s="239"/>
      <c r="CKO13" s="239"/>
      <c r="CKP13" s="239"/>
      <c r="CKQ13" s="239"/>
      <c r="CKR13" s="239"/>
      <c r="CKS13" s="239"/>
      <c r="CKT13" s="239"/>
      <c r="CKU13" s="239"/>
      <c r="CKV13" s="239"/>
      <c r="CKW13" s="239"/>
      <c r="CKX13" s="239"/>
      <c r="CKY13" s="239"/>
      <c r="CKZ13" s="239"/>
      <c r="CLA13" s="239"/>
      <c r="CLB13" s="239"/>
      <c r="CLC13" s="239"/>
      <c r="CLD13" s="239"/>
      <c r="CLE13" s="239"/>
      <c r="CLF13" s="239"/>
      <c r="CLG13" s="239"/>
      <c r="CLH13" s="239"/>
      <c r="CLI13" s="239"/>
      <c r="CLJ13" s="239"/>
      <c r="CLK13" s="239"/>
      <c r="CLL13" s="239"/>
      <c r="CLM13" s="239"/>
      <c r="CLN13" s="239"/>
      <c r="CLO13" s="239"/>
      <c r="CLP13" s="239"/>
      <c r="CLQ13" s="239"/>
      <c r="CLR13" s="239"/>
      <c r="CLS13" s="239"/>
      <c r="CLT13" s="239"/>
      <c r="CLU13" s="239"/>
      <c r="CLV13" s="239"/>
      <c r="CLW13" s="239"/>
      <c r="CLX13" s="239"/>
      <c r="CLY13" s="239"/>
      <c r="CLZ13" s="239"/>
      <c r="CMA13" s="239"/>
      <c r="CMB13" s="239"/>
      <c r="CMC13" s="239"/>
      <c r="CMD13" s="239"/>
      <c r="CME13" s="239"/>
      <c r="CMF13" s="239"/>
      <c r="CMG13" s="239"/>
      <c r="CMH13" s="239"/>
      <c r="CMI13" s="239"/>
      <c r="CMJ13" s="239"/>
      <c r="CMK13" s="239"/>
      <c r="CML13" s="239"/>
      <c r="CMM13" s="239"/>
      <c r="CMN13" s="239"/>
      <c r="CMO13" s="239"/>
      <c r="CMP13" s="239"/>
      <c r="CMQ13" s="239"/>
      <c r="CMR13" s="239"/>
      <c r="CMS13" s="239"/>
      <c r="CMT13" s="239"/>
      <c r="CMU13" s="239"/>
      <c r="CMV13" s="239"/>
      <c r="CMW13" s="239"/>
      <c r="CMX13" s="239"/>
      <c r="CMY13" s="239"/>
      <c r="CMZ13" s="239"/>
      <c r="CNA13" s="239"/>
      <c r="CNB13" s="239"/>
      <c r="CNC13" s="239"/>
      <c r="CND13" s="239"/>
      <c r="CNE13" s="239"/>
      <c r="CNF13" s="239"/>
      <c r="CNG13" s="239"/>
      <c r="CNH13" s="239"/>
      <c r="CNI13" s="239"/>
      <c r="CNJ13" s="239"/>
      <c r="CNK13" s="239"/>
      <c r="CNL13" s="239"/>
      <c r="CNM13" s="239"/>
      <c r="CNN13" s="239"/>
      <c r="CNO13" s="239"/>
      <c r="CNP13" s="239"/>
      <c r="CNQ13" s="239"/>
      <c r="CNR13" s="239"/>
      <c r="CNS13" s="239"/>
      <c r="CNT13" s="239"/>
      <c r="CNU13" s="239"/>
      <c r="CNV13" s="239"/>
      <c r="CNW13" s="239"/>
      <c r="CNX13" s="239"/>
      <c r="CNY13" s="239"/>
      <c r="CNZ13" s="239"/>
      <c r="COA13" s="239"/>
      <c r="COB13" s="239"/>
      <c r="COC13" s="239"/>
      <c r="COD13" s="239"/>
      <c r="COE13" s="239"/>
      <c r="COF13" s="239"/>
      <c r="COG13" s="239"/>
      <c r="COH13" s="239"/>
      <c r="COI13" s="239"/>
      <c r="COJ13" s="239"/>
      <c r="COK13" s="239"/>
      <c r="COL13" s="239"/>
      <c r="COM13" s="239"/>
      <c r="CON13" s="239"/>
      <c r="COO13" s="239"/>
      <c r="COP13" s="239"/>
      <c r="COQ13" s="239"/>
      <c r="COR13" s="239"/>
      <c r="COS13" s="239"/>
      <c r="COT13" s="239"/>
      <c r="COU13" s="239"/>
      <c r="COV13" s="239"/>
      <c r="COW13" s="239"/>
      <c r="COX13" s="239"/>
      <c r="COY13" s="239"/>
      <c r="COZ13" s="239"/>
      <c r="CPA13" s="239"/>
      <c r="CPB13" s="239"/>
      <c r="CPC13" s="239"/>
      <c r="CPD13" s="239"/>
      <c r="CPE13" s="239"/>
      <c r="CPF13" s="239"/>
      <c r="CPG13" s="239"/>
      <c r="CPH13" s="239"/>
      <c r="CPI13" s="239"/>
      <c r="CPJ13" s="239"/>
      <c r="CPK13" s="239"/>
      <c r="CPL13" s="239"/>
      <c r="CPM13" s="239"/>
      <c r="CPN13" s="239"/>
      <c r="CPO13" s="239"/>
      <c r="CPP13" s="239"/>
      <c r="CPQ13" s="239"/>
      <c r="CPR13" s="239"/>
      <c r="CPS13" s="239"/>
      <c r="CPT13" s="239"/>
      <c r="CPU13" s="239"/>
      <c r="CPV13" s="239"/>
      <c r="CPW13" s="239"/>
      <c r="CPX13" s="239"/>
      <c r="CPY13" s="239"/>
      <c r="CPZ13" s="239"/>
      <c r="CQA13" s="239"/>
      <c r="CQB13" s="239"/>
      <c r="CQC13" s="239"/>
      <c r="CQD13" s="239"/>
      <c r="CQE13" s="239"/>
      <c r="CQF13" s="239"/>
      <c r="CQG13" s="239"/>
      <c r="CQH13" s="239"/>
      <c r="CQI13" s="239"/>
      <c r="CQJ13" s="239"/>
      <c r="CQK13" s="239"/>
      <c r="CQL13" s="239"/>
      <c r="CQM13" s="239"/>
      <c r="CQN13" s="239"/>
      <c r="CQO13" s="239"/>
      <c r="CQP13" s="239"/>
      <c r="CQQ13" s="239"/>
      <c r="CQR13" s="239"/>
      <c r="CQS13" s="239"/>
      <c r="CQT13" s="239"/>
      <c r="CQU13" s="239"/>
      <c r="CQV13" s="239"/>
      <c r="CQW13" s="239"/>
      <c r="CQX13" s="239"/>
      <c r="CQY13" s="239"/>
      <c r="CQZ13" s="239"/>
      <c r="CRA13" s="239"/>
      <c r="CRB13" s="239"/>
      <c r="CRC13" s="239"/>
      <c r="CRD13" s="239"/>
      <c r="CRE13" s="239"/>
      <c r="CRF13" s="239"/>
      <c r="CRG13" s="239"/>
      <c r="CRH13" s="239"/>
      <c r="CRI13" s="239"/>
      <c r="CRJ13" s="239"/>
      <c r="CRK13" s="239"/>
      <c r="CRL13" s="239"/>
      <c r="CRM13" s="239"/>
      <c r="CRN13" s="239"/>
      <c r="CRO13" s="239"/>
      <c r="CRP13" s="239"/>
      <c r="CRQ13" s="239"/>
      <c r="CRR13" s="239"/>
      <c r="CRS13" s="239"/>
      <c r="CRT13" s="239"/>
      <c r="CRU13" s="239"/>
      <c r="CRV13" s="239"/>
      <c r="CRW13" s="239"/>
      <c r="CRX13" s="239"/>
      <c r="CRY13" s="239"/>
      <c r="CRZ13" s="239"/>
      <c r="CSA13" s="239"/>
      <c r="CSB13" s="239"/>
      <c r="CSC13" s="239"/>
      <c r="CSD13" s="239"/>
      <c r="CSE13" s="239"/>
      <c r="CSF13" s="239"/>
      <c r="CSG13" s="239"/>
      <c r="CSH13" s="239"/>
      <c r="CSI13" s="239"/>
      <c r="CSJ13" s="239"/>
      <c r="CSK13" s="239"/>
      <c r="CSL13" s="239"/>
      <c r="CSM13" s="239"/>
      <c r="CSN13" s="239"/>
      <c r="CSO13" s="239"/>
      <c r="CSP13" s="239"/>
      <c r="CSQ13" s="239"/>
      <c r="CSR13" s="239"/>
      <c r="CSS13" s="239"/>
      <c r="CST13" s="239"/>
      <c r="CSU13" s="239"/>
      <c r="CSV13" s="239"/>
      <c r="CSW13" s="239"/>
      <c r="CSX13" s="239"/>
      <c r="CSY13" s="239"/>
      <c r="CSZ13" s="239"/>
      <c r="CTA13" s="239"/>
      <c r="CTB13" s="239"/>
      <c r="CTC13" s="239"/>
      <c r="CTD13" s="239"/>
      <c r="CTE13" s="239"/>
      <c r="CTF13" s="239"/>
      <c r="CTG13" s="239"/>
      <c r="CTH13" s="239"/>
      <c r="CTI13" s="239"/>
      <c r="CTJ13" s="239"/>
      <c r="CTK13" s="239"/>
      <c r="CTL13" s="239"/>
      <c r="CTM13" s="239"/>
      <c r="CTN13" s="239"/>
      <c r="CTO13" s="239"/>
      <c r="CTP13" s="239"/>
      <c r="CTQ13" s="239"/>
      <c r="CTR13" s="239"/>
      <c r="CTS13" s="239"/>
      <c r="CTT13" s="239"/>
      <c r="CTU13" s="239"/>
      <c r="CTV13" s="239"/>
      <c r="CTW13" s="239"/>
      <c r="CTX13" s="239"/>
      <c r="CTY13" s="239"/>
      <c r="CTZ13" s="239"/>
      <c r="CUA13" s="239"/>
      <c r="CUB13" s="239"/>
      <c r="CUC13" s="239"/>
      <c r="CUD13" s="239"/>
      <c r="CUE13" s="239"/>
      <c r="CUF13" s="239"/>
      <c r="CUG13" s="239"/>
      <c r="CUH13" s="239"/>
      <c r="CUI13" s="239"/>
      <c r="CUJ13" s="239"/>
      <c r="CUK13" s="239"/>
      <c r="CUL13" s="239"/>
      <c r="CUM13" s="239"/>
      <c r="CUN13" s="239"/>
      <c r="CUO13" s="239"/>
      <c r="CUP13" s="239"/>
      <c r="CUQ13" s="239"/>
      <c r="CUR13" s="239"/>
      <c r="CUS13" s="239"/>
      <c r="CUT13" s="239"/>
      <c r="CUU13" s="239"/>
      <c r="CUV13" s="239"/>
      <c r="CUW13" s="239"/>
      <c r="CUX13" s="239"/>
      <c r="CUY13" s="239"/>
      <c r="CUZ13" s="239"/>
      <c r="CVA13" s="239"/>
      <c r="CVB13" s="239"/>
      <c r="CVC13" s="239"/>
      <c r="CVD13" s="239"/>
      <c r="CVE13" s="239"/>
      <c r="CVF13" s="239"/>
      <c r="CVG13" s="239"/>
      <c r="CVH13" s="239"/>
      <c r="CVI13" s="239"/>
      <c r="CVJ13" s="239"/>
      <c r="CVK13" s="239"/>
      <c r="CVL13" s="239"/>
      <c r="CVM13" s="239"/>
      <c r="CVN13" s="239"/>
      <c r="CVO13" s="239"/>
      <c r="CVP13" s="239"/>
      <c r="CVQ13" s="239"/>
      <c r="CVR13" s="239"/>
      <c r="CVS13" s="239"/>
      <c r="CVT13" s="239"/>
      <c r="CVU13" s="239"/>
      <c r="CVV13" s="239"/>
      <c r="CVW13" s="239"/>
      <c r="CVX13" s="239"/>
      <c r="CVY13" s="239"/>
      <c r="CVZ13" s="239"/>
      <c r="CWA13" s="239"/>
      <c r="CWB13" s="239"/>
      <c r="CWC13" s="239"/>
      <c r="CWD13" s="239"/>
      <c r="CWE13" s="239"/>
      <c r="CWF13" s="239"/>
      <c r="CWG13" s="239"/>
      <c r="CWH13" s="239"/>
      <c r="CWI13" s="239"/>
      <c r="CWJ13" s="239"/>
      <c r="CWK13" s="239"/>
      <c r="CWL13" s="239"/>
      <c r="CWM13" s="239"/>
      <c r="CWN13" s="239"/>
      <c r="CWO13" s="239"/>
      <c r="CWP13" s="239"/>
      <c r="CWQ13" s="239"/>
      <c r="CWR13" s="239"/>
      <c r="CWS13" s="239"/>
      <c r="CWT13" s="239"/>
      <c r="CWU13" s="239"/>
      <c r="CWV13" s="239"/>
      <c r="CWW13" s="239"/>
      <c r="CWX13" s="239"/>
      <c r="CWY13" s="239"/>
      <c r="CWZ13" s="239"/>
      <c r="CXA13" s="239"/>
      <c r="CXB13" s="239"/>
      <c r="CXC13" s="239"/>
      <c r="CXD13" s="239"/>
      <c r="CXE13" s="239"/>
      <c r="CXF13" s="239"/>
      <c r="CXG13" s="239"/>
      <c r="CXH13" s="239"/>
      <c r="CXI13" s="239"/>
      <c r="CXJ13" s="239"/>
      <c r="CXK13" s="239"/>
      <c r="CXL13" s="239"/>
      <c r="CXM13" s="239"/>
      <c r="CXN13" s="239"/>
      <c r="CXO13" s="239"/>
      <c r="CXP13" s="239"/>
      <c r="CXQ13" s="239"/>
      <c r="CXR13" s="239"/>
      <c r="CXS13" s="239"/>
      <c r="CXT13" s="239"/>
      <c r="CXU13" s="239"/>
      <c r="CXV13" s="239"/>
      <c r="CXW13" s="239"/>
      <c r="CXX13" s="239"/>
      <c r="CXY13" s="239"/>
      <c r="CXZ13" s="239"/>
      <c r="CYA13" s="239"/>
      <c r="CYB13" s="239"/>
      <c r="CYC13" s="239"/>
      <c r="CYD13" s="239"/>
      <c r="CYE13" s="239"/>
      <c r="CYF13" s="239"/>
      <c r="CYG13" s="239"/>
      <c r="CYH13" s="239"/>
      <c r="CYI13" s="239"/>
      <c r="CYJ13" s="239"/>
      <c r="CYK13" s="239"/>
      <c r="CYL13" s="239"/>
      <c r="CYM13" s="239"/>
      <c r="CYN13" s="239"/>
      <c r="CYO13" s="239"/>
      <c r="CYP13" s="239"/>
      <c r="CYQ13" s="239"/>
      <c r="CYR13" s="239"/>
      <c r="CYS13" s="239"/>
      <c r="CYT13" s="239"/>
      <c r="CYU13" s="239"/>
      <c r="CYV13" s="239"/>
      <c r="CYW13" s="239"/>
      <c r="CYX13" s="239"/>
      <c r="CYY13" s="239"/>
      <c r="CYZ13" s="239"/>
      <c r="CZA13" s="239"/>
      <c r="CZB13" s="239"/>
      <c r="CZC13" s="239"/>
      <c r="CZD13" s="239"/>
      <c r="CZE13" s="239"/>
      <c r="CZF13" s="239"/>
      <c r="CZG13" s="239"/>
      <c r="CZH13" s="239"/>
      <c r="CZI13" s="239"/>
      <c r="CZJ13" s="239"/>
      <c r="CZK13" s="239"/>
      <c r="CZL13" s="239"/>
      <c r="CZM13" s="239"/>
      <c r="CZN13" s="239"/>
      <c r="CZO13" s="239"/>
      <c r="CZP13" s="239"/>
      <c r="CZQ13" s="239"/>
      <c r="CZR13" s="239"/>
      <c r="CZS13" s="239"/>
      <c r="CZT13" s="239"/>
      <c r="CZU13" s="239"/>
      <c r="CZV13" s="239"/>
      <c r="CZW13" s="239"/>
      <c r="CZX13" s="239"/>
      <c r="CZY13" s="239"/>
      <c r="CZZ13" s="239"/>
      <c r="DAA13" s="239"/>
      <c r="DAB13" s="239"/>
      <c r="DAC13" s="239"/>
      <c r="DAD13" s="239"/>
      <c r="DAE13" s="239"/>
      <c r="DAF13" s="239"/>
      <c r="DAG13" s="239"/>
      <c r="DAH13" s="239"/>
      <c r="DAI13" s="239"/>
      <c r="DAJ13" s="239"/>
      <c r="DAK13" s="239"/>
      <c r="DAL13" s="239"/>
      <c r="DAM13" s="239"/>
      <c r="DAN13" s="239"/>
      <c r="DAO13" s="239"/>
      <c r="DAP13" s="239"/>
      <c r="DAQ13" s="239"/>
      <c r="DAR13" s="239"/>
      <c r="DAS13" s="239"/>
      <c r="DAT13" s="239"/>
      <c r="DAU13" s="239"/>
      <c r="DAV13" s="239"/>
      <c r="DAW13" s="239"/>
      <c r="DAX13" s="239"/>
      <c r="DAY13" s="239"/>
      <c r="DAZ13" s="239"/>
      <c r="DBA13" s="239"/>
      <c r="DBB13" s="239"/>
      <c r="DBC13" s="239"/>
      <c r="DBD13" s="239"/>
      <c r="DBE13" s="239"/>
      <c r="DBF13" s="239"/>
      <c r="DBG13" s="239"/>
      <c r="DBH13" s="239"/>
      <c r="DBI13" s="239"/>
      <c r="DBJ13" s="239"/>
      <c r="DBK13" s="239"/>
      <c r="DBL13" s="239"/>
      <c r="DBM13" s="239"/>
      <c r="DBN13" s="239"/>
      <c r="DBO13" s="239"/>
      <c r="DBP13" s="239"/>
      <c r="DBQ13" s="239"/>
      <c r="DBR13" s="239"/>
      <c r="DBS13" s="239"/>
      <c r="DBT13" s="239"/>
      <c r="DBU13" s="239"/>
      <c r="DBV13" s="239"/>
      <c r="DBW13" s="239"/>
      <c r="DBX13" s="239"/>
      <c r="DBY13" s="239"/>
      <c r="DBZ13" s="239"/>
      <c r="DCA13" s="239"/>
      <c r="DCB13" s="239"/>
      <c r="DCC13" s="239"/>
      <c r="DCD13" s="239"/>
      <c r="DCE13" s="239"/>
      <c r="DCF13" s="239"/>
      <c r="DCG13" s="239"/>
      <c r="DCH13" s="239"/>
      <c r="DCI13" s="239"/>
      <c r="DCJ13" s="239"/>
      <c r="DCK13" s="239"/>
      <c r="DCL13" s="239"/>
      <c r="DCM13" s="239"/>
      <c r="DCN13" s="239"/>
      <c r="DCO13" s="239"/>
      <c r="DCP13" s="239"/>
      <c r="DCQ13" s="239"/>
      <c r="DCR13" s="239"/>
      <c r="DCS13" s="239"/>
      <c r="DCT13" s="239"/>
      <c r="DCU13" s="239"/>
      <c r="DCV13" s="239"/>
      <c r="DCW13" s="239"/>
      <c r="DCX13" s="239"/>
      <c r="DCY13" s="239"/>
      <c r="DCZ13" s="239"/>
      <c r="DDA13" s="239"/>
      <c r="DDB13" s="239"/>
      <c r="DDC13" s="239"/>
      <c r="DDD13" s="239"/>
      <c r="DDE13" s="239"/>
      <c r="DDF13" s="239"/>
      <c r="DDG13" s="239"/>
      <c r="DDH13" s="239"/>
      <c r="DDI13" s="239"/>
      <c r="DDJ13" s="239"/>
      <c r="DDK13" s="239"/>
      <c r="DDL13" s="239"/>
      <c r="DDM13" s="239"/>
      <c r="DDN13" s="239"/>
      <c r="DDO13" s="239"/>
      <c r="DDP13" s="239"/>
      <c r="DDQ13" s="239"/>
      <c r="DDR13" s="239"/>
      <c r="DDS13" s="239"/>
      <c r="DDT13" s="239"/>
      <c r="DDU13" s="239"/>
      <c r="DDV13" s="239"/>
      <c r="DDW13" s="239"/>
      <c r="DDX13" s="239"/>
      <c r="DDY13" s="239"/>
      <c r="DDZ13" s="239"/>
      <c r="DEA13" s="239"/>
      <c r="DEB13" s="239"/>
      <c r="DEC13" s="239"/>
      <c r="DED13" s="239"/>
      <c r="DEE13" s="239"/>
      <c r="DEF13" s="239"/>
      <c r="DEG13" s="239"/>
      <c r="DEH13" s="239"/>
      <c r="DEI13" s="239"/>
      <c r="DEJ13" s="239"/>
      <c r="DEK13" s="239"/>
      <c r="DEL13" s="239"/>
      <c r="DEM13" s="239"/>
      <c r="DEN13" s="239"/>
      <c r="DEO13" s="239"/>
      <c r="DEP13" s="239"/>
      <c r="DEQ13" s="239"/>
      <c r="DER13" s="239"/>
      <c r="DES13" s="239"/>
      <c r="DET13" s="239"/>
      <c r="DEU13" s="239"/>
      <c r="DEV13" s="239"/>
      <c r="DEW13" s="239"/>
      <c r="DEX13" s="239"/>
      <c r="DEY13" s="239"/>
      <c r="DEZ13" s="239"/>
      <c r="DFA13" s="239"/>
      <c r="DFB13" s="239"/>
      <c r="DFC13" s="239"/>
      <c r="DFD13" s="239"/>
      <c r="DFE13" s="239"/>
      <c r="DFF13" s="239"/>
      <c r="DFG13" s="239"/>
      <c r="DFH13" s="239"/>
      <c r="DFI13" s="239"/>
      <c r="DFJ13" s="239"/>
      <c r="DFK13" s="239"/>
      <c r="DFL13" s="239"/>
      <c r="DFM13" s="239"/>
      <c r="DFN13" s="239"/>
      <c r="DFO13" s="239"/>
      <c r="DFP13" s="239"/>
      <c r="DFQ13" s="239"/>
      <c r="DFR13" s="239"/>
      <c r="DFS13" s="239"/>
      <c r="DFT13" s="239"/>
      <c r="DFU13" s="239"/>
      <c r="DFV13" s="239"/>
      <c r="DFW13" s="239"/>
      <c r="DFX13" s="239"/>
      <c r="DFY13" s="239"/>
      <c r="DFZ13" s="239"/>
      <c r="DGA13" s="239"/>
      <c r="DGB13" s="239"/>
      <c r="DGC13" s="239"/>
      <c r="DGD13" s="239"/>
      <c r="DGE13" s="239"/>
      <c r="DGF13" s="239"/>
      <c r="DGG13" s="239"/>
      <c r="DGH13" s="239"/>
      <c r="DGI13" s="239"/>
      <c r="DGJ13" s="239"/>
      <c r="DGK13" s="239"/>
      <c r="DGL13" s="239"/>
      <c r="DGM13" s="239"/>
      <c r="DGN13" s="239"/>
      <c r="DGO13" s="239"/>
      <c r="DGP13" s="239"/>
      <c r="DGQ13" s="239"/>
      <c r="DGR13" s="239"/>
      <c r="DGS13" s="239"/>
      <c r="DGT13" s="239"/>
      <c r="DGU13" s="239"/>
      <c r="DGV13" s="239"/>
      <c r="DGW13" s="239"/>
      <c r="DGX13" s="239"/>
      <c r="DGY13" s="239"/>
      <c r="DGZ13" s="239"/>
      <c r="DHA13" s="239"/>
      <c r="DHB13" s="239"/>
      <c r="DHC13" s="239"/>
      <c r="DHD13" s="239"/>
      <c r="DHE13" s="239"/>
      <c r="DHF13" s="239"/>
      <c r="DHG13" s="239"/>
      <c r="DHH13" s="239"/>
      <c r="DHI13" s="239"/>
      <c r="DHJ13" s="239"/>
      <c r="DHK13" s="239"/>
      <c r="DHL13" s="239"/>
      <c r="DHM13" s="239"/>
      <c r="DHN13" s="239"/>
      <c r="DHO13" s="239"/>
      <c r="DHP13" s="239"/>
      <c r="DHQ13" s="239"/>
      <c r="DHR13" s="239"/>
      <c r="DHS13" s="239"/>
      <c r="DHT13" s="239"/>
      <c r="DHU13" s="239"/>
      <c r="DHV13" s="239"/>
      <c r="DHW13" s="239"/>
      <c r="DHX13" s="239"/>
      <c r="DHY13" s="239"/>
      <c r="DHZ13" s="239"/>
      <c r="DIA13" s="239"/>
      <c r="DIB13" s="239"/>
      <c r="DIC13" s="239"/>
      <c r="DID13" s="239"/>
      <c r="DIE13" s="239"/>
      <c r="DIF13" s="239"/>
      <c r="DIG13" s="239"/>
      <c r="DIH13" s="239"/>
      <c r="DII13" s="239"/>
      <c r="DIJ13" s="239"/>
      <c r="DIK13" s="239"/>
      <c r="DIL13" s="239"/>
      <c r="DIM13" s="239"/>
      <c r="DIN13" s="239"/>
      <c r="DIO13" s="239"/>
      <c r="DIP13" s="239"/>
      <c r="DIQ13" s="239"/>
      <c r="DIR13" s="239"/>
      <c r="DIS13" s="239"/>
      <c r="DIT13" s="239"/>
      <c r="DIU13" s="239"/>
      <c r="DIV13" s="239"/>
      <c r="DIW13" s="239"/>
      <c r="DIX13" s="239"/>
      <c r="DIY13" s="239"/>
      <c r="DIZ13" s="239"/>
      <c r="DJA13" s="239"/>
      <c r="DJB13" s="239"/>
      <c r="DJC13" s="239"/>
      <c r="DJD13" s="239"/>
      <c r="DJE13" s="239"/>
      <c r="DJF13" s="239"/>
      <c r="DJG13" s="239"/>
      <c r="DJH13" s="239"/>
      <c r="DJI13" s="239"/>
      <c r="DJJ13" s="239"/>
      <c r="DJK13" s="239"/>
      <c r="DJL13" s="239"/>
      <c r="DJM13" s="239"/>
      <c r="DJN13" s="239"/>
      <c r="DJO13" s="239"/>
      <c r="DJP13" s="239"/>
      <c r="DJQ13" s="239"/>
      <c r="DJR13" s="239"/>
      <c r="DJS13" s="239"/>
      <c r="DJT13" s="239"/>
      <c r="DJU13" s="239"/>
      <c r="DJV13" s="239"/>
      <c r="DJW13" s="239"/>
      <c r="DJX13" s="239"/>
      <c r="DJY13" s="239"/>
      <c r="DJZ13" s="239"/>
      <c r="DKA13" s="239"/>
      <c r="DKB13" s="239"/>
      <c r="DKC13" s="239"/>
      <c r="DKD13" s="239"/>
      <c r="DKE13" s="239"/>
      <c r="DKF13" s="239"/>
      <c r="DKG13" s="239"/>
      <c r="DKH13" s="239"/>
      <c r="DKI13" s="239"/>
      <c r="DKJ13" s="239"/>
      <c r="DKK13" s="239"/>
      <c r="DKL13" s="239"/>
      <c r="DKM13" s="239"/>
      <c r="DKN13" s="239"/>
      <c r="DKO13" s="239"/>
      <c r="DKP13" s="239"/>
      <c r="DKQ13" s="239"/>
      <c r="DKR13" s="239"/>
      <c r="DKS13" s="239"/>
      <c r="DKT13" s="239"/>
      <c r="DKU13" s="239"/>
      <c r="DKV13" s="239"/>
      <c r="DKW13" s="239"/>
      <c r="DKX13" s="239"/>
      <c r="DKY13" s="239"/>
      <c r="DKZ13" s="239"/>
      <c r="DLA13" s="239"/>
      <c r="DLB13" s="239"/>
      <c r="DLC13" s="239"/>
      <c r="DLD13" s="239"/>
      <c r="DLE13" s="239"/>
      <c r="DLF13" s="239"/>
      <c r="DLG13" s="239"/>
      <c r="DLH13" s="239"/>
      <c r="DLI13" s="239"/>
      <c r="DLJ13" s="239"/>
      <c r="DLK13" s="239"/>
      <c r="DLL13" s="239"/>
      <c r="DLM13" s="239"/>
      <c r="DLN13" s="239"/>
      <c r="DLO13" s="239"/>
      <c r="DLP13" s="239"/>
      <c r="DLQ13" s="239"/>
      <c r="DLR13" s="239"/>
      <c r="DLS13" s="239"/>
      <c r="DLT13" s="239"/>
      <c r="DLU13" s="239"/>
      <c r="DLV13" s="239"/>
      <c r="DLW13" s="239"/>
      <c r="DLX13" s="239"/>
      <c r="DLY13" s="239"/>
      <c r="DLZ13" s="239"/>
      <c r="DMA13" s="239"/>
      <c r="DMB13" s="239"/>
      <c r="DMC13" s="239"/>
      <c r="DMD13" s="239"/>
      <c r="DME13" s="239"/>
      <c r="DMF13" s="239"/>
      <c r="DMG13" s="239"/>
      <c r="DMH13" s="239"/>
      <c r="DMI13" s="239"/>
      <c r="DMJ13" s="239"/>
      <c r="DMK13" s="239"/>
      <c r="DML13" s="239"/>
      <c r="DMM13" s="239"/>
      <c r="DMN13" s="239"/>
      <c r="DMO13" s="239"/>
      <c r="DMP13" s="239"/>
      <c r="DMQ13" s="239"/>
      <c r="DMR13" s="239"/>
      <c r="DMS13" s="239"/>
      <c r="DMT13" s="239"/>
      <c r="DMU13" s="239"/>
      <c r="DMV13" s="239"/>
      <c r="DMW13" s="239"/>
      <c r="DMX13" s="239"/>
      <c r="DMY13" s="239"/>
      <c r="DMZ13" s="239"/>
      <c r="DNA13" s="239"/>
      <c r="DNB13" s="239"/>
      <c r="DNC13" s="239"/>
      <c r="DND13" s="239"/>
      <c r="DNE13" s="239"/>
      <c r="DNF13" s="239"/>
      <c r="DNG13" s="239"/>
      <c r="DNH13" s="239"/>
      <c r="DNI13" s="239"/>
      <c r="DNJ13" s="239"/>
      <c r="DNK13" s="239"/>
      <c r="DNL13" s="239"/>
      <c r="DNM13" s="239"/>
      <c r="DNN13" s="239"/>
      <c r="DNO13" s="239"/>
      <c r="DNP13" s="239"/>
      <c r="DNQ13" s="239"/>
      <c r="DNR13" s="239"/>
      <c r="DNS13" s="239"/>
      <c r="DNT13" s="239"/>
      <c r="DNU13" s="239"/>
      <c r="DNV13" s="239"/>
      <c r="DNW13" s="239"/>
      <c r="DNX13" s="239"/>
      <c r="DNY13" s="239"/>
      <c r="DNZ13" s="239"/>
      <c r="DOA13" s="239"/>
      <c r="DOB13" s="239"/>
      <c r="DOC13" s="239"/>
      <c r="DOD13" s="239"/>
      <c r="DOE13" s="239"/>
      <c r="DOF13" s="239"/>
      <c r="DOG13" s="239"/>
      <c r="DOH13" s="239"/>
      <c r="DOI13" s="239"/>
      <c r="DOJ13" s="239"/>
      <c r="DOK13" s="239"/>
      <c r="DOL13" s="239"/>
      <c r="DOM13" s="239"/>
      <c r="DON13" s="239"/>
      <c r="DOO13" s="239"/>
      <c r="DOP13" s="239"/>
      <c r="DOQ13" s="239"/>
      <c r="DOR13" s="239"/>
      <c r="DOS13" s="239"/>
      <c r="DOT13" s="239"/>
      <c r="DOU13" s="239"/>
      <c r="DOV13" s="239"/>
      <c r="DOW13" s="239"/>
      <c r="DOX13" s="239"/>
      <c r="DOY13" s="239"/>
      <c r="DOZ13" s="239"/>
      <c r="DPA13" s="239"/>
      <c r="DPB13" s="239"/>
      <c r="DPC13" s="239"/>
      <c r="DPD13" s="239"/>
      <c r="DPE13" s="239"/>
      <c r="DPF13" s="239"/>
      <c r="DPG13" s="239"/>
      <c r="DPH13" s="239"/>
      <c r="DPI13" s="239"/>
      <c r="DPJ13" s="239"/>
      <c r="DPK13" s="239"/>
      <c r="DPL13" s="239"/>
      <c r="DPM13" s="239"/>
      <c r="DPN13" s="239"/>
      <c r="DPO13" s="239"/>
      <c r="DPP13" s="239"/>
      <c r="DPQ13" s="239"/>
      <c r="DPR13" s="239"/>
      <c r="DPS13" s="239"/>
      <c r="DPT13" s="239"/>
      <c r="DPU13" s="239"/>
      <c r="DPV13" s="239"/>
      <c r="DPW13" s="239"/>
      <c r="DPX13" s="239"/>
      <c r="DPY13" s="239"/>
      <c r="DPZ13" s="239"/>
      <c r="DQA13" s="239"/>
      <c r="DQB13" s="239"/>
      <c r="DQC13" s="239"/>
      <c r="DQD13" s="239"/>
      <c r="DQE13" s="239"/>
      <c r="DQF13" s="239"/>
      <c r="DQG13" s="239"/>
      <c r="DQH13" s="239"/>
      <c r="DQI13" s="239"/>
      <c r="DQJ13" s="239"/>
      <c r="DQK13" s="239"/>
      <c r="DQL13" s="239"/>
      <c r="DQM13" s="239"/>
      <c r="DQN13" s="239"/>
      <c r="DQO13" s="239"/>
      <c r="DQP13" s="239"/>
      <c r="DQQ13" s="239"/>
      <c r="DQR13" s="239"/>
      <c r="DQS13" s="239"/>
      <c r="DQT13" s="239"/>
      <c r="DQU13" s="239"/>
      <c r="DQV13" s="239"/>
      <c r="DQW13" s="239"/>
      <c r="DQX13" s="239"/>
      <c r="DQY13" s="239"/>
      <c r="DQZ13" s="239"/>
      <c r="DRA13" s="239"/>
      <c r="DRB13" s="239"/>
      <c r="DRC13" s="239"/>
      <c r="DRD13" s="239"/>
      <c r="DRE13" s="239"/>
      <c r="DRF13" s="239"/>
      <c r="DRG13" s="239"/>
      <c r="DRH13" s="239"/>
      <c r="DRI13" s="239"/>
      <c r="DRJ13" s="239"/>
      <c r="DRK13" s="239"/>
      <c r="DRL13" s="239"/>
      <c r="DRM13" s="239"/>
      <c r="DRN13" s="239"/>
      <c r="DRO13" s="239"/>
      <c r="DRP13" s="239"/>
      <c r="DRQ13" s="239"/>
      <c r="DRR13" s="239"/>
      <c r="DRS13" s="239"/>
      <c r="DRT13" s="239"/>
      <c r="DRU13" s="239"/>
      <c r="DRV13" s="239"/>
      <c r="DRW13" s="239"/>
      <c r="DRX13" s="239"/>
      <c r="DRY13" s="239"/>
      <c r="DRZ13" s="239"/>
      <c r="DSA13" s="239"/>
      <c r="DSB13" s="239"/>
      <c r="DSC13" s="239"/>
      <c r="DSD13" s="239"/>
      <c r="DSE13" s="239"/>
      <c r="DSF13" s="239"/>
      <c r="DSG13" s="239"/>
      <c r="DSH13" s="239"/>
      <c r="DSI13" s="239"/>
      <c r="DSJ13" s="239"/>
      <c r="DSK13" s="239"/>
      <c r="DSL13" s="239"/>
      <c r="DSM13" s="239"/>
      <c r="DSN13" s="239"/>
      <c r="DSO13" s="239"/>
      <c r="DSP13" s="239"/>
      <c r="DSQ13" s="239"/>
      <c r="DSR13" s="239"/>
      <c r="DSS13" s="239"/>
      <c r="DST13" s="239"/>
      <c r="DSU13" s="239"/>
      <c r="DSV13" s="239"/>
      <c r="DSW13" s="239"/>
      <c r="DSX13" s="239"/>
      <c r="DSY13" s="239"/>
      <c r="DSZ13" s="239"/>
      <c r="DTA13" s="239"/>
      <c r="DTB13" s="239"/>
      <c r="DTC13" s="239"/>
      <c r="DTD13" s="239"/>
      <c r="DTE13" s="239"/>
      <c r="DTF13" s="239"/>
      <c r="DTG13" s="239"/>
      <c r="DTH13" s="239"/>
      <c r="DTI13" s="239"/>
      <c r="DTJ13" s="239"/>
      <c r="DTK13" s="239"/>
      <c r="DTL13" s="239"/>
      <c r="DTM13" s="239"/>
      <c r="DTN13" s="239"/>
      <c r="DTO13" s="239"/>
      <c r="DTP13" s="239"/>
      <c r="DTQ13" s="239"/>
      <c r="DTR13" s="239"/>
      <c r="DTS13" s="239"/>
      <c r="DTT13" s="239"/>
      <c r="DTU13" s="239"/>
      <c r="DTV13" s="239"/>
      <c r="DTW13" s="239"/>
      <c r="DTX13" s="239"/>
      <c r="DTY13" s="239"/>
      <c r="DTZ13" s="239"/>
      <c r="DUA13" s="239"/>
      <c r="DUB13" s="239"/>
      <c r="DUC13" s="239"/>
      <c r="DUD13" s="239"/>
      <c r="DUE13" s="239"/>
      <c r="DUF13" s="239"/>
      <c r="DUG13" s="239"/>
      <c r="DUH13" s="239"/>
      <c r="DUI13" s="239"/>
      <c r="DUJ13" s="239"/>
      <c r="DUK13" s="239"/>
      <c r="DUL13" s="239"/>
      <c r="DUM13" s="239"/>
      <c r="DUN13" s="239"/>
      <c r="DUO13" s="239"/>
      <c r="DUP13" s="239"/>
      <c r="DUQ13" s="239"/>
      <c r="DUR13" s="239"/>
      <c r="DUS13" s="239"/>
      <c r="DUT13" s="239"/>
      <c r="DUU13" s="239"/>
      <c r="DUV13" s="239"/>
      <c r="DUW13" s="239"/>
      <c r="DUX13" s="239"/>
      <c r="DUY13" s="239"/>
      <c r="DUZ13" s="239"/>
      <c r="DVA13" s="239"/>
      <c r="DVB13" s="239"/>
      <c r="DVC13" s="239"/>
      <c r="DVD13" s="239"/>
      <c r="DVE13" s="239"/>
      <c r="DVF13" s="239"/>
      <c r="DVG13" s="239"/>
      <c r="DVH13" s="239"/>
      <c r="DVI13" s="239"/>
      <c r="DVJ13" s="239"/>
      <c r="DVK13" s="239"/>
      <c r="DVL13" s="239"/>
      <c r="DVM13" s="239"/>
      <c r="DVN13" s="239"/>
      <c r="DVO13" s="239"/>
      <c r="DVP13" s="239"/>
      <c r="DVQ13" s="239"/>
      <c r="DVR13" s="239"/>
      <c r="DVS13" s="239"/>
      <c r="DVT13" s="239"/>
      <c r="DVU13" s="239"/>
      <c r="DVV13" s="239"/>
      <c r="DVW13" s="239"/>
      <c r="DVX13" s="239"/>
      <c r="DVY13" s="239"/>
      <c r="DVZ13" s="239"/>
      <c r="DWA13" s="239"/>
      <c r="DWB13" s="239"/>
      <c r="DWC13" s="239"/>
      <c r="DWD13" s="239"/>
      <c r="DWE13" s="239"/>
      <c r="DWF13" s="239"/>
      <c r="DWG13" s="239"/>
      <c r="DWH13" s="239"/>
      <c r="DWI13" s="239"/>
      <c r="DWJ13" s="239"/>
      <c r="DWK13" s="239"/>
      <c r="DWL13" s="239"/>
      <c r="DWM13" s="239"/>
      <c r="DWN13" s="239"/>
      <c r="DWO13" s="239"/>
      <c r="DWP13" s="239"/>
      <c r="DWQ13" s="239"/>
      <c r="DWR13" s="239"/>
      <c r="DWS13" s="239"/>
      <c r="DWT13" s="239"/>
      <c r="DWU13" s="239"/>
      <c r="DWV13" s="239"/>
      <c r="DWW13" s="239"/>
      <c r="DWX13" s="239"/>
      <c r="DWY13" s="239"/>
      <c r="DWZ13" s="239"/>
      <c r="DXA13" s="239"/>
      <c r="DXB13" s="239"/>
      <c r="DXC13" s="239"/>
      <c r="DXD13" s="239"/>
      <c r="DXE13" s="239"/>
      <c r="DXF13" s="239"/>
      <c r="DXG13" s="239"/>
      <c r="DXH13" s="239"/>
      <c r="DXI13" s="239"/>
      <c r="DXJ13" s="239"/>
      <c r="DXK13" s="239"/>
      <c r="DXL13" s="239"/>
      <c r="DXM13" s="239"/>
      <c r="DXN13" s="239"/>
      <c r="DXO13" s="239"/>
      <c r="DXP13" s="239"/>
      <c r="DXQ13" s="239"/>
      <c r="DXR13" s="239"/>
      <c r="DXS13" s="239"/>
      <c r="DXT13" s="239"/>
      <c r="DXU13" s="239"/>
      <c r="DXV13" s="239"/>
      <c r="DXW13" s="239"/>
      <c r="DXX13" s="239"/>
      <c r="DXY13" s="239"/>
      <c r="DXZ13" s="239"/>
      <c r="DYA13" s="239"/>
      <c r="DYB13" s="239"/>
      <c r="DYC13" s="239"/>
      <c r="DYD13" s="239"/>
      <c r="DYE13" s="239"/>
      <c r="DYF13" s="239"/>
      <c r="DYG13" s="239"/>
      <c r="DYH13" s="239"/>
      <c r="DYI13" s="239"/>
      <c r="DYJ13" s="239"/>
      <c r="DYK13" s="239"/>
      <c r="DYL13" s="239"/>
      <c r="DYM13" s="239"/>
      <c r="DYN13" s="239"/>
      <c r="DYO13" s="239"/>
      <c r="DYP13" s="239"/>
      <c r="DYQ13" s="239"/>
      <c r="DYR13" s="239"/>
      <c r="DYS13" s="239"/>
      <c r="DYT13" s="239"/>
      <c r="DYU13" s="239"/>
      <c r="DYV13" s="239"/>
      <c r="DYW13" s="239"/>
      <c r="DYX13" s="239"/>
      <c r="DYY13" s="239"/>
      <c r="DYZ13" s="239"/>
      <c r="DZA13" s="239"/>
      <c r="DZB13" s="239"/>
      <c r="DZC13" s="239"/>
      <c r="DZD13" s="239"/>
      <c r="DZE13" s="239"/>
      <c r="DZF13" s="239"/>
      <c r="DZG13" s="239"/>
      <c r="DZH13" s="239"/>
      <c r="DZI13" s="239"/>
      <c r="DZJ13" s="239"/>
      <c r="DZK13" s="239"/>
      <c r="DZL13" s="239"/>
      <c r="DZM13" s="239"/>
      <c r="DZN13" s="239"/>
      <c r="DZO13" s="239"/>
      <c r="DZP13" s="239"/>
      <c r="DZQ13" s="239"/>
      <c r="DZR13" s="239"/>
      <c r="DZS13" s="239"/>
      <c r="DZT13" s="239"/>
      <c r="DZU13" s="239"/>
      <c r="DZV13" s="239"/>
      <c r="DZW13" s="239"/>
      <c r="DZX13" s="239"/>
      <c r="DZY13" s="239"/>
      <c r="DZZ13" s="239"/>
      <c r="EAA13" s="239"/>
      <c r="EAB13" s="239"/>
      <c r="EAC13" s="239"/>
      <c r="EAD13" s="239"/>
      <c r="EAE13" s="239"/>
      <c r="EAF13" s="239"/>
      <c r="EAG13" s="239"/>
      <c r="EAH13" s="239"/>
      <c r="EAI13" s="239"/>
      <c r="EAJ13" s="239"/>
      <c r="EAK13" s="239"/>
      <c r="EAL13" s="239"/>
      <c r="EAM13" s="239"/>
      <c r="EAN13" s="239"/>
      <c r="EAO13" s="239"/>
      <c r="EAP13" s="239"/>
      <c r="EAQ13" s="239"/>
      <c r="EAR13" s="239"/>
      <c r="EAS13" s="239"/>
      <c r="EAT13" s="239"/>
      <c r="EAU13" s="239"/>
      <c r="EAV13" s="239"/>
      <c r="EAW13" s="239"/>
      <c r="EAX13" s="239"/>
      <c r="EAY13" s="239"/>
      <c r="EAZ13" s="239"/>
      <c r="EBA13" s="239"/>
      <c r="EBB13" s="239"/>
      <c r="EBC13" s="239"/>
      <c r="EBD13" s="239"/>
      <c r="EBE13" s="239"/>
      <c r="EBF13" s="239"/>
      <c r="EBG13" s="239"/>
      <c r="EBH13" s="239"/>
      <c r="EBI13" s="239"/>
      <c r="EBJ13" s="239"/>
      <c r="EBK13" s="239"/>
      <c r="EBL13" s="239"/>
      <c r="EBM13" s="239"/>
      <c r="EBN13" s="239"/>
      <c r="EBO13" s="239"/>
      <c r="EBP13" s="239"/>
      <c r="EBQ13" s="239"/>
      <c r="EBR13" s="239"/>
      <c r="EBS13" s="239"/>
      <c r="EBT13" s="239"/>
      <c r="EBU13" s="239"/>
      <c r="EBV13" s="239"/>
      <c r="EBW13" s="239"/>
      <c r="EBX13" s="239"/>
      <c r="EBY13" s="239"/>
      <c r="EBZ13" s="239"/>
      <c r="ECA13" s="239"/>
      <c r="ECB13" s="239"/>
      <c r="ECC13" s="239"/>
      <c r="ECD13" s="239"/>
      <c r="ECE13" s="239"/>
      <c r="ECF13" s="239"/>
      <c r="ECG13" s="239"/>
      <c r="ECH13" s="239"/>
      <c r="ECI13" s="239"/>
      <c r="ECJ13" s="239"/>
      <c r="ECK13" s="239"/>
      <c r="ECL13" s="239"/>
      <c r="ECM13" s="239"/>
      <c r="ECN13" s="239"/>
      <c r="ECO13" s="239"/>
      <c r="ECP13" s="239"/>
      <c r="ECQ13" s="239"/>
      <c r="ECR13" s="239"/>
      <c r="ECS13" s="239"/>
      <c r="ECT13" s="239"/>
      <c r="ECU13" s="239"/>
      <c r="ECV13" s="239"/>
      <c r="ECW13" s="239"/>
      <c r="ECX13" s="239"/>
      <c r="ECY13" s="239"/>
      <c r="ECZ13" s="239"/>
      <c r="EDA13" s="239"/>
      <c r="EDB13" s="239"/>
      <c r="EDC13" s="239"/>
      <c r="EDD13" s="239"/>
      <c r="EDE13" s="239"/>
      <c r="EDF13" s="239"/>
      <c r="EDG13" s="239"/>
      <c r="EDH13" s="239"/>
      <c r="EDI13" s="239"/>
      <c r="EDJ13" s="239"/>
      <c r="EDK13" s="239"/>
      <c r="EDL13" s="239"/>
      <c r="EDM13" s="239"/>
      <c r="EDN13" s="239"/>
      <c r="EDO13" s="239"/>
      <c r="EDP13" s="239"/>
      <c r="EDQ13" s="239"/>
      <c r="EDR13" s="239"/>
      <c r="EDS13" s="239"/>
      <c r="EDT13" s="239"/>
      <c r="EDU13" s="239"/>
      <c r="EDV13" s="239"/>
      <c r="EDW13" s="239"/>
      <c r="EDX13" s="239"/>
      <c r="EDY13" s="239"/>
      <c r="EDZ13" s="239"/>
      <c r="EEA13" s="239"/>
      <c r="EEB13" s="239"/>
      <c r="EEC13" s="239"/>
      <c r="EED13" s="239"/>
      <c r="EEE13" s="239"/>
      <c r="EEF13" s="239"/>
      <c r="EEG13" s="239"/>
      <c r="EEH13" s="239"/>
      <c r="EEI13" s="239"/>
      <c r="EEJ13" s="239"/>
      <c r="EEK13" s="239"/>
      <c r="EEL13" s="239"/>
      <c r="EEM13" s="239"/>
      <c r="EEN13" s="239"/>
      <c r="EEO13" s="239"/>
      <c r="EEP13" s="239"/>
      <c r="EEQ13" s="239"/>
      <c r="EER13" s="239"/>
      <c r="EES13" s="239"/>
      <c r="EET13" s="239"/>
      <c r="EEU13" s="239"/>
      <c r="EEV13" s="239"/>
      <c r="EEW13" s="239"/>
      <c r="EEX13" s="239"/>
      <c r="EEY13" s="239"/>
      <c r="EEZ13" s="239"/>
      <c r="EFA13" s="239"/>
      <c r="EFB13" s="239"/>
      <c r="EFC13" s="239"/>
      <c r="EFD13" s="239"/>
      <c r="EFE13" s="239"/>
      <c r="EFF13" s="239"/>
      <c r="EFG13" s="239"/>
      <c r="EFH13" s="239"/>
      <c r="EFI13" s="239"/>
      <c r="EFJ13" s="239"/>
      <c r="EFK13" s="239"/>
      <c r="EFL13" s="239"/>
      <c r="EFM13" s="239"/>
      <c r="EFN13" s="239"/>
      <c r="EFO13" s="239"/>
      <c r="EFP13" s="239"/>
      <c r="EFQ13" s="239"/>
      <c r="EFR13" s="239"/>
      <c r="EFS13" s="239"/>
      <c r="EFT13" s="239"/>
      <c r="EFU13" s="239"/>
      <c r="EFV13" s="239"/>
      <c r="EFW13" s="239"/>
      <c r="EFX13" s="239"/>
      <c r="EFY13" s="239"/>
      <c r="EFZ13" s="239"/>
      <c r="EGA13" s="239"/>
      <c r="EGB13" s="239"/>
      <c r="EGC13" s="239"/>
      <c r="EGD13" s="239"/>
      <c r="EGE13" s="239"/>
      <c r="EGF13" s="239"/>
      <c r="EGG13" s="239"/>
      <c r="EGH13" s="239"/>
      <c r="EGI13" s="239"/>
      <c r="EGJ13" s="239"/>
      <c r="EGK13" s="239"/>
      <c r="EGL13" s="239"/>
      <c r="EGM13" s="239"/>
      <c r="EGN13" s="239"/>
      <c r="EGO13" s="239"/>
      <c r="EGP13" s="239"/>
      <c r="EGQ13" s="239"/>
      <c r="EGR13" s="239"/>
      <c r="EGS13" s="239"/>
      <c r="EGT13" s="239"/>
      <c r="EGU13" s="239"/>
      <c r="EGV13" s="239"/>
      <c r="EGW13" s="239"/>
      <c r="EGX13" s="239"/>
      <c r="EGY13" s="239"/>
      <c r="EGZ13" s="239"/>
      <c r="EHA13" s="239"/>
      <c r="EHB13" s="239"/>
      <c r="EHC13" s="239"/>
      <c r="EHD13" s="239"/>
      <c r="EHE13" s="239"/>
      <c r="EHF13" s="239"/>
      <c r="EHG13" s="239"/>
      <c r="EHH13" s="239"/>
      <c r="EHI13" s="239"/>
      <c r="EHJ13" s="239"/>
      <c r="EHK13" s="239"/>
      <c r="EHL13" s="239"/>
      <c r="EHM13" s="239"/>
      <c r="EHN13" s="239"/>
      <c r="EHO13" s="239"/>
      <c r="EHP13" s="239"/>
      <c r="EHQ13" s="239"/>
      <c r="EHR13" s="239"/>
      <c r="EHS13" s="239"/>
      <c r="EHT13" s="239"/>
      <c r="EHU13" s="239"/>
      <c r="EHV13" s="239"/>
      <c r="EHW13" s="239"/>
      <c r="EHX13" s="239"/>
      <c r="EHY13" s="239"/>
      <c r="EHZ13" s="239"/>
      <c r="EIA13" s="239"/>
      <c r="EIB13" s="239"/>
      <c r="EIC13" s="239"/>
      <c r="EID13" s="239"/>
      <c r="EIE13" s="239"/>
      <c r="EIF13" s="239"/>
      <c r="EIG13" s="239"/>
      <c r="EIH13" s="239"/>
      <c r="EII13" s="239"/>
      <c r="EIJ13" s="239"/>
      <c r="EIK13" s="239"/>
      <c r="EIL13" s="239"/>
      <c r="EIM13" s="239"/>
      <c r="EIN13" s="239"/>
      <c r="EIO13" s="239"/>
      <c r="EIP13" s="239"/>
      <c r="EIQ13" s="239"/>
      <c r="EIR13" s="239"/>
      <c r="EIS13" s="239"/>
      <c r="EIT13" s="239"/>
      <c r="EIU13" s="239"/>
      <c r="EIV13" s="239"/>
      <c r="EIW13" s="239"/>
      <c r="EIX13" s="239"/>
      <c r="EIY13" s="239"/>
      <c r="EIZ13" s="239"/>
      <c r="EJA13" s="239"/>
      <c r="EJB13" s="239"/>
      <c r="EJC13" s="239"/>
      <c r="EJD13" s="239"/>
      <c r="EJE13" s="239"/>
      <c r="EJF13" s="239"/>
      <c r="EJG13" s="239"/>
      <c r="EJH13" s="239"/>
      <c r="EJI13" s="239"/>
      <c r="EJJ13" s="239"/>
      <c r="EJK13" s="239"/>
      <c r="EJL13" s="239"/>
      <c r="EJM13" s="239"/>
      <c r="EJN13" s="239"/>
      <c r="EJO13" s="239"/>
      <c r="EJP13" s="239"/>
      <c r="EJQ13" s="239"/>
      <c r="EJR13" s="239"/>
      <c r="EJS13" s="239"/>
      <c r="EJT13" s="239"/>
      <c r="EJU13" s="239"/>
      <c r="EJV13" s="239"/>
      <c r="EJW13" s="239"/>
      <c r="EJX13" s="239"/>
      <c r="EJY13" s="239"/>
      <c r="EJZ13" s="239"/>
      <c r="EKA13" s="239"/>
      <c r="EKB13" s="239"/>
      <c r="EKC13" s="239"/>
      <c r="EKD13" s="239"/>
      <c r="EKE13" s="239"/>
      <c r="EKF13" s="239"/>
      <c r="EKG13" s="239"/>
      <c r="EKH13" s="239"/>
      <c r="EKI13" s="239"/>
      <c r="EKJ13" s="239"/>
      <c r="EKK13" s="239"/>
      <c r="EKL13" s="239"/>
      <c r="EKM13" s="239"/>
      <c r="EKN13" s="239"/>
      <c r="EKO13" s="239"/>
      <c r="EKP13" s="239"/>
      <c r="EKQ13" s="239"/>
      <c r="EKR13" s="239"/>
      <c r="EKS13" s="239"/>
      <c r="EKT13" s="239"/>
      <c r="EKU13" s="239"/>
      <c r="EKV13" s="239"/>
      <c r="EKW13" s="239"/>
      <c r="EKX13" s="239"/>
      <c r="EKY13" s="239"/>
      <c r="EKZ13" s="239"/>
      <c r="ELA13" s="239"/>
      <c r="ELB13" s="239"/>
      <c r="ELC13" s="239"/>
      <c r="ELD13" s="239"/>
      <c r="ELE13" s="239"/>
      <c r="ELF13" s="239"/>
      <c r="ELG13" s="239"/>
      <c r="ELH13" s="239"/>
      <c r="ELI13" s="239"/>
      <c r="ELJ13" s="239"/>
      <c r="ELK13" s="239"/>
      <c r="ELL13" s="239"/>
      <c r="ELM13" s="239"/>
      <c r="ELN13" s="239"/>
      <c r="ELO13" s="239"/>
      <c r="ELP13" s="239"/>
      <c r="ELQ13" s="239"/>
      <c r="ELR13" s="239"/>
      <c r="ELS13" s="239"/>
      <c r="ELT13" s="239"/>
      <c r="ELU13" s="239"/>
      <c r="ELV13" s="239"/>
      <c r="ELW13" s="239"/>
      <c r="ELX13" s="239"/>
      <c r="ELY13" s="239"/>
      <c r="ELZ13" s="239"/>
      <c r="EMA13" s="239"/>
      <c r="EMB13" s="239"/>
      <c r="EMC13" s="239"/>
      <c r="EMD13" s="239"/>
      <c r="EME13" s="239"/>
      <c r="EMF13" s="239"/>
      <c r="EMG13" s="239"/>
      <c r="EMH13" s="239"/>
      <c r="EMI13" s="239"/>
      <c r="EMJ13" s="239"/>
      <c r="EMK13" s="239"/>
      <c r="EML13" s="239"/>
      <c r="EMM13" s="239"/>
      <c r="EMN13" s="239"/>
      <c r="EMO13" s="239"/>
      <c r="EMP13" s="239"/>
      <c r="EMQ13" s="239"/>
      <c r="EMR13" s="239"/>
      <c r="EMS13" s="239"/>
      <c r="EMT13" s="239"/>
      <c r="EMU13" s="239"/>
      <c r="EMV13" s="239"/>
      <c r="EMW13" s="239"/>
      <c r="EMX13" s="239"/>
      <c r="EMY13" s="239"/>
      <c r="EMZ13" s="239"/>
      <c r="ENA13" s="239"/>
      <c r="ENB13" s="239"/>
      <c r="ENC13" s="239"/>
      <c r="END13" s="239"/>
      <c r="ENE13" s="239"/>
      <c r="ENF13" s="239"/>
      <c r="ENG13" s="239"/>
      <c r="ENH13" s="239"/>
      <c r="ENI13" s="239"/>
      <c r="ENJ13" s="239"/>
      <c r="ENK13" s="239"/>
      <c r="ENL13" s="239"/>
      <c r="ENM13" s="239"/>
      <c r="ENN13" s="239"/>
      <c r="ENO13" s="239"/>
      <c r="ENP13" s="239"/>
      <c r="ENQ13" s="239"/>
      <c r="ENR13" s="239"/>
      <c r="ENS13" s="239"/>
      <c r="ENT13" s="239"/>
      <c r="ENU13" s="239"/>
      <c r="ENV13" s="239"/>
      <c r="ENW13" s="239"/>
      <c r="ENX13" s="239"/>
      <c r="ENY13" s="239"/>
      <c r="ENZ13" s="239"/>
      <c r="EOA13" s="239"/>
      <c r="EOB13" s="239"/>
      <c r="EOC13" s="239"/>
      <c r="EOD13" s="239"/>
      <c r="EOE13" s="239"/>
      <c r="EOF13" s="239"/>
      <c r="EOG13" s="239"/>
      <c r="EOH13" s="239"/>
      <c r="EOI13" s="239"/>
      <c r="EOJ13" s="239"/>
      <c r="EOK13" s="239"/>
      <c r="EOL13" s="239"/>
      <c r="EOM13" s="239"/>
      <c r="EON13" s="239"/>
      <c r="EOO13" s="239"/>
      <c r="EOP13" s="239"/>
      <c r="EOQ13" s="239"/>
      <c r="EOR13" s="239"/>
      <c r="EOS13" s="239"/>
      <c r="EOT13" s="239"/>
      <c r="EOU13" s="239"/>
      <c r="EOV13" s="239"/>
      <c r="EOW13" s="239"/>
      <c r="EOX13" s="239"/>
      <c r="EOY13" s="239"/>
      <c r="EOZ13" s="239"/>
      <c r="EPA13" s="239"/>
      <c r="EPB13" s="239"/>
      <c r="EPC13" s="239"/>
      <c r="EPD13" s="239"/>
      <c r="EPE13" s="239"/>
      <c r="EPF13" s="239"/>
      <c r="EPG13" s="239"/>
      <c r="EPH13" s="239"/>
      <c r="EPI13" s="239"/>
      <c r="EPJ13" s="239"/>
      <c r="EPK13" s="239"/>
      <c r="EPL13" s="239"/>
      <c r="EPM13" s="239"/>
      <c r="EPN13" s="239"/>
      <c r="EPO13" s="239"/>
      <c r="EPP13" s="239"/>
      <c r="EPQ13" s="239"/>
      <c r="EPR13" s="239"/>
      <c r="EPS13" s="239"/>
      <c r="EPT13" s="239"/>
      <c r="EPU13" s="239"/>
      <c r="EPV13" s="239"/>
      <c r="EPW13" s="239"/>
      <c r="EPX13" s="239"/>
      <c r="EPY13" s="239"/>
      <c r="EPZ13" s="239"/>
      <c r="EQA13" s="239"/>
      <c r="EQB13" s="239"/>
      <c r="EQC13" s="239"/>
      <c r="EQD13" s="239"/>
      <c r="EQE13" s="239"/>
      <c r="EQF13" s="239"/>
      <c r="EQG13" s="239"/>
      <c r="EQH13" s="239"/>
      <c r="EQI13" s="239"/>
      <c r="EQJ13" s="239"/>
      <c r="EQK13" s="239"/>
      <c r="EQL13" s="239"/>
      <c r="EQM13" s="239"/>
      <c r="EQN13" s="239"/>
      <c r="EQO13" s="239"/>
      <c r="EQP13" s="239"/>
      <c r="EQQ13" s="239"/>
      <c r="EQR13" s="239"/>
      <c r="EQS13" s="239"/>
      <c r="EQT13" s="239"/>
      <c r="EQU13" s="239"/>
      <c r="EQV13" s="239"/>
      <c r="EQW13" s="239"/>
      <c r="EQX13" s="239"/>
      <c r="EQY13" s="239"/>
      <c r="EQZ13" s="239"/>
      <c r="ERA13" s="239"/>
      <c r="ERB13" s="239"/>
      <c r="ERC13" s="239"/>
      <c r="ERD13" s="239"/>
      <c r="ERE13" s="239"/>
      <c r="ERF13" s="239"/>
      <c r="ERG13" s="239"/>
      <c r="ERH13" s="239"/>
      <c r="ERI13" s="239"/>
      <c r="ERJ13" s="239"/>
      <c r="ERK13" s="239"/>
      <c r="ERL13" s="239"/>
      <c r="ERM13" s="239"/>
      <c r="ERN13" s="239"/>
      <c r="ERO13" s="239"/>
      <c r="ERP13" s="239"/>
      <c r="ERQ13" s="239"/>
      <c r="ERR13" s="239"/>
      <c r="ERS13" s="239"/>
      <c r="ERT13" s="239"/>
      <c r="ERU13" s="239"/>
      <c r="ERV13" s="239"/>
      <c r="ERW13" s="239"/>
      <c r="ERX13" s="239"/>
      <c r="ERY13" s="239"/>
      <c r="ERZ13" s="239"/>
      <c r="ESA13" s="239"/>
      <c r="ESB13" s="239"/>
      <c r="ESC13" s="239"/>
      <c r="ESD13" s="239"/>
      <c r="ESE13" s="239"/>
      <c r="ESF13" s="239"/>
      <c r="ESG13" s="239"/>
      <c r="ESH13" s="239"/>
      <c r="ESI13" s="239"/>
      <c r="ESJ13" s="239"/>
      <c r="ESK13" s="239"/>
      <c r="ESL13" s="239"/>
      <c r="ESM13" s="239"/>
      <c r="ESN13" s="239"/>
      <c r="ESO13" s="239"/>
      <c r="ESP13" s="239"/>
      <c r="ESQ13" s="239"/>
      <c r="ESR13" s="239"/>
      <c r="ESS13" s="239"/>
      <c r="EST13" s="239"/>
      <c r="ESU13" s="239"/>
      <c r="ESV13" s="239"/>
      <c r="ESW13" s="239"/>
      <c r="ESX13" s="239"/>
      <c r="ESY13" s="239"/>
      <c r="ESZ13" s="239"/>
      <c r="ETA13" s="239"/>
      <c r="ETB13" s="239"/>
      <c r="ETC13" s="239"/>
      <c r="ETD13" s="239"/>
      <c r="ETE13" s="239"/>
      <c r="ETF13" s="239"/>
      <c r="ETG13" s="239"/>
      <c r="ETH13" s="239"/>
      <c r="ETI13" s="239"/>
      <c r="ETJ13" s="239"/>
      <c r="ETK13" s="239"/>
      <c r="ETL13" s="239"/>
      <c r="ETM13" s="239"/>
      <c r="ETN13" s="239"/>
      <c r="ETO13" s="239"/>
      <c r="ETP13" s="239"/>
      <c r="ETQ13" s="239"/>
      <c r="ETR13" s="239"/>
      <c r="ETS13" s="239"/>
      <c r="ETT13" s="239"/>
      <c r="ETU13" s="239"/>
      <c r="ETV13" s="239"/>
      <c r="ETW13" s="239"/>
      <c r="ETX13" s="239"/>
      <c r="ETY13" s="239"/>
      <c r="ETZ13" s="239"/>
      <c r="EUA13" s="239"/>
      <c r="EUB13" s="239"/>
      <c r="EUC13" s="239"/>
      <c r="EUD13" s="239"/>
      <c r="EUE13" s="239"/>
      <c r="EUF13" s="239"/>
      <c r="EUG13" s="239"/>
      <c r="EUH13" s="239"/>
      <c r="EUI13" s="239"/>
      <c r="EUJ13" s="239"/>
      <c r="EUK13" s="239"/>
      <c r="EUL13" s="239"/>
      <c r="EUM13" s="239"/>
      <c r="EUN13" s="239"/>
      <c r="EUO13" s="239"/>
      <c r="EUP13" s="239"/>
      <c r="EUQ13" s="239"/>
      <c r="EUR13" s="239"/>
      <c r="EUS13" s="239"/>
      <c r="EUT13" s="239"/>
      <c r="EUU13" s="239"/>
      <c r="EUV13" s="239"/>
      <c r="EUW13" s="239"/>
      <c r="EUX13" s="239"/>
      <c r="EUY13" s="239"/>
      <c r="EUZ13" s="239"/>
      <c r="EVA13" s="239"/>
      <c r="EVB13" s="239"/>
      <c r="EVC13" s="239"/>
      <c r="EVD13" s="239"/>
      <c r="EVE13" s="239"/>
      <c r="EVF13" s="239"/>
      <c r="EVG13" s="239"/>
      <c r="EVH13" s="239"/>
      <c r="EVI13" s="239"/>
      <c r="EVJ13" s="239"/>
      <c r="EVK13" s="239"/>
      <c r="EVL13" s="239"/>
      <c r="EVM13" s="239"/>
      <c r="EVN13" s="239"/>
      <c r="EVO13" s="239"/>
      <c r="EVP13" s="239"/>
      <c r="EVQ13" s="239"/>
      <c r="EVR13" s="239"/>
      <c r="EVS13" s="239"/>
      <c r="EVT13" s="239"/>
      <c r="EVU13" s="239"/>
      <c r="EVV13" s="239"/>
      <c r="EVW13" s="239"/>
      <c r="EVX13" s="239"/>
      <c r="EVY13" s="239"/>
      <c r="EVZ13" s="239"/>
      <c r="EWA13" s="239"/>
      <c r="EWB13" s="239"/>
      <c r="EWC13" s="239"/>
      <c r="EWD13" s="239"/>
      <c r="EWE13" s="239"/>
      <c r="EWF13" s="239"/>
      <c r="EWG13" s="239"/>
      <c r="EWH13" s="239"/>
      <c r="EWI13" s="239"/>
      <c r="EWJ13" s="239"/>
      <c r="EWK13" s="239"/>
      <c r="EWL13" s="239"/>
      <c r="EWM13" s="239"/>
      <c r="EWN13" s="239"/>
      <c r="EWO13" s="239"/>
      <c r="EWP13" s="239"/>
      <c r="EWQ13" s="239"/>
      <c r="EWR13" s="239"/>
      <c r="EWS13" s="239"/>
      <c r="EWT13" s="239"/>
      <c r="EWU13" s="239"/>
      <c r="EWV13" s="239"/>
      <c r="EWW13" s="239"/>
      <c r="EWX13" s="239"/>
      <c r="EWY13" s="239"/>
      <c r="EWZ13" s="239"/>
      <c r="EXA13" s="239"/>
      <c r="EXB13" s="239"/>
      <c r="EXC13" s="239"/>
      <c r="EXD13" s="239"/>
      <c r="EXE13" s="239"/>
      <c r="EXF13" s="239"/>
      <c r="EXG13" s="239"/>
      <c r="EXH13" s="239"/>
      <c r="EXI13" s="239"/>
      <c r="EXJ13" s="239"/>
      <c r="EXK13" s="239"/>
      <c r="EXL13" s="239"/>
      <c r="EXM13" s="239"/>
      <c r="EXN13" s="239"/>
      <c r="EXO13" s="239"/>
      <c r="EXP13" s="239"/>
      <c r="EXQ13" s="239"/>
      <c r="EXR13" s="239"/>
      <c r="EXS13" s="239"/>
      <c r="EXT13" s="239"/>
      <c r="EXU13" s="239"/>
      <c r="EXV13" s="239"/>
      <c r="EXW13" s="239"/>
      <c r="EXX13" s="239"/>
      <c r="EXY13" s="239"/>
      <c r="EXZ13" s="239"/>
      <c r="EYA13" s="239"/>
      <c r="EYB13" s="239"/>
      <c r="EYC13" s="239"/>
      <c r="EYD13" s="239"/>
      <c r="EYE13" s="239"/>
      <c r="EYF13" s="239"/>
      <c r="EYG13" s="239"/>
      <c r="EYH13" s="239"/>
      <c r="EYI13" s="239"/>
      <c r="EYJ13" s="239"/>
      <c r="EYK13" s="239"/>
      <c r="EYL13" s="239"/>
      <c r="EYM13" s="239"/>
      <c r="EYN13" s="239"/>
      <c r="EYO13" s="239"/>
      <c r="EYP13" s="239"/>
      <c r="EYQ13" s="239"/>
      <c r="EYR13" s="239"/>
      <c r="EYS13" s="239"/>
      <c r="EYT13" s="239"/>
      <c r="EYU13" s="239"/>
      <c r="EYV13" s="239"/>
      <c r="EYW13" s="239"/>
      <c r="EYX13" s="239"/>
      <c r="EYY13" s="239"/>
      <c r="EYZ13" s="239"/>
      <c r="EZA13" s="239"/>
      <c r="EZB13" s="239"/>
      <c r="EZC13" s="239"/>
      <c r="EZD13" s="239"/>
      <c r="EZE13" s="239"/>
      <c r="EZF13" s="239"/>
      <c r="EZG13" s="239"/>
      <c r="EZH13" s="239"/>
      <c r="EZI13" s="239"/>
      <c r="EZJ13" s="239"/>
      <c r="EZK13" s="239"/>
      <c r="EZL13" s="239"/>
      <c r="EZM13" s="239"/>
      <c r="EZN13" s="239"/>
      <c r="EZO13" s="239"/>
      <c r="EZP13" s="239"/>
      <c r="EZQ13" s="239"/>
      <c r="EZR13" s="239"/>
      <c r="EZS13" s="239"/>
      <c r="EZT13" s="239"/>
      <c r="EZU13" s="239"/>
      <c r="EZV13" s="239"/>
      <c r="EZW13" s="239"/>
      <c r="EZX13" s="239"/>
      <c r="EZY13" s="239"/>
      <c r="EZZ13" s="239"/>
      <c r="FAA13" s="239"/>
      <c r="FAB13" s="239"/>
      <c r="FAC13" s="239"/>
      <c r="FAD13" s="239"/>
      <c r="FAE13" s="239"/>
      <c r="FAF13" s="239"/>
      <c r="FAG13" s="239"/>
      <c r="FAH13" s="239"/>
      <c r="FAI13" s="239"/>
      <c r="FAJ13" s="239"/>
      <c r="FAK13" s="239"/>
      <c r="FAL13" s="239"/>
      <c r="FAM13" s="239"/>
      <c r="FAN13" s="239"/>
      <c r="FAO13" s="239"/>
      <c r="FAP13" s="239"/>
      <c r="FAQ13" s="239"/>
      <c r="FAR13" s="239"/>
      <c r="FAS13" s="239"/>
      <c r="FAT13" s="239"/>
      <c r="FAU13" s="239"/>
      <c r="FAV13" s="239"/>
      <c r="FAW13" s="239"/>
      <c r="FAX13" s="239"/>
      <c r="FAY13" s="239"/>
      <c r="FAZ13" s="239"/>
      <c r="FBA13" s="239"/>
      <c r="FBB13" s="239"/>
      <c r="FBC13" s="239"/>
      <c r="FBD13" s="239"/>
      <c r="FBE13" s="239"/>
      <c r="FBF13" s="239"/>
      <c r="FBG13" s="239"/>
      <c r="FBH13" s="239"/>
      <c r="FBI13" s="239"/>
      <c r="FBJ13" s="239"/>
      <c r="FBK13" s="239"/>
      <c r="FBL13" s="239"/>
      <c r="FBM13" s="239"/>
      <c r="FBN13" s="239"/>
      <c r="FBO13" s="239"/>
      <c r="FBP13" s="239"/>
      <c r="FBQ13" s="239"/>
      <c r="FBR13" s="239"/>
      <c r="FBS13" s="239"/>
      <c r="FBT13" s="239"/>
      <c r="FBU13" s="239"/>
      <c r="FBV13" s="239"/>
      <c r="FBW13" s="239"/>
      <c r="FBX13" s="239"/>
      <c r="FBY13" s="239"/>
      <c r="FBZ13" s="239"/>
      <c r="FCA13" s="239"/>
      <c r="FCB13" s="239"/>
      <c r="FCC13" s="239"/>
      <c r="FCD13" s="239"/>
      <c r="FCE13" s="239"/>
      <c r="FCF13" s="239"/>
      <c r="FCG13" s="239"/>
      <c r="FCH13" s="239"/>
      <c r="FCI13" s="239"/>
      <c r="FCJ13" s="239"/>
      <c r="FCK13" s="239"/>
      <c r="FCL13" s="239"/>
      <c r="FCM13" s="239"/>
      <c r="FCN13" s="239"/>
      <c r="FCO13" s="239"/>
      <c r="FCP13" s="239"/>
      <c r="FCQ13" s="239"/>
      <c r="FCR13" s="239"/>
      <c r="FCS13" s="239"/>
      <c r="FCT13" s="239"/>
      <c r="FCU13" s="239"/>
      <c r="FCV13" s="239"/>
      <c r="FCW13" s="239"/>
      <c r="FCX13" s="239"/>
      <c r="FCY13" s="239"/>
      <c r="FCZ13" s="239"/>
      <c r="FDA13" s="239"/>
      <c r="FDB13" s="239"/>
      <c r="FDC13" s="239"/>
      <c r="FDD13" s="239"/>
      <c r="FDE13" s="239"/>
      <c r="FDF13" s="239"/>
      <c r="FDG13" s="239"/>
      <c r="FDH13" s="239"/>
      <c r="FDI13" s="239"/>
      <c r="FDJ13" s="239"/>
      <c r="FDK13" s="239"/>
      <c r="FDL13" s="239"/>
      <c r="FDM13" s="239"/>
      <c r="FDN13" s="239"/>
      <c r="FDO13" s="239"/>
      <c r="FDP13" s="239"/>
      <c r="FDQ13" s="239"/>
      <c r="FDR13" s="239"/>
      <c r="FDS13" s="239"/>
      <c r="FDT13" s="239"/>
      <c r="FDU13" s="239"/>
      <c r="FDV13" s="239"/>
      <c r="FDW13" s="239"/>
      <c r="FDX13" s="239"/>
      <c r="FDY13" s="239"/>
      <c r="FDZ13" s="239"/>
      <c r="FEA13" s="239"/>
      <c r="FEB13" s="239"/>
      <c r="FEC13" s="239"/>
      <c r="FED13" s="239"/>
      <c r="FEE13" s="239"/>
      <c r="FEF13" s="239"/>
      <c r="FEG13" s="239"/>
      <c r="FEH13" s="239"/>
      <c r="FEI13" s="239"/>
      <c r="FEJ13" s="239"/>
      <c r="FEK13" s="239"/>
      <c r="FEL13" s="239"/>
      <c r="FEM13" s="239"/>
      <c r="FEN13" s="239"/>
      <c r="FEO13" s="239"/>
      <c r="FEP13" s="239"/>
      <c r="FEQ13" s="239"/>
      <c r="FER13" s="239"/>
      <c r="FES13" s="239"/>
      <c r="FET13" s="239"/>
      <c r="FEU13" s="239"/>
      <c r="FEV13" s="239"/>
      <c r="FEW13" s="239"/>
      <c r="FEX13" s="239"/>
      <c r="FEY13" s="239"/>
      <c r="FEZ13" s="239"/>
      <c r="FFA13" s="239"/>
      <c r="FFB13" s="239"/>
      <c r="FFC13" s="239"/>
      <c r="FFD13" s="239"/>
      <c r="FFE13" s="239"/>
      <c r="FFF13" s="239"/>
      <c r="FFG13" s="239"/>
      <c r="FFH13" s="239"/>
      <c r="FFI13" s="239"/>
      <c r="FFJ13" s="239"/>
      <c r="FFK13" s="239"/>
      <c r="FFL13" s="239"/>
      <c r="FFM13" s="239"/>
      <c r="FFN13" s="239"/>
      <c r="FFO13" s="239"/>
      <c r="FFP13" s="239"/>
      <c r="FFQ13" s="239"/>
      <c r="FFR13" s="239"/>
      <c r="FFS13" s="239"/>
      <c r="FFT13" s="239"/>
      <c r="FFU13" s="239"/>
      <c r="FFV13" s="239"/>
      <c r="FFW13" s="239"/>
      <c r="FFX13" s="239"/>
      <c r="FFY13" s="239"/>
      <c r="FFZ13" s="239"/>
      <c r="FGA13" s="239"/>
      <c r="FGB13" s="239"/>
      <c r="FGC13" s="239"/>
      <c r="FGD13" s="239"/>
      <c r="FGE13" s="239"/>
      <c r="FGF13" s="239"/>
      <c r="FGG13" s="239"/>
      <c r="FGH13" s="239"/>
      <c r="FGI13" s="239"/>
      <c r="FGJ13" s="239"/>
      <c r="FGK13" s="239"/>
      <c r="FGL13" s="239"/>
      <c r="FGM13" s="239"/>
      <c r="FGN13" s="239"/>
      <c r="FGO13" s="239"/>
      <c r="FGP13" s="239"/>
      <c r="FGQ13" s="239"/>
      <c r="FGR13" s="239"/>
      <c r="FGS13" s="239"/>
      <c r="FGT13" s="239"/>
      <c r="FGU13" s="239"/>
      <c r="FGV13" s="239"/>
      <c r="FGW13" s="239"/>
      <c r="FGX13" s="239"/>
      <c r="FGY13" s="239"/>
      <c r="FGZ13" s="239"/>
      <c r="FHA13" s="239"/>
      <c r="FHB13" s="239"/>
      <c r="FHC13" s="239"/>
      <c r="FHD13" s="239"/>
      <c r="FHE13" s="239"/>
      <c r="FHF13" s="239"/>
      <c r="FHG13" s="239"/>
      <c r="FHH13" s="239"/>
      <c r="FHI13" s="239"/>
      <c r="FHJ13" s="239"/>
      <c r="FHK13" s="239"/>
      <c r="FHL13" s="239"/>
      <c r="FHM13" s="239"/>
      <c r="FHN13" s="239"/>
      <c r="FHO13" s="239"/>
      <c r="FHP13" s="239"/>
      <c r="FHQ13" s="239"/>
      <c r="FHR13" s="239"/>
      <c r="FHS13" s="239"/>
      <c r="FHT13" s="239"/>
      <c r="FHU13" s="239"/>
      <c r="FHV13" s="239"/>
      <c r="FHW13" s="239"/>
      <c r="FHX13" s="239"/>
      <c r="FHY13" s="239"/>
      <c r="FHZ13" s="239"/>
      <c r="FIA13" s="239"/>
      <c r="FIB13" s="239"/>
      <c r="FIC13" s="239"/>
      <c r="FID13" s="239"/>
      <c r="FIE13" s="239"/>
      <c r="FIF13" s="239"/>
      <c r="FIG13" s="239"/>
      <c r="FIH13" s="239"/>
      <c r="FII13" s="239"/>
      <c r="FIJ13" s="239"/>
      <c r="FIK13" s="239"/>
      <c r="FIL13" s="239"/>
      <c r="FIM13" s="239"/>
      <c r="FIN13" s="239"/>
      <c r="FIO13" s="239"/>
      <c r="FIP13" s="239"/>
      <c r="FIQ13" s="239"/>
      <c r="FIR13" s="239"/>
      <c r="FIS13" s="239"/>
      <c r="FIT13" s="239"/>
      <c r="FIU13" s="239"/>
      <c r="FIV13" s="239"/>
      <c r="FIW13" s="239"/>
      <c r="FIX13" s="239"/>
      <c r="FIY13" s="239"/>
      <c r="FIZ13" s="239"/>
      <c r="FJA13" s="239"/>
      <c r="FJB13" s="239"/>
      <c r="FJC13" s="239"/>
      <c r="FJD13" s="239"/>
      <c r="FJE13" s="239"/>
      <c r="FJF13" s="239"/>
      <c r="FJG13" s="239"/>
      <c r="FJH13" s="239"/>
      <c r="FJI13" s="239"/>
      <c r="FJJ13" s="239"/>
      <c r="FJK13" s="239"/>
      <c r="FJL13" s="239"/>
      <c r="FJM13" s="239"/>
      <c r="FJN13" s="239"/>
      <c r="FJO13" s="239"/>
      <c r="FJP13" s="239"/>
      <c r="FJQ13" s="239"/>
      <c r="FJR13" s="239"/>
      <c r="FJS13" s="239"/>
      <c r="FJT13" s="239"/>
      <c r="FJU13" s="239"/>
      <c r="FJV13" s="239"/>
      <c r="FJW13" s="239"/>
      <c r="FJX13" s="239"/>
      <c r="FJY13" s="239"/>
      <c r="FJZ13" s="239"/>
      <c r="FKA13" s="239"/>
      <c r="FKB13" s="239"/>
      <c r="FKC13" s="239"/>
      <c r="FKD13" s="239"/>
      <c r="FKE13" s="239"/>
      <c r="FKF13" s="239"/>
      <c r="FKG13" s="239"/>
      <c r="FKH13" s="239"/>
      <c r="FKI13" s="239"/>
      <c r="FKJ13" s="239"/>
      <c r="FKK13" s="239"/>
      <c r="FKL13" s="239"/>
      <c r="FKM13" s="239"/>
      <c r="FKN13" s="239"/>
      <c r="FKO13" s="239"/>
      <c r="FKP13" s="239"/>
      <c r="FKQ13" s="239"/>
      <c r="FKR13" s="239"/>
      <c r="FKS13" s="239"/>
      <c r="FKT13" s="239"/>
      <c r="FKU13" s="239"/>
      <c r="FKV13" s="239"/>
      <c r="FKW13" s="239"/>
      <c r="FKX13" s="239"/>
      <c r="FKY13" s="239"/>
      <c r="FKZ13" s="239"/>
      <c r="FLA13" s="239"/>
      <c r="FLB13" s="239"/>
      <c r="FLC13" s="239"/>
      <c r="FLD13" s="239"/>
      <c r="FLE13" s="239"/>
      <c r="FLF13" s="239"/>
      <c r="FLG13" s="239"/>
      <c r="FLH13" s="239"/>
      <c r="FLI13" s="239"/>
      <c r="FLJ13" s="239"/>
      <c r="FLK13" s="239"/>
      <c r="FLL13" s="239"/>
      <c r="FLM13" s="239"/>
      <c r="FLN13" s="239"/>
      <c r="FLO13" s="239"/>
      <c r="FLP13" s="239"/>
      <c r="FLQ13" s="239"/>
      <c r="FLR13" s="239"/>
      <c r="FLS13" s="239"/>
      <c r="FLT13" s="239"/>
      <c r="FLU13" s="239"/>
      <c r="FLV13" s="239"/>
      <c r="FLW13" s="239"/>
      <c r="FLX13" s="239"/>
      <c r="FLY13" s="239"/>
      <c r="FLZ13" s="239"/>
      <c r="FMA13" s="239"/>
      <c r="FMB13" s="239"/>
      <c r="FMC13" s="239"/>
      <c r="FMD13" s="239"/>
      <c r="FME13" s="239"/>
      <c r="FMF13" s="239"/>
      <c r="FMG13" s="239"/>
      <c r="FMH13" s="239"/>
      <c r="FMI13" s="239"/>
      <c r="FMJ13" s="239"/>
      <c r="FMK13" s="239"/>
      <c r="FML13" s="239"/>
      <c r="FMM13" s="239"/>
      <c r="FMN13" s="239"/>
      <c r="FMO13" s="239"/>
      <c r="FMP13" s="239"/>
      <c r="FMQ13" s="239"/>
      <c r="FMR13" s="239"/>
      <c r="FMS13" s="239"/>
      <c r="FMT13" s="239"/>
      <c r="FMU13" s="239"/>
      <c r="FMV13" s="239"/>
      <c r="FMW13" s="239"/>
      <c r="FMX13" s="239"/>
      <c r="FMY13" s="239"/>
      <c r="FMZ13" s="239"/>
      <c r="FNA13" s="239"/>
      <c r="FNB13" s="239"/>
      <c r="FNC13" s="239"/>
      <c r="FND13" s="239"/>
      <c r="FNE13" s="239"/>
      <c r="FNF13" s="239"/>
      <c r="FNG13" s="239"/>
      <c r="FNH13" s="239"/>
      <c r="FNI13" s="239"/>
      <c r="FNJ13" s="239"/>
      <c r="FNK13" s="239"/>
      <c r="FNL13" s="239"/>
      <c r="FNM13" s="239"/>
      <c r="FNN13" s="239"/>
      <c r="FNO13" s="239"/>
      <c r="FNP13" s="239"/>
      <c r="FNQ13" s="239"/>
      <c r="FNR13" s="239"/>
      <c r="FNS13" s="239"/>
      <c r="FNT13" s="239"/>
      <c r="FNU13" s="239"/>
      <c r="FNV13" s="239"/>
      <c r="FNW13" s="239"/>
      <c r="FNX13" s="239"/>
      <c r="FNY13" s="239"/>
      <c r="FNZ13" s="239"/>
      <c r="FOA13" s="239"/>
      <c r="FOB13" s="239"/>
      <c r="FOC13" s="239"/>
      <c r="FOD13" s="239"/>
      <c r="FOE13" s="239"/>
      <c r="FOF13" s="239"/>
      <c r="FOG13" s="239"/>
      <c r="FOH13" s="239"/>
      <c r="FOI13" s="239"/>
      <c r="FOJ13" s="239"/>
      <c r="FOK13" s="239"/>
      <c r="FOL13" s="239"/>
      <c r="FOM13" s="239"/>
      <c r="FON13" s="239"/>
      <c r="FOO13" s="239"/>
      <c r="FOP13" s="239"/>
      <c r="FOQ13" s="239"/>
      <c r="FOR13" s="239"/>
      <c r="FOS13" s="239"/>
      <c r="FOT13" s="239"/>
      <c r="FOU13" s="239"/>
      <c r="FOV13" s="239"/>
      <c r="FOW13" s="239"/>
      <c r="FOX13" s="239"/>
      <c r="FOY13" s="239"/>
      <c r="FOZ13" s="239"/>
      <c r="FPA13" s="239"/>
      <c r="FPB13" s="239"/>
      <c r="FPC13" s="239"/>
      <c r="FPD13" s="239"/>
      <c r="FPE13" s="239"/>
      <c r="FPF13" s="239"/>
      <c r="FPG13" s="239"/>
      <c r="FPH13" s="239"/>
      <c r="FPI13" s="239"/>
      <c r="FPJ13" s="239"/>
      <c r="FPK13" s="239"/>
      <c r="FPL13" s="239"/>
      <c r="FPM13" s="239"/>
      <c r="FPN13" s="239"/>
      <c r="FPO13" s="239"/>
      <c r="FPP13" s="239"/>
      <c r="FPQ13" s="239"/>
      <c r="FPR13" s="239"/>
      <c r="FPS13" s="239"/>
      <c r="FPT13" s="239"/>
      <c r="FPU13" s="239"/>
      <c r="FPV13" s="239"/>
      <c r="FPW13" s="239"/>
      <c r="FPX13" s="239"/>
      <c r="FPY13" s="239"/>
      <c r="FPZ13" s="239"/>
      <c r="FQA13" s="239"/>
      <c r="FQB13" s="239"/>
      <c r="FQC13" s="239"/>
      <c r="FQD13" s="239"/>
      <c r="FQE13" s="239"/>
      <c r="FQF13" s="239"/>
      <c r="FQG13" s="239"/>
      <c r="FQH13" s="239"/>
      <c r="FQI13" s="239"/>
      <c r="FQJ13" s="239"/>
      <c r="FQK13" s="239"/>
      <c r="FQL13" s="239"/>
      <c r="FQM13" s="239"/>
      <c r="FQN13" s="239"/>
      <c r="FQO13" s="239"/>
      <c r="FQP13" s="239"/>
      <c r="FQQ13" s="239"/>
      <c r="FQR13" s="239"/>
      <c r="FQS13" s="239"/>
      <c r="FQT13" s="239"/>
      <c r="FQU13" s="239"/>
      <c r="FQV13" s="239"/>
      <c r="FQW13" s="239"/>
      <c r="FQX13" s="239"/>
      <c r="FQY13" s="239"/>
      <c r="FQZ13" s="239"/>
      <c r="FRA13" s="239"/>
      <c r="FRB13" s="239"/>
      <c r="FRC13" s="239"/>
      <c r="FRD13" s="239"/>
      <c r="FRE13" s="239"/>
      <c r="FRF13" s="239"/>
      <c r="FRG13" s="239"/>
      <c r="FRH13" s="239"/>
      <c r="FRI13" s="239"/>
      <c r="FRJ13" s="239"/>
      <c r="FRK13" s="239"/>
      <c r="FRL13" s="239"/>
      <c r="FRM13" s="239"/>
      <c r="FRN13" s="239"/>
      <c r="FRO13" s="239"/>
      <c r="FRP13" s="239"/>
      <c r="FRQ13" s="239"/>
      <c r="FRR13" s="239"/>
      <c r="FRS13" s="239"/>
      <c r="FRT13" s="239"/>
      <c r="FRU13" s="239"/>
      <c r="FRV13" s="239"/>
      <c r="FRW13" s="239"/>
      <c r="FRX13" s="239"/>
      <c r="FRY13" s="239"/>
      <c r="FRZ13" s="239"/>
      <c r="FSA13" s="239"/>
      <c r="FSB13" s="239"/>
      <c r="FSC13" s="239"/>
      <c r="FSD13" s="239"/>
      <c r="FSE13" s="239"/>
      <c r="FSF13" s="239"/>
      <c r="FSG13" s="239"/>
      <c r="FSH13" s="239"/>
      <c r="FSI13" s="239"/>
      <c r="FSJ13" s="239"/>
      <c r="FSK13" s="239"/>
      <c r="FSL13" s="239"/>
      <c r="FSM13" s="239"/>
      <c r="FSN13" s="239"/>
      <c r="FSO13" s="239"/>
      <c r="FSP13" s="239"/>
      <c r="FSQ13" s="239"/>
      <c r="FSR13" s="239"/>
      <c r="FSS13" s="239"/>
      <c r="FST13" s="239"/>
      <c r="FSU13" s="239"/>
      <c r="FSV13" s="239"/>
      <c r="FSW13" s="239"/>
      <c r="FSX13" s="239"/>
      <c r="FSY13" s="239"/>
      <c r="FSZ13" s="239"/>
      <c r="FTA13" s="239"/>
      <c r="FTB13" s="239"/>
      <c r="FTC13" s="239"/>
      <c r="FTD13" s="239"/>
      <c r="FTE13" s="239"/>
      <c r="FTF13" s="239"/>
      <c r="FTG13" s="239"/>
      <c r="FTH13" s="239"/>
      <c r="FTI13" s="239"/>
      <c r="FTJ13" s="239"/>
      <c r="FTK13" s="239"/>
      <c r="FTL13" s="239"/>
      <c r="FTM13" s="239"/>
      <c r="FTN13" s="239"/>
      <c r="FTO13" s="239"/>
      <c r="FTP13" s="239"/>
      <c r="FTQ13" s="239"/>
      <c r="FTR13" s="239"/>
      <c r="FTS13" s="239"/>
      <c r="FTT13" s="239"/>
      <c r="FTU13" s="239"/>
      <c r="FTV13" s="239"/>
      <c r="FTW13" s="239"/>
      <c r="FTX13" s="239"/>
      <c r="FTY13" s="239"/>
      <c r="FTZ13" s="239"/>
      <c r="FUA13" s="239"/>
      <c r="FUB13" s="239"/>
      <c r="FUC13" s="239"/>
      <c r="FUD13" s="239"/>
      <c r="FUE13" s="239"/>
      <c r="FUF13" s="239"/>
      <c r="FUG13" s="239"/>
      <c r="FUH13" s="239"/>
      <c r="FUI13" s="239"/>
      <c r="FUJ13" s="239"/>
      <c r="FUK13" s="239"/>
      <c r="FUL13" s="239"/>
      <c r="FUM13" s="239"/>
      <c r="FUN13" s="239"/>
      <c r="FUO13" s="239"/>
      <c r="FUP13" s="239"/>
      <c r="FUQ13" s="239"/>
      <c r="FUR13" s="239"/>
      <c r="FUS13" s="239"/>
      <c r="FUT13" s="239"/>
      <c r="FUU13" s="239"/>
      <c r="FUV13" s="239"/>
      <c r="FUW13" s="239"/>
      <c r="FUX13" s="239"/>
      <c r="FUY13" s="239"/>
      <c r="FUZ13" s="239"/>
      <c r="FVA13" s="239"/>
      <c r="FVB13" s="239"/>
      <c r="FVC13" s="239"/>
      <c r="FVD13" s="239"/>
      <c r="FVE13" s="239"/>
      <c r="FVF13" s="239"/>
      <c r="FVG13" s="239"/>
      <c r="FVH13" s="239"/>
      <c r="FVI13" s="239"/>
      <c r="FVJ13" s="239"/>
      <c r="FVK13" s="239"/>
      <c r="FVL13" s="239"/>
      <c r="FVM13" s="239"/>
      <c r="FVN13" s="239"/>
      <c r="FVO13" s="239"/>
      <c r="FVP13" s="239"/>
      <c r="FVQ13" s="239"/>
      <c r="FVR13" s="239"/>
      <c r="FVS13" s="239"/>
      <c r="FVT13" s="239"/>
      <c r="FVU13" s="239"/>
      <c r="FVV13" s="239"/>
      <c r="FVW13" s="239"/>
      <c r="FVX13" s="239"/>
      <c r="FVY13" s="239"/>
      <c r="FVZ13" s="239"/>
      <c r="FWA13" s="239"/>
      <c r="FWB13" s="239"/>
      <c r="FWC13" s="239"/>
      <c r="FWD13" s="239"/>
      <c r="FWE13" s="239"/>
      <c r="FWF13" s="239"/>
      <c r="FWG13" s="239"/>
      <c r="FWH13" s="239"/>
      <c r="FWI13" s="239"/>
      <c r="FWJ13" s="239"/>
      <c r="FWK13" s="239"/>
      <c r="FWL13" s="239"/>
      <c r="FWM13" s="239"/>
      <c r="FWN13" s="239"/>
      <c r="FWO13" s="239"/>
      <c r="FWP13" s="239"/>
      <c r="FWQ13" s="239"/>
      <c r="FWR13" s="239"/>
      <c r="FWS13" s="239"/>
      <c r="FWT13" s="239"/>
      <c r="FWU13" s="239"/>
      <c r="FWV13" s="239"/>
      <c r="FWW13" s="239"/>
      <c r="FWX13" s="239"/>
      <c r="FWY13" s="239"/>
      <c r="FWZ13" s="239"/>
      <c r="FXA13" s="239"/>
      <c r="FXB13" s="239"/>
      <c r="FXC13" s="239"/>
      <c r="FXD13" s="239"/>
      <c r="FXE13" s="239"/>
      <c r="FXF13" s="239"/>
      <c r="FXG13" s="239"/>
      <c r="FXH13" s="239"/>
      <c r="FXI13" s="239"/>
      <c r="FXJ13" s="239"/>
      <c r="FXK13" s="239"/>
      <c r="FXL13" s="239"/>
      <c r="FXM13" s="239"/>
      <c r="FXN13" s="239"/>
      <c r="FXO13" s="239"/>
      <c r="FXP13" s="239"/>
      <c r="FXQ13" s="239"/>
      <c r="FXR13" s="239"/>
      <c r="FXS13" s="239"/>
      <c r="FXT13" s="239"/>
      <c r="FXU13" s="239"/>
      <c r="FXV13" s="239"/>
      <c r="FXW13" s="239"/>
      <c r="FXX13" s="239"/>
      <c r="FXY13" s="239"/>
      <c r="FXZ13" s="239"/>
      <c r="FYA13" s="239"/>
      <c r="FYB13" s="239"/>
      <c r="FYC13" s="239"/>
      <c r="FYD13" s="239"/>
      <c r="FYE13" s="239"/>
      <c r="FYF13" s="239"/>
      <c r="FYG13" s="239"/>
      <c r="FYH13" s="239"/>
      <c r="FYI13" s="239"/>
      <c r="FYJ13" s="239"/>
      <c r="FYK13" s="239"/>
      <c r="FYL13" s="239"/>
      <c r="FYM13" s="239"/>
      <c r="FYN13" s="239"/>
      <c r="FYO13" s="239"/>
      <c r="FYP13" s="239"/>
      <c r="FYQ13" s="239"/>
      <c r="FYR13" s="239"/>
      <c r="FYS13" s="239"/>
      <c r="FYT13" s="239"/>
      <c r="FYU13" s="239"/>
      <c r="FYV13" s="239"/>
      <c r="FYW13" s="239"/>
      <c r="FYX13" s="239"/>
      <c r="FYY13" s="239"/>
      <c r="FYZ13" s="239"/>
      <c r="FZA13" s="239"/>
      <c r="FZB13" s="239"/>
      <c r="FZC13" s="239"/>
      <c r="FZD13" s="239"/>
      <c r="FZE13" s="239"/>
      <c r="FZF13" s="239"/>
      <c r="FZG13" s="239"/>
      <c r="FZH13" s="239"/>
      <c r="FZI13" s="239"/>
      <c r="FZJ13" s="239"/>
      <c r="FZK13" s="239"/>
      <c r="FZL13" s="239"/>
      <c r="FZM13" s="239"/>
      <c r="FZN13" s="239"/>
      <c r="FZO13" s="239"/>
      <c r="FZP13" s="239"/>
      <c r="FZQ13" s="239"/>
      <c r="FZR13" s="239"/>
      <c r="FZS13" s="239"/>
      <c r="FZT13" s="239"/>
      <c r="FZU13" s="239"/>
      <c r="FZV13" s="239"/>
      <c r="FZW13" s="239"/>
      <c r="FZX13" s="239"/>
      <c r="FZY13" s="239"/>
      <c r="FZZ13" s="239"/>
      <c r="GAA13" s="239"/>
      <c r="GAB13" s="239"/>
      <c r="GAC13" s="239"/>
      <c r="GAD13" s="239"/>
      <c r="GAE13" s="239"/>
      <c r="GAF13" s="239"/>
      <c r="GAG13" s="239"/>
      <c r="GAH13" s="239"/>
      <c r="GAI13" s="239"/>
      <c r="GAJ13" s="239"/>
      <c r="GAK13" s="239"/>
      <c r="GAL13" s="239"/>
      <c r="GAM13" s="239"/>
      <c r="GAN13" s="239"/>
      <c r="GAO13" s="239"/>
      <c r="GAP13" s="239"/>
      <c r="GAQ13" s="239"/>
      <c r="GAR13" s="239"/>
      <c r="GAS13" s="239"/>
      <c r="GAT13" s="239"/>
      <c r="GAU13" s="239"/>
      <c r="GAV13" s="239"/>
      <c r="GAW13" s="239"/>
      <c r="GAX13" s="239"/>
      <c r="GAY13" s="239"/>
      <c r="GAZ13" s="239"/>
      <c r="GBA13" s="239"/>
      <c r="GBB13" s="239"/>
      <c r="GBC13" s="239"/>
      <c r="GBD13" s="239"/>
      <c r="GBE13" s="239"/>
      <c r="GBF13" s="239"/>
      <c r="GBG13" s="239"/>
      <c r="GBH13" s="239"/>
      <c r="GBI13" s="239"/>
      <c r="GBJ13" s="239"/>
      <c r="GBK13" s="239"/>
      <c r="GBL13" s="239"/>
      <c r="GBM13" s="239"/>
      <c r="GBN13" s="239"/>
      <c r="GBO13" s="239"/>
      <c r="GBP13" s="239"/>
      <c r="GBQ13" s="239"/>
      <c r="GBR13" s="239"/>
      <c r="GBS13" s="239"/>
      <c r="GBT13" s="239"/>
      <c r="GBU13" s="239"/>
      <c r="GBV13" s="239"/>
      <c r="GBW13" s="239"/>
      <c r="GBX13" s="239"/>
      <c r="GBY13" s="239"/>
      <c r="GBZ13" s="239"/>
      <c r="GCA13" s="239"/>
      <c r="GCB13" s="239"/>
      <c r="GCC13" s="239"/>
      <c r="GCD13" s="239"/>
      <c r="GCE13" s="239"/>
      <c r="GCF13" s="239"/>
      <c r="GCG13" s="239"/>
      <c r="GCH13" s="239"/>
      <c r="GCI13" s="239"/>
      <c r="GCJ13" s="239"/>
      <c r="GCK13" s="239"/>
      <c r="GCL13" s="239"/>
      <c r="GCM13" s="239"/>
      <c r="GCN13" s="239"/>
      <c r="GCO13" s="239"/>
      <c r="GCP13" s="239"/>
      <c r="GCQ13" s="239"/>
      <c r="GCR13" s="239"/>
      <c r="GCS13" s="239"/>
      <c r="GCT13" s="239"/>
      <c r="GCU13" s="239"/>
      <c r="GCV13" s="239"/>
      <c r="GCW13" s="239"/>
      <c r="GCX13" s="239"/>
      <c r="GCY13" s="239"/>
      <c r="GCZ13" s="239"/>
      <c r="GDA13" s="239"/>
      <c r="GDB13" s="239"/>
      <c r="GDC13" s="239"/>
      <c r="GDD13" s="239"/>
      <c r="GDE13" s="239"/>
      <c r="GDF13" s="239"/>
      <c r="GDG13" s="239"/>
      <c r="GDH13" s="239"/>
      <c r="GDI13" s="239"/>
      <c r="GDJ13" s="239"/>
      <c r="GDK13" s="239"/>
      <c r="GDL13" s="239"/>
      <c r="GDM13" s="239"/>
      <c r="GDN13" s="239"/>
      <c r="GDO13" s="239"/>
      <c r="GDP13" s="239"/>
      <c r="GDQ13" s="239"/>
      <c r="GDR13" s="239"/>
      <c r="GDS13" s="239"/>
      <c r="GDT13" s="239"/>
      <c r="GDU13" s="239"/>
      <c r="GDV13" s="239"/>
      <c r="GDW13" s="239"/>
      <c r="GDX13" s="239"/>
      <c r="GDY13" s="239"/>
      <c r="GDZ13" s="239"/>
      <c r="GEA13" s="239"/>
      <c r="GEB13" s="239"/>
      <c r="GEC13" s="239"/>
      <c r="GED13" s="239"/>
      <c r="GEE13" s="239"/>
      <c r="GEF13" s="239"/>
      <c r="GEG13" s="239"/>
      <c r="GEH13" s="239"/>
      <c r="GEI13" s="239"/>
      <c r="GEJ13" s="239"/>
      <c r="GEK13" s="239"/>
      <c r="GEL13" s="239"/>
      <c r="GEM13" s="239"/>
      <c r="GEN13" s="239"/>
      <c r="GEO13" s="239"/>
      <c r="GEP13" s="239"/>
      <c r="GEQ13" s="239"/>
      <c r="GER13" s="239"/>
      <c r="GES13" s="239"/>
      <c r="GET13" s="239"/>
      <c r="GEU13" s="239"/>
      <c r="GEV13" s="239"/>
      <c r="GEW13" s="239"/>
      <c r="GEX13" s="239"/>
      <c r="GEY13" s="239"/>
      <c r="GEZ13" s="239"/>
      <c r="GFA13" s="239"/>
      <c r="GFB13" s="239"/>
      <c r="GFC13" s="239"/>
      <c r="GFD13" s="239"/>
      <c r="GFE13" s="239"/>
      <c r="GFF13" s="239"/>
      <c r="GFG13" s="239"/>
      <c r="GFH13" s="239"/>
      <c r="GFI13" s="239"/>
      <c r="GFJ13" s="239"/>
      <c r="GFK13" s="239"/>
      <c r="GFL13" s="239"/>
      <c r="GFM13" s="239"/>
      <c r="GFN13" s="239"/>
      <c r="GFO13" s="239"/>
      <c r="GFP13" s="239"/>
      <c r="GFQ13" s="239"/>
      <c r="GFR13" s="239"/>
      <c r="GFS13" s="239"/>
      <c r="GFT13" s="239"/>
      <c r="GFU13" s="239"/>
      <c r="GFV13" s="239"/>
      <c r="GFW13" s="239"/>
      <c r="GFX13" s="239"/>
      <c r="GFY13" s="239"/>
      <c r="GFZ13" s="239"/>
      <c r="GGA13" s="239"/>
      <c r="GGB13" s="239"/>
      <c r="GGC13" s="239"/>
      <c r="GGD13" s="239"/>
      <c r="GGE13" s="239"/>
      <c r="GGF13" s="239"/>
      <c r="GGG13" s="239"/>
      <c r="GGH13" s="239"/>
      <c r="GGI13" s="239"/>
      <c r="GGJ13" s="239"/>
      <c r="GGK13" s="239"/>
      <c r="GGL13" s="239"/>
      <c r="GGM13" s="239"/>
      <c r="GGN13" s="239"/>
      <c r="GGO13" s="239"/>
      <c r="GGP13" s="239"/>
      <c r="GGQ13" s="239"/>
      <c r="GGR13" s="239"/>
      <c r="GGS13" s="239"/>
      <c r="GGT13" s="239"/>
      <c r="GGU13" s="239"/>
      <c r="GGV13" s="239"/>
      <c r="GGW13" s="239"/>
      <c r="GGX13" s="239"/>
      <c r="GGY13" s="239"/>
      <c r="GGZ13" s="239"/>
      <c r="GHA13" s="239"/>
      <c r="GHB13" s="239"/>
      <c r="GHC13" s="239"/>
      <c r="GHD13" s="239"/>
      <c r="GHE13" s="239"/>
      <c r="GHF13" s="239"/>
      <c r="GHG13" s="239"/>
      <c r="GHH13" s="239"/>
      <c r="GHI13" s="239"/>
      <c r="GHJ13" s="239"/>
      <c r="GHK13" s="239"/>
      <c r="GHL13" s="239"/>
      <c r="GHM13" s="239"/>
      <c r="GHN13" s="239"/>
      <c r="GHO13" s="239"/>
      <c r="GHP13" s="239"/>
      <c r="GHQ13" s="239"/>
      <c r="GHR13" s="239"/>
      <c r="GHS13" s="239"/>
      <c r="GHT13" s="239"/>
      <c r="GHU13" s="239"/>
      <c r="GHV13" s="239"/>
      <c r="GHW13" s="239"/>
      <c r="GHX13" s="239"/>
      <c r="GHY13" s="239"/>
      <c r="GHZ13" s="239"/>
      <c r="GIA13" s="239"/>
      <c r="GIB13" s="239"/>
      <c r="GIC13" s="239"/>
      <c r="GID13" s="239"/>
      <c r="GIE13" s="239"/>
      <c r="GIF13" s="239"/>
      <c r="GIG13" s="239"/>
      <c r="GIH13" s="239"/>
      <c r="GII13" s="239"/>
      <c r="GIJ13" s="239"/>
      <c r="GIK13" s="239"/>
      <c r="GIL13" s="239"/>
      <c r="GIM13" s="239"/>
      <c r="GIN13" s="239"/>
      <c r="GIO13" s="239"/>
      <c r="GIP13" s="239"/>
      <c r="GIQ13" s="239"/>
      <c r="GIR13" s="239"/>
      <c r="GIS13" s="239"/>
      <c r="GIT13" s="239"/>
      <c r="GIU13" s="239"/>
      <c r="GIV13" s="239"/>
      <c r="GIW13" s="239"/>
      <c r="GIX13" s="239"/>
      <c r="GIY13" s="239"/>
      <c r="GIZ13" s="239"/>
      <c r="GJA13" s="239"/>
      <c r="GJB13" s="239"/>
      <c r="GJC13" s="239"/>
      <c r="GJD13" s="239"/>
      <c r="GJE13" s="239"/>
      <c r="GJF13" s="239"/>
      <c r="GJG13" s="239"/>
      <c r="GJH13" s="239"/>
      <c r="GJI13" s="239"/>
      <c r="GJJ13" s="239"/>
      <c r="GJK13" s="239"/>
      <c r="GJL13" s="239"/>
      <c r="GJM13" s="239"/>
      <c r="GJN13" s="239"/>
      <c r="GJO13" s="239"/>
      <c r="GJP13" s="239"/>
      <c r="GJQ13" s="239"/>
      <c r="GJR13" s="239"/>
      <c r="GJS13" s="239"/>
      <c r="GJT13" s="239"/>
      <c r="GJU13" s="239"/>
      <c r="GJV13" s="239"/>
      <c r="GJW13" s="239"/>
      <c r="GJX13" s="239"/>
      <c r="GJY13" s="239"/>
      <c r="GJZ13" s="239"/>
      <c r="GKA13" s="239"/>
      <c r="GKB13" s="239"/>
      <c r="GKC13" s="239"/>
      <c r="GKD13" s="239"/>
      <c r="GKE13" s="239"/>
      <c r="GKF13" s="239"/>
      <c r="GKG13" s="239"/>
      <c r="GKH13" s="239"/>
      <c r="GKI13" s="239"/>
      <c r="GKJ13" s="239"/>
      <c r="GKK13" s="239"/>
      <c r="GKL13" s="239"/>
      <c r="GKM13" s="239"/>
      <c r="GKN13" s="239"/>
      <c r="GKO13" s="239"/>
      <c r="GKP13" s="239"/>
      <c r="GKQ13" s="239"/>
      <c r="GKR13" s="239"/>
      <c r="GKS13" s="239"/>
      <c r="GKT13" s="239"/>
      <c r="GKU13" s="239"/>
      <c r="GKV13" s="239"/>
      <c r="GKW13" s="239"/>
      <c r="GKX13" s="239"/>
      <c r="GKY13" s="239"/>
      <c r="GKZ13" s="239"/>
      <c r="GLA13" s="239"/>
      <c r="GLB13" s="239"/>
      <c r="GLC13" s="239"/>
      <c r="GLD13" s="239"/>
      <c r="GLE13" s="239"/>
      <c r="GLF13" s="239"/>
      <c r="GLG13" s="239"/>
      <c r="GLH13" s="239"/>
      <c r="GLI13" s="239"/>
      <c r="GLJ13" s="239"/>
      <c r="GLK13" s="239"/>
      <c r="GLL13" s="239"/>
      <c r="GLM13" s="239"/>
      <c r="GLN13" s="239"/>
      <c r="GLO13" s="239"/>
      <c r="GLP13" s="239"/>
      <c r="GLQ13" s="239"/>
      <c r="GLR13" s="239"/>
      <c r="GLS13" s="239"/>
      <c r="GLT13" s="239"/>
      <c r="GLU13" s="239"/>
      <c r="GLV13" s="239"/>
      <c r="GLW13" s="239"/>
      <c r="GLX13" s="239"/>
      <c r="GLY13" s="239"/>
      <c r="GLZ13" s="239"/>
      <c r="GMA13" s="239"/>
      <c r="GMB13" s="239"/>
      <c r="GMC13" s="239"/>
      <c r="GMD13" s="239"/>
      <c r="GME13" s="239"/>
      <c r="GMF13" s="239"/>
      <c r="GMG13" s="239"/>
      <c r="GMH13" s="239"/>
      <c r="GMI13" s="239"/>
      <c r="GMJ13" s="239"/>
      <c r="GMK13" s="239"/>
      <c r="GML13" s="239"/>
      <c r="GMM13" s="239"/>
      <c r="GMN13" s="239"/>
      <c r="GMO13" s="239"/>
      <c r="GMP13" s="239"/>
      <c r="GMQ13" s="239"/>
      <c r="GMR13" s="239"/>
      <c r="GMS13" s="239"/>
      <c r="GMT13" s="239"/>
      <c r="GMU13" s="239"/>
      <c r="GMV13" s="239"/>
      <c r="GMW13" s="239"/>
      <c r="GMX13" s="239"/>
      <c r="GMY13" s="239"/>
      <c r="GMZ13" s="239"/>
      <c r="GNA13" s="239"/>
      <c r="GNB13" s="239"/>
      <c r="GNC13" s="239"/>
      <c r="GND13" s="239"/>
      <c r="GNE13" s="239"/>
      <c r="GNF13" s="239"/>
      <c r="GNG13" s="239"/>
      <c r="GNH13" s="239"/>
      <c r="GNI13" s="239"/>
      <c r="GNJ13" s="239"/>
      <c r="GNK13" s="239"/>
      <c r="GNL13" s="239"/>
      <c r="GNM13" s="239"/>
      <c r="GNN13" s="239"/>
      <c r="GNO13" s="239"/>
      <c r="GNP13" s="239"/>
      <c r="GNQ13" s="239"/>
      <c r="GNR13" s="239"/>
      <c r="GNS13" s="239"/>
      <c r="GNT13" s="239"/>
      <c r="GNU13" s="239"/>
      <c r="GNV13" s="239"/>
      <c r="GNW13" s="239"/>
      <c r="GNX13" s="239"/>
      <c r="GNY13" s="239"/>
      <c r="GNZ13" s="239"/>
      <c r="GOA13" s="239"/>
      <c r="GOB13" s="239"/>
      <c r="GOC13" s="239"/>
      <c r="GOD13" s="239"/>
      <c r="GOE13" s="239"/>
      <c r="GOF13" s="239"/>
      <c r="GOG13" s="239"/>
      <c r="GOH13" s="239"/>
      <c r="GOI13" s="239"/>
      <c r="GOJ13" s="239"/>
      <c r="GOK13" s="239"/>
      <c r="GOL13" s="239"/>
      <c r="GOM13" s="239"/>
      <c r="GON13" s="239"/>
      <c r="GOO13" s="239"/>
      <c r="GOP13" s="239"/>
      <c r="GOQ13" s="239"/>
      <c r="GOR13" s="239"/>
      <c r="GOS13" s="239"/>
      <c r="GOT13" s="239"/>
      <c r="GOU13" s="239"/>
      <c r="GOV13" s="239"/>
      <c r="GOW13" s="239"/>
      <c r="GOX13" s="239"/>
      <c r="GOY13" s="239"/>
      <c r="GOZ13" s="239"/>
      <c r="GPA13" s="239"/>
      <c r="GPB13" s="239"/>
      <c r="GPC13" s="239"/>
      <c r="GPD13" s="239"/>
      <c r="GPE13" s="239"/>
      <c r="GPF13" s="239"/>
      <c r="GPG13" s="239"/>
      <c r="GPH13" s="239"/>
      <c r="GPI13" s="239"/>
      <c r="GPJ13" s="239"/>
      <c r="GPK13" s="239"/>
      <c r="GPL13" s="239"/>
      <c r="GPM13" s="239"/>
      <c r="GPN13" s="239"/>
      <c r="GPO13" s="239"/>
      <c r="GPP13" s="239"/>
      <c r="GPQ13" s="239"/>
      <c r="GPR13" s="239"/>
      <c r="GPS13" s="239"/>
      <c r="GPT13" s="239"/>
      <c r="GPU13" s="239"/>
      <c r="GPV13" s="239"/>
      <c r="GPW13" s="239"/>
      <c r="GPX13" s="239"/>
      <c r="GPY13" s="239"/>
      <c r="GPZ13" s="239"/>
      <c r="GQA13" s="239"/>
      <c r="GQB13" s="239"/>
      <c r="GQC13" s="239"/>
      <c r="GQD13" s="239"/>
      <c r="GQE13" s="239"/>
      <c r="GQF13" s="239"/>
      <c r="GQG13" s="239"/>
      <c r="GQH13" s="239"/>
      <c r="GQI13" s="239"/>
      <c r="GQJ13" s="239"/>
      <c r="GQK13" s="239"/>
      <c r="GQL13" s="239"/>
      <c r="GQM13" s="239"/>
      <c r="GQN13" s="239"/>
      <c r="GQO13" s="239"/>
      <c r="GQP13" s="239"/>
      <c r="GQQ13" s="239"/>
      <c r="GQR13" s="239"/>
      <c r="GQS13" s="239"/>
      <c r="GQT13" s="239"/>
      <c r="GQU13" s="239"/>
      <c r="GQV13" s="239"/>
      <c r="GQW13" s="239"/>
      <c r="GQX13" s="239"/>
      <c r="GQY13" s="239"/>
      <c r="GQZ13" s="239"/>
      <c r="GRA13" s="239"/>
      <c r="GRB13" s="239"/>
      <c r="GRC13" s="239"/>
      <c r="GRD13" s="239"/>
      <c r="GRE13" s="239"/>
      <c r="GRF13" s="239"/>
      <c r="GRG13" s="239"/>
      <c r="GRH13" s="239"/>
      <c r="GRI13" s="239"/>
      <c r="GRJ13" s="239"/>
      <c r="GRK13" s="239"/>
      <c r="GRL13" s="239"/>
      <c r="GRM13" s="239"/>
      <c r="GRN13" s="239"/>
      <c r="GRO13" s="239"/>
      <c r="GRP13" s="239"/>
      <c r="GRQ13" s="239"/>
      <c r="GRR13" s="239"/>
      <c r="GRS13" s="239"/>
      <c r="GRT13" s="239"/>
      <c r="GRU13" s="239"/>
      <c r="GRV13" s="239"/>
      <c r="GRW13" s="239"/>
      <c r="GRX13" s="239"/>
      <c r="GRY13" s="239"/>
      <c r="GRZ13" s="239"/>
      <c r="GSA13" s="239"/>
      <c r="GSB13" s="239"/>
      <c r="GSC13" s="239"/>
      <c r="GSD13" s="239"/>
      <c r="GSE13" s="239"/>
      <c r="GSF13" s="239"/>
      <c r="GSG13" s="239"/>
      <c r="GSH13" s="239"/>
      <c r="GSI13" s="239"/>
      <c r="GSJ13" s="239"/>
      <c r="GSK13" s="239"/>
      <c r="GSL13" s="239"/>
      <c r="GSM13" s="239"/>
      <c r="GSN13" s="239"/>
      <c r="GSO13" s="239"/>
      <c r="GSP13" s="239"/>
      <c r="GSQ13" s="239"/>
      <c r="GSR13" s="239"/>
      <c r="GSS13" s="239"/>
      <c r="GST13" s="239"/>
      <c r="GSU13" s="239"/>
      <c r="GSV13" s="239"/>
      <c r="GSW13" s="239"/>
      <c r="GSX13" s="239"/>
      <c r="GSY13" s="239"/>
      <c r="GSZ13" s="239"/>
      <c r="GTA13" s="239"/>
      <c r="GTB13" s="239"/>
      <c r="GTC13" s="239"/>
      <c r="GTD13" s="239"/>
      <c r="GTE13" s="239"/>
      <c r="GTF13" s="239"/>
      <c r="GTG13" s="239"/>
      <c r="GTH13" s="239"/>
      <c r="GTI13" s="239"/>
      <c r="GTJ13" s="239"/>
      <c r="GTK13" s="239"/>
      <c r="GTL13" s="239"/>
      <c r="GTM13" s="239"/>
      <c r="GTN13" s="239"/>
      <c r="GTO13" s="239"/>
      <c r="GTP13" s="239"/>
      <c r="GTQ13" s="239"/>
      <c r="GTR13" s="239"/>
      <c r="GTS13" s="239"/>
      <c r="GTT13" s="239"/>
      <c r="GTU13" s="239"/>
      <c r="GTV13" s="239"/>
      <c r="GTW13" s="239"/>
      <c r="GTX13" s="239"/>
      <c r="GTY13" s="239"/>
      <c r="GTZ13" s="239"/>
      <c r="GUA13" s="239"/>
      <c r="GUB13" s="239"/>
      <c r="GUC13" s="239"/>
      <c r="GUD13" s="239"/>
      <c r="GUE13" s="239"/>
      <c r="GUF13" s="239"/>
      <c r="GUG13" s="239"/>
      <c r="GUH13" s="239"/>
      <c r="GUI13" s="239"/>
      <c r="GUJ13" s="239"/>
      <c r="GUK13" s="239"/>
      <c r="GUL13" s="239"/>
      <c r="GUM13" s="239"/>
      <c r="GUN13" s="239"/>
      <c r="GUO13" s="239"/>
      <c r="GUP13" s="239"/>
      <c r="GUQ13" s="239"/>
      <c r="GUR13" s="239"/>
      <c r="GUS13" s="239"/>
      <c r="GUT13" s="239"/>
      <c r="GUU13" s="239"/>
      <c r="GUV13" s="239"/>
      <c r="GUW13" s="239"/>
      <c r="GUX13" s="239"/>
      <c r="GUY13" s="239"/>
      <c r="GUZ13" s="239"/>
      <c r="GVA13" s="239"/>
      <c r="GVB13" s="239"/>
      <c r="GVC13" s="239"/>
      <c r="GVD13" s="239"/>
      <c r="GVE13" s="239"/>
      <c r="GVF13" s="239"/>
      <c r="GVG13" s="239"/>
      <c r="GVH13" s="239"/>
      <c r="GVI13" s="239"/>
      <c r="GVJ13" s="239"/>
      <c r="GVK13" s="239"/>
      <c r="GVL13" s="239"/>
      <c r="GVM13" s="239"/>
      <c r="GVN13" s="239"/>
      <c r="GVO13" s="239"/>
      <c r="GVP13" s="239"/>
      <c r="GVQ13" s="239"/>
      <c r="GVR13" s="239"/>
      <c r="GVS13" s="239"/>
      <c r="GVT13" s="239"/>
      <c r="GVU13" s="239"/>
      <c r="GVV13" s="239"/>
      <c r="GVW13" s="239"/>
      <c r="GVX13" s="239"/>
      <c r="GVY13" s="239"/>
      <c r="GVZ13" s="239"/>
      <c r="GWA13" s="239"/>
      <c r="GWB13" s="239"/>
      <c r="GWC13" s="239"/>
      <c r="GWD13" s="239"/>
      <c r="GWE13" s="239"/>
      <c r="GWF13" s="239"/>
      <c r="GWG13" s="239"/>
      <c r="GWH13" s="239"/>
      <c r="GWI13" s="239"/>
      <c r="GWJ13" s="239"/>
      <c r="GWK13" s="239"/>
      <c r="GWL13" s="239"/>
      <c r="GWM13" s="239"/>
      <c r="GWN13" s="239"/>
      <c r="GWO13" s="239"/>
      <c r="GWP13" s="239"/>
      <c r="GWQ13" s="239"/>
      <c r="GWR13" s="239"/>
      <c r="GWS13" s="239"/>
      <c r="GWT13" s="239"/>
      <c r="GWU13" s="239"/>
      <c r="GWV13" s="239"/>
      <c r="GWW13" s="239"/>
      <c r="GWX13" s="239"/>
      <c r="GWY13" s="239"/>
      <c r="GWZ13" s="239"/>
      <c r="GXA13" s="239"/>
      <c r="GXB13" s="239"/>
      <c r="GXC13" s="239"/>
      <c r="GXD13" s="239"/>
      <c r="GXE13" s="239"/>
      <c r="GXF13" s="239"/>
      <c r="GXG13" s="239"/>
      <c r="GXH13" s="239"/>
      <c r="GXI13" s="239"/>
      <c r="GXJ13" s="239"/>
      <c r="GXK13" s="239"/>
      <c r="GXL13" s="239"/>
      <c r="GXM13" s="239"/>
      <c r="GXN13" s="239"/>
      <c r="GXO13" s="239"/>
      <c r="GXP13" s="239"/>
      <c r="GXQ13" s="239"/>
      <c r="GXR13" s="239"/>
      <c r="GXS13" s="239"/>
      <c r="GXT13" s="239"/>
      <c r="GXU13" s="239"/>
      <c r="GXV13" s="239"/>
      <c r="GXW13" s="239"/>
      <c r="GXX13" s="239"/>
      <c r="GXY13" s="239"/>
      <c r="GXZ13" s="239"/>
      <c r="GYA13" s="239"/>
      <c r="GYB13" s="239"/>
      <c r="GYC13" s="239"/>
      <c r="GYD13" s="239"/>
      <c r="GYE13" s="239"/>
      <c r="GYF13" s="239"/>
      <c r="GYG13" s="239"/>
      <c r="GYH13" s="239"/>
      <c r="GYI13" s="239"/>
      <c r="GYJ13" s="239"/>
      <c r="GYK13" s="239"/>
      <c r="GYL13" s="239"/>
      <c r="GYM13" s="239"/>
      <c r="GYN13" s="239"/>
      <c r="GYO13" s="239"/>
      <c r="GYP13" s="239"/>
      <c r="GYQ13" s="239"/>
      <c r="GYR13" s="239"/>
      <c r="GYS13" s="239"/>
      <c r="GYT13" s="239"/>
      <c r="GYU13" s="239"/>
      <c r="GYV13" s="239"/>
      <c r="GYW13" s="239"/>
      <c r="GYX13" s="239"/>
      <c r="GYY13" s="239"/>
      <c r="GYZ13" s="239"/>
      <c r="GZA13" s="239"/>
      <c r="GZB13" s="239"/>
      <c r="GZC13" s="239"/>
      <c r="GZD13" s="239"/>
      <c r="GZE13" s="239"/>
      <c r="GZF13" s="239"/>
      <c r="GZG13" s="239"/>
      <c r="GZH13" s="239"/>
      <c r="GZI13" s="239"/>
      <c r="GZJ13" s="239"/>
      <c r="GZK13" s="239"/>
      <c r="GZL13" s="239"/>
      <c r="GZM13" s="239"/>
      <c r="GZN13" s="239"/>
      <c r="GZO13" s="239"/>
      <c r="GZP13" s="239"/>
      <c r="GZQ13" s="239"/>
      <c r="GZR13" s="239"/>
      <c r="GZS13" s="239"/>
      <c r="GZT13" s="239"/>
      <c r="GZU13" s="239"/>
      <c r="GZV13" s="239"/>
      <c r="GZW13" s="239"/>
      <c r="GZX13" s="239"/>
      <c r="GZY13" s="239"/>
      <c r="GZZ13" s="239"/>
      <c r="HAA13" s="239"/>
      <c r="HAB13" s="239"/>
      <c r="HAC13" s="239"/>
      <c r="HAD13" s="239"/>
      <c r="HAE13" s="239"/>
      <c r="HAF13" s="239"/>
      <c r="HAG13" s="239"/>
      <c r="HAH13" s="239"/>
      <c r="HAI13" s="239"/>
      <c r="HAJ13" s="239"/>
      <c r="HAK13" s="239"/>
      <c r="HAL13" s="239"/>
      <c r="HAM13" s="239"/>
      <c r="HAN13" s="239"/>
      <c r="HAO13" s="239"/>
      <c r="HAP13" s="239"/>
      <c r="HAQ13" s="239"/>
      <c r="HAR13" s="239"/>
      <c r="HAS13" s="239"/>
      <c r="HAT13" s="239"/>
      <c r="HAU13" s="239"/>
      <c r="HAV13" s="239"/>
      <c r="HAW13" s="239"/>
      <c r="HAX13" s="239"/>
      <c r="HAY13" s="239"/>
      <c r="HAZ13" s="239"/>
      <c r="HBA13" s="239"/>
      <c r="HBB13" s="239"/>
      <c r="HBC13" s="239"/>
      <c r="HBD13" s="239"/>
      <c r="HBE13" s="239"/>
      <c r="HBF13" s="239"/>
      <c r="HBG13" s="239"/>
      <c r="HBH13" s="239"/>
      <c r="HBI13" s="239"/>
      <c r="HBJ13" s="239"/>
      <c r="HBK13" s="239"/>
      <c r="HBL13" s="239"/>
      <c r="HBM13" s="239"/>
      <c r="HBN13" s="239"/>
      <c r="HBO13" s="239"/>
      <c r="HBP13" s="239"/>
      <c r="HBQ13" s="239"/>
      <c r="HBR13" s="239"/>
      <c r="HBS13" s="239"/>
      <c r="HBT13" s="239"/>
      <c r="HBU13" s="239"/>
      <c r="HBV13" s="239"/>
      <c r="HBW13" s="239"/>
      <c r="HBX13" s="239"/>
      <c r="HBY13" s="239"/>
      <c r="HBZ13" s="239"/>
      <c r="HCA13" s="239"/>
      <c r="HCB13" s="239"/>
      <c r="HCC13" s="239"/>
      <c r="HCD13" s="239"/>
      <c r="HCE13" s="239"/>
      <c r="HCF13" s="239"/>
      <c r="HCG13" s="239"/>
      <c r="HCH13" s="239"/>
      <c r="HCI13" s="239"/>
      <c r="HCJ13" s="239"/>
      <c r="HCK13" s="239"/>
      <c r="HCL13" s="239"/>
      <c r="HCM13" s="239"/>
      <c r="HCN13" s="239"/>
      <c r="HCO13" s="239"/>
      <c r="HCP13" s="239"/>
      <c r="HCQ13" s="239"/>
      <c r="HCR13" s="239"/>
      <c r="HCS13" s="239"/>
      <c r="HCT13" s="239"/>
      <c r="HCU13" s="239"/>
      <c r="HCV13" s="239"/>
      <c r="HCW13" s="239"/>
      <c r="HCX13" s="239"/>
      <c r="HCY13" s="239"/>
      <c r="HCZ13" s="239"/>
      <c r="HDA13" s="239"/>
      <c r="HDB13" s="239"/>
      <c r="HDC13" s="239"/>
      <c r="HDD13" s="239"/>
      <c r="HDE13" s="239"/>
      <c r="HDF13" s="239"/>
      <c r="HDG13" s="239"/>
      <c r="HDH13" s="239"/>
      <c r="HDI13" s="239"/>
      <c r="HDJ13" s="239"/>
      <c r="HDK13" s="239"/>
      <c r="HDL13" s="239"/>
      <c r="HDM13" s="239"/>
      <c r="HDN13" s="239"/>
      <c r="HDO13" s="239"/>
      <c r="HDP13" s="239"/>
      <c r="HDQ13" s="239"/>
      <c r="HDR13" s="239"/>
      <c r="HDS13" s="239"/>
      <c r="HDT13" s="239"/>
      <c r="HDU13" s="239"/>
      <c r="HDV13" s="239"/>
      <c r="HDW13" s="239"/>
      <c r="HDX13" s="239"/>
      <c r="HDY13" s="239"/>
      <c r="HDZ13" s="239"/>
      <c r="HEA13" s="239"/>
      <c r="HEB13" s="239"/>
      <c r="HEC13" s="239"/>
      <c r="HED13" s="239"/>
      <c r="HEE13" s="239"/>
      <c r="HEF13" s="239"/>
      <c r="HEG13" s="239"/>
      <c r="HEH13" s="239"/>
      <c r="HEI13" s="239"/>
      <c r="HEJ13" s="239"/>
      <c r="HEK13" s="239"/>
      <c r="HEL13" s="239"/>
      <c r="HEM13" s="239"/>
      <c r="HEN13" s="239"/>
      <c r="HEO13" s="239"/>
      <c r="HEP13" s="239"/>
      <c r="HEQ13" s="239"/>
      <c r="HER13" s="239"/>
      <c r="HES13" s="239"/>
      <c r="HET13" s="239"/>
      <c r="HEU13" s="239"/>
      <c r="HEV13" s="239"/>
      <c r="HEW13" s="239"/>
      <c r="HEX13" s="239"/>
      <c r="HEY13" s="239"/>
      <c r="HEZ13" s="239"/>
      <c r="HFA13" s="239"/>
      <c r="HFB13" s="239"/>
      <c r="HFC13" s="239"/>
      <c r="HFD13" s="239"/>
      <c r="HFE13" s="239"/>
      <c r="HFF13" s="239"/>
      <c r="HFG13" s="239"/>
      <c r="HFH13" s="239"/>
      <c r="HFI13" s="239"/>
      <c r="HFJ13" s="239"/>
      <c r="HFK13" s="239"/>
      <c r="HFL13" s="239"/>
      <c r="HFM13" s="239"/>
      <c r="HFN13" s="239"/>
      <c r="HFO13" s="239"/>
      <c r="HFP13" s="239"/>
      <c r="HFQ13" s="239"/>
      <c r="HFR13" s="239"/>
      <c r="HFS13" s="239"/>
      <c r="HFT13" s="239"/>
      <c r="HFU13" s="239"/>
      <c r="HFV13" s="239"/>
      <c r="HFW13" s="239"/>
      <c r="HFX13" s="239"/>
      <c r="HFY13" s="239"/>
      <c r="HFZ13" s="239"/>
      <c r="HGA13" s="239"/>
      <c r="HGB13" s="239"/>
      <c r="HGC13" s="239"/>
      <c r="HGD13" s="239"/>
      <c r="HGE13" s="239"/>
      <c r="HGF13" s="239"/>
      <c r="HGG13" s="239"/>
      <c r="HGH13" s="239"/>
      <c r="HGI13" s="239"/>
      <c r="HGJ13" s="239"/>
      <c r="HGK13" s="239"/>
      <c r="HGL13" s="239"/>
      <c r="HGM13" s="239"/>
      <c r="HGN13" s="239"/>
      <c r="HGO13" s="239"/>
      <c r="HGP13" s="239"/>
      <c r="HGQ13" s="239"/>
      <c r="HGR13" s="239"/>
      <c r="HGS13" s="239"/>
      <c r="HGT13" s="239"/>
      <c r="HGU13" s="239"/>
      <c r="HGV13" s="239"/>
      <c r="HGW13" s="239"/>
      <c r="HGX13" s="239"/>
      <c r="HGY13" s="239"/>
      <c r="HGZ13" s="239"/>
      <c r="HHA13" s="239"/>
      <c r="HHB13" s="239"/>
      <c r="HHC13" s="239"/>
      <c r="HHD13" s="239"/>
      <c r="HHE13" s="239"/>
      <c r="HHF13" s="239"/>
      <c r="HHG13" s="239"/>
      <c r="HHH13" s="239"/>
      <c r="HHI13" s="239"/>
      <c r="HHJ13" s="239"/>
      <c r="HHK13" s="239"/>
      <c r="HHL13" s="239"/>
      <c r="HHM13" s="239"/>
      <c r="HHN13" s="239"/>
      <c r="HHO13" s="239"/>
      <c r="HHP13" s="239"/>
      <c r="HHQ13" s="239"/>
      <c r="HHR13" s="239"/>
      <c r="HHS13" s="239"/>
      <c r="HHT13" s="239"/>
      <c r="HHU13" s="239"/>
      <c r="HHV13" s="239"/>
      <c r="HHW13" s="239"/>
      <c r="HHX13" s="239"/>
      <c r="HHY13" s="239"/>
      <c r="HHZ13" s="239"/>
      <c r="HIA13" s="239"/>
      <c r="HIB13" s="239"/>
      <c r="HIC13" s="239"/>
      <c r="HID13" s="239"/>
      <c r="HIE13" s="239"/>
      <c r="HIF13" s="239"/>
      <c r="HIG13" s="239"/>
      <c r="HIH13" s="239"/>
      <c r="HII13" s="239"/>
      <c r="HIJ13" s="239"/>
      <c r="HIK13" s="239"/>
      <c r="HIL13" s="239"/>
      <c r="HIM13" s="239"/>
      <c r="HIN13" s="239"/>
      <c r="HIO13" s="239"/>
      <c r="HIP13" s="239"/>
      <c r="HIQ13" s="239"/>
      <c r="HIR13" s="239"/>
      <c r="HIS13" s="239"/>
      <c r="HIT13" s="239"/>
      <c r="HIU13" s="239"/>
      <c r="HIV13" s="239"/>
      <c r="HIW13" s="239"/>
      <c r="HIX13" s="239"/>
      <c r="HIY13" s="239"/>
      <c r="HIZ13" s="239"/>
      <c r="HJA13" s="239"/>
      <c r="HJB13" s="239"/>
      <c r="HJC13" s="239"/>
      <c r="HJD13" s="239"/>
      <c r="HJE13" s="239"/>
      <c r="HJF13" s="239"/>
      <c r="HJG13" s="239"/>
      <c r="HJH13" s="239"/>
      <c r="HJI13" s="239"/>
      <c r="HJJ13" s="239"/>
      <c r="HJK13" s="239"/>
      <c r="HJL13" s="239"/>
      <c r="HJM13" s="239"/>
      <c r="HJN13" s="239"/>
      <c r="HJO13" s="239"/>
      <c r="HJP13" s="239"/>
      <c r="HJQ13" s="239"/>
      <c r="HJR13" s="239"/>
      <c r="HJS13" s="239"/>
      <c r="HJT13" s="239"/>
      <c r="HJU13" s="239"/>
      <c r="HJV13" s="239"/>
      <c r="HJW13" s="239"/>
      <c r="HJX13" s="239"/>
      <c r="HJY13" s="239"/>
      <c r="HJZ13" s="239"/>
      <c r="HKA13" s="239"/>
      <c r="HKB13" s="239"/>
      <c r="HKC13" s="239"/>
      <c r="HKD13" s="239"/>
      <c r="HKE13" s="239"/>
      <c r="HKF13" s="239"/>
      <c r="HKG13" s="239"/>
      <c r="HKH13" s="239"/>
      <c r="HKI13" s="239"/>
      <c r="HKJ13" s="239"/>
      <c r="HKK13" s="239"/>
      <c r="HKL13" s="239"/>
      <c r="HKM13" s="239"/>
      <c r="HKN13" s="239"/>
      <c r="HKO13" s="239"/>
      <c r="HKP13" s="239"/>
      <c r="HKQ13" s="239"/>
      <c r="HKR13" s="239"/>
      <c r="HKS13" s="239"/>
      <c r="HKT13" s="239"/>
      <c r="HKU13" s="239"/>
      <c r="HKV13" s="239"/>
      <c r="HKW13" s="239"/>
      <c r="HKX13" s="239"/>
      <c r="HKY13" s="239"/>
      <c r="HKZ13" s="239"/>
      <c r="HLA13" s="239"/>
      <c r="HLB13" s="239"/>
      <c r="HLC13" s="239"/>
      <c r="HLD13" s="239"/>
      <c r="HLE13" s="239"/>
      <c r="HLF13" s="239"/>
      <c r="HLG13" s="239"/>
      <c r="HLH13" s="239"/>
      <c r="HLI13" s="239"/>
      <c r="HLJ13" s="239"/>
      <c r="HLK13" s="239"/>
      <c r="HLL13" s="239"/>
      <c r="HLM13" s="239"/>
      <c r="HLN13" s="239"/>
      <c r="HLO13" s="239"/>
      <c r="HLP13" s="239"/>
      <c r="HLQ13" s="239"/>
      <c r="HLR13" s="239"/>
      <c r="HLS13" s="239"/>
      <c r="HLT13" s="239"/>
      <c r="HLU13" s="239"/>
      <c r="HLV13" s="239"/>
      <c r="HLW13" s="239"/>
      <c r="HLX13" s="239"/>
      <c r="HLY13" s="239"/>
      <c r="HLZ13" s="239"/>
      <c r="HMA13" s="239"/>
      <c r="HMB13" s="239"/>
      <c r="HMC13" s="239"/>
      <c r="HMD13" s="239"/>
      <c r="HME13" s="239"/>
      <c r="HMF13" s="239"/>
      <c r="HMG13" s="239"/>
      <c r="HMH13" s="239"/>
      <c r="HMI13" s="239"/>
      <c r="HMJ13" s="239"/>
      <c r="HMK13" s="239"/>
      <c r="HML13" s="239"/>
      <c r="HMM13" s="239"/>
      <c r="HMN13" s="239"/>
      <c r="HMO13" s="239"/>
      <c r="HMP13" s="239"/>
      <c r="HMQ13" s="239"/>
      <c r="HMR13" s="239"/>
      <c r="HMS13" s="239"/>
      <c r="HMT13" s="239"/>
      <c r="HMU13" s="239"/>
      <c r="HMV13" s="239"/>
      <c r="HMW13" s="239"/>
      <c r="HMX13" s="239"/>
      <c r="HMY13" s="239"/>
      <c r="HMZ13" s="239"/>
      <c r="HNA13" s="239"/>
      <c r="HNB13" s="239"/>
      <c r="HNC13" s="239"/>
      <c r="HND13" s="239"/>
      <c r="HNE13" s="239"/>
      <c r="HNF13" s="239"/>
      <c r="HNG13" s="239"/>
      <c r="HNH13" s="239"/>
      <c r="HNI13" s="239"/>
      <c r="HNJ13" s="239"/>
      <c r="HNK13" s="239"/>
      <c r="HNL13" s="239"/>
      <c r="HNM13" s="239"/>
      <c r="HNN13" s="239"/>
      <c r="HNO13" s="239"/>
      <c r="HNP13" s="239"/>
      <c r="HNQ13" s="239"/>
      <c r="HNR13" s="239"/>
      <c r="HNS13" s="239"/>
      <c r="HNT13" s="239"/>
      <c r="HNU13" s="239"/>
      <c r="HNV13" s="239"/>
      <c r="HNW13" s="239"/>
      <c r="HNX13" s="239"/>
      <c r="HNY13" s="239"/>
      <c r="HNZ13" s="239"/>
      <c r="HOA13" s="239"/>
      <c r="HOB13" s="239"/>
      <c r="HOC13" s="239"/>
      <c r="HOD13" s="239"/>
      <c r="HOE13" s="239"/>
      <c r="HOF13" s="239"/>
      <c r="HOG13" s="239"/>
      <c r="HOH13" s="239"/>
      <c r="HOI13" s="239"/>
      <c r="HOJ13" s="239"/>
      <c r="HOK13" s="239"/>
      <c r="HOL13" s="239"/>
      <c r="HOM13" s="239"/>
      <c r="HON13" s="239"/>
      <c r="HOO13" s="239"/>
      <c r="HOP13" s="239"/>
      <c r="HOQ13" s="239"/>
      <c r="HOR13" s="239"/>
      <c r="HOS13" s="239"/>
      <c r="HOT13" s="239"/>
      <c r="HOU13" s="239"/>
      <c r="HOV13" s="239"/>
      <c r="HOW13" s="239"/>
      <c r="HOX13" s="239"/>
      <c r="HOY13" s="239"/>
      <c r="HOZ13" s="239"/>
      <c r="HPA13" s="239"/>
      <c r="HPB13" s="239"/>
      <c r="HPC13" s="239"/>
      <c r="HPD13" s="239"/>
      <c r="HPE13" s="239"/>
      <c r="HPF13" s="239"/>
      <c r="HPG13" s="239"/>
      <c r="HPH13" s="239"/>
      <c r="HPI13" s="239"/>
      <c r="HPJ13" s="239"/>
      <c r="HPK13" s="239"/>
      <c r="HPL13" s="239"/>
      <c r="HPM13" s="239"/>
      <c r="HPN13" s="239"/>
      <c r="HPO13" s="239"/>
      <c r="HPP13" s="239"/>
      <c r="HPQ13" s="239"/>
      <c r="HPR13" s="239"/>
      <c r="HPS13" s="239"/>
      <c r="HPT13" s="239"/>
      <c r="HPU13" s="239"/>
      <c r="HPV13" s="239"/>
      <c r="HPW13" s="239"/>
      <c r="HPX13" s="239"/>
      <c r="HPY13" s="239"/>
      <c r="HPZ13" s="239"/>
      <c r="HQA13" s="239"/>
      <c r="HQB13" s="239"/>
      <c r="HQC13" s="239"/>
      <c r="HQD13" s="239"/>
      <c r="HQE13" s="239"/>
      <c r="HQF13" s="239"/>
      <c r="HQG13" s="239"/>
      <c r="HQH13" s="239"/>
      <c r="HQI13" s="239"/>
      <c r="HQJ13" s="239"/>
      <c r="HQK13" s="239"/>
      <c r="HQL13" s="239"/>
      <c r="HQM13" s="239"/>
      <c r="HQN13" s="239"/>
      <c r="HQO13" s="239"/>
      <c r="HQP13" s="239"/>
      <c r="HQQ13" s="239"/>
      <c r="HQR13" s="239"/>
      <c r="HQS13" s="239"/>
      <c r="HQT13" s="239"/>
      <c r="HQU13" s="239"/>
      <c r="HQV13" s="239"/>
      <c r="HQW13" s="239"/>
      <c r="HQX13" s="239"/>
      <c r="HQY13" s="239"/>
      <c r="HQZ13" s="239"/>
      <c r="HRA13" s="239"/>
      <c r="HRB13" s="239"/>
      <c r="HRC13" s="239"/>
      <c r="HRD13" s="239"/>
      <c r="HRE13" s="239"/>
      <c r="HRF13" s="239"/>
      <c r="HRG13" s="239"/>
      <c r="HRH13" s="239"/>
      <c r="HRI13" s="239"/>
      <c r="HRJ13" s="239"/>
      <c r="HRK13" s="239"/>
      <c r="HRL13" s="239"/>
      <c r="HRM13" s="239"/>
      <c r="HRN13" s="239"/>
      <c r="HRO13" s="239"/>
      <c r="HRP13" s="239"/>
      <c r="HRQ13" s="239"/>
      <c r="HRR13" s="239"/>
      <c r="HRS13" s="239"/>
      <c r="HRT13" s="239"/>
      <c r="HRU13" s="239"/>
      <c r="HRV13" s="239"/>
      <c r="HRW13" s="239"/>
      <c r="HRX13" s="239"/>
      <c r="HRY13" s="239"/>
      <c r="HRZ13" s="239"/>
      <c r="HSA13" s="239"/>
      <c r="HSB13" s="239"/>
      <c r="HSC13" s="239"/>
      <c r="HSD13" s="239"/>
      <c r="HSE13" s="239"/>
      <c r="HSF13" s="239"/>
      <c r="HSG13" s="239"/>
      <c r="HSH13" s="239"/>
      <c r="HSI13" s="239"/>
      <c r="HSJ13" s="239"/>
      <c r="HSK13" s="239"/>
      <c r="HSL13" s="239"/>
      <c r="HSM13" s="239"/>
      <c r="HSN13" s="239"/>
      <c r="HSO13" s="239"/>
      <c r="HSP13" s="239"/>
      <c r="HSQ13" s="239"/>
      <c r="HSR13" s="239"/>
      <c r="HSS13" s="239"/>
      <c r="HST13" s="239"/>
      <c r="HSU13" s="239"/>
      <c r="HSV13" s="239"/>
      <c r="HSW13" s="239"/>
      <c r="HSX13" s="239"/>
      <c r="HSY13" s="239"/>
      <c r="HSZ13" s="239"/>
      <c r="HTA13" s="239"/>
      <c r="HTB13" s="239"/>
      <c r="HTC13" s="239"/>
      <c r="HTD13" s="239"/>
      <c r="HTE13" s="239"/>
      <c r="HTF13" s="239"/>
      <c r="HTG13" s="239"/>
      <c r="HTH13" s="239"/>
      <c r="HTI13" s="239"/>
      <c r="HTJ13" s="239"/>
      <c r="HTK13" s="239"/>
      <c r="HTL13" s="239"/>
      <c r="HTM13" s="239"/>
      <c r="HTN13" s="239"/>
      <c r="HTO13" s="239"/>
      <c r="HTP13" s="239"/>
      <c r="HTQ13" s="239"/>
      <c r="HTR13" s="239"/>
      <c r="HTS13" s="239"/>
      <c r="HTT13" s="239"/>
      <c r="HTU13" s="239"/>
      <c r="HTV13" s="239"/>
      <c r="HTW13" s="239"/>
      <c r="HTX13" s="239"/>
      <c r="HTY13" s="239"/>
      <c r="HTZ13" s="239"/>
      <c r="HUA13" s="239"/>
      <c r="HUB13" s="239"/>
      <c r="HUC13" s="239"/>
      <c r="HUD13" s="239"/>
      <c r="HUE13" s="239"/>
      <c r="HUF13" s="239"/>
      <c r="HUG13" s="239"/>
      <c r="HUH13" s="239"/>
      <c r="HUI13" s="239"/>
      <c r="HUJ13" s="239"/>
      <c r="HUK13" s="239"/>
      <c r="HUL13" s="239"/>
      <c r="HUM13" s="239"/>
      <c r="HUN13" s="239"/>
      <c r="HUO13" s="239"/>
      <c r="HUP13" s="239"/>
      <c r="HUQ13" s="239"/>
      <c r="HUR13" s="239"/>
      <c r="HUS13" s="239"/>
      <c r="HUT13" s="239"/>
      <c r="HUU13" s="239"/>
      <c r="HUV13" s="239"/>
      <c r="HUW13" s="239"/>
      <c r="HUX13" s="239"/>
      <c r="HUY13" s="239"/>
      <c r="HUZ13" s="239"/>
      <c r="HVA13" s="239"/>
      <c r="HVB13" s="239"/>
      <c r="HVC13" s="239"/>
      <c r="HVD13" s="239"/>
      <c r="HVE13" s="239"/>
      <c r="HVF13" s="239"/>
      <c r="HVG13" s="239"/>
      <c r="HVH13" s="239"/>
      <c r="HVI13" s="239"/>
      <c r="HVJ13" s="239"/>
      <c r="HVK13" s="239"/>
      <c r="HVL13" s="239"/>
      <c r="HVM13" s="239"/>
      <c r="HVN13" s="239"/>
      <c r="HVO13" s="239"/>
      <c r="HVP13" s="239"/>
      <c r="HVQ13" s="239"/>
      <c r="HVR13" s="239"/>
      <c r="HVS13" s="239"/>
      <c r="HVT13" s="239"/>
      <c r="HVU13" s="239"/>
      <c r="HVV13" s="239"/>
      <c r="HVW13" s="239"/>
      <c r="HVX13" s="239"/>
      <c r="HVY13" s="239"/>
      <c r="HVZ13" s="239"/>
      <c r="HWA13" s="239"/>
      <c r="HWB13" s="239"/>
      <c r="HWC13" s="239"/>
      <c r="HWD13" s="239"/>
      <c r="HWE13" s="239"/>
      <c r="HWF13" s="239"/>
      <c r="HWG13" s="239"/>
      <c r="HWH13" s="239"/>
      <c r="HWI13" s="239"/>
      <c r="HWJ13" s="239"/>
      <c r="HWK13" s="239"/>
      <c r="HWL13" s="239"/>
      <c r="HWM13" s="239"/>
      <c r="HWN13" s="239"/>
      <c r="HWO13" s="239"/>
      <c r="HWP13" s="239"/>
      <c r="HWQ13" s="239"/>
      <c r="HWR13" s="239"/>
      <c r="HWS13" s="239"/>
      <c r="HWT13" s="239"/>
      <c r="HWU13" s="239"/>
      <c r="HWV13" s="239"/>
      <c r="HWW13" s="239"/>
      <c r="HWX13" s="239"/>
      <c r="HWY13" s="239"/>
      <c r="HWZ13" s="239"/>
      <c r="HXA13" s="239"/>
      <c r="HXB13" s="239"/>
      <c r="HXC13" s="239"/>
      <c r="HXD13" s="239"/>
      <c r="HXE13" s="239"/>
      <c r="HXF13" s="239"/>
      <c r="HXG13" s="239"/>
      <c r="HXH13" s="239"/>
      <c r="HXI13" s="239"/>
      <c r="HXJ13" s="239"/>
      <c r="HXK13" s="239"/>
      <c r="HXL13" s="239"/>
      <c r="HXM13" s="239"/>
      <c r="HXN13" s="239"/>
      <c r="HXO13" s="239"/>
      <c r="HXP13" s="239"/>
      <c r="HXQ13" s="239"/>
      <c r="HXR13" s="239"/>
      <c r="HXS13" s="239"/>
      <c r="HXT13" s="239"/>
      <c r="HXU13" s="239"/>
      <c r="HXV13" s="239"/>
      <c r="HXW13" s="239"/>
      <c r="HXX13" s="239"/>
      <c r="HXY13" s="239"/>
      <c r="HXZ13" s="239"/>
      <c r="HYA13" s="239"/>
      <c r="HYB13" s="239"/>
      <c r="HYC13" s="239"/>
      <c r="HYD13" s="239"/>
      <c r="HYE13" s="239"/>
      <c r="HYF13" s="239"/>
      <c r="HYG13" s="239"/>
      <c r="HYH13" s="239"/>
      <c r="HYI13" s="239"/>
      <c r="HYJ13" s="239"/>
      <c r="HYK13" s="239"/>
      <c r="HYL13" s="239"/>
      <c r="HYM13" s="239"/>
      <c r="HYN13" s="239"/>
      <c r="HYO13" s="239"/>
      <c r="HYP13" s="239"/>
      <c r="HYQ13" s="239"/>
      <c r="HYR13" s="239"/>
      <c r="HYS13" s="239"/>
      <c r="HYT13" s="239"/>
      <c r="HYU13" s="239"/>
      <c r="HYV13" s="239"/>
      <c r="HYW13" s="239"/>
      <c r="HYX13" s="239"/>
      <c r="HYY13" s="239"/>
      <c r="HYZ13" s="239"/>
      <c r="HZA13" s="239"/>
      <c r="HZB13" s="239"/>
      <c r="HZC13" s="239"/>
      <c r="HZD13" s="239"/>
      <c r="HZE13" s="239"/>
      <c r="HZF13" s="239"/>
      <c r="HZG13" s="239"/>
      <c r="HZH13" s="239"/>
      <c r="HZI13" s="239"/>
      <c r="HZJ13" s="239"/>
      <c r="HZK13" s="239"/>
      <c r="HZL13" s="239"/>
      <c r="HZM13" s="239"/>
      <c r="HZN13" s="239"/>
      <c r="HZO13" s="239"/>
      <c r="HZP13" s="239"/>
      <c r="HZQ13" s="239"/>
      <c r="HZR13" s="239"/>
      <c r="HZS13" s="239"/>
      <c r="HZT13" s="239"/>
      <c r="HZU13" s="239"/>
      <c r="HZV13" s="239"/>
      <c r="HZW13" s="239"/>
      <c r="HZX13" s="239"/>
      <c r="HZY13" s="239"/>
      <c r="HZZ13" s="239"/>
      <c r="IAA13" s="239"/>
      <c r="IAB13" s="239"/>
      <c r="IAC13" s="239"/>
      <c r="IAD13" s="239"/>
      <c r="IAE13" s="239"/>
      <c r="IAF13" s="239"/>
      <c r="IAG13" s="239"/>
      <c r="IAH13" s="239"/>
      <c r="IAI13" s="239"/>
      <c r="IAJ13" s="239"/>
      <c r="IAK13" s="239"/>
      <c r="IAL13" s="239"/>
      <c r="IAM13" s="239"/>
      <c r="IAN13" s="239"/>
      <c r="IAO13" s="239"/>
      <c r="IAP13" s="239"/>
      <c r="IAQ13" s="239"/>
      <c r="IAR13" s="239"/>
      <c r="IAS13" s="239"/>
      <c r="IAT13" s="239"/>
      <c r="IAU13" s="239"/>
      <c r="IAV13" s="239"/>
      <c r="IAW13" s="239"/>
      <c r="IAX13" s="239"/>
      <c r="IAY13" s="239"/>
      <c r="IAZ13" s="239"/>
      <c r="IBA13" s="239"/>
      <c r="IBB13" s="239"/>
      <c r="IBC13" s="239"/>
      <c r="IBD13" s="239"/>
      <c r="IBE13" s="239"/>
      <c r="IBF13" s="239"/>
      <c r="IBG13" s="239"/>
      <c r="IBH13" s="239"/>
      <c r="IBI13" s="239"/>
      <c r="IBJ13" s="239"/>
      <c r="IBK13" s="239"/>
      <c r="IBL13" s="239"/>
      <c r="IBM13" s="239"/>
      <c r="IBN13" s="239"/>
      <c r="IBO13" s="239"/>
      <c r="IBP13" s="239"/>
      <c r="IBQ13" s="239"/>
      <c r="IBR13" s="239"/>
      <c r="IBS13" s="239"/>
      <c r="IBT13" s="239"/>
      <c r="IBU13" s="239"/>
      <c r="IBV13" s="239"/>
      <c r="IBW13" s="239"/>
      <c r="IBX13" s="239"/>
      <c r="IBY13" s="239"/>
      <c r="IBZ13" s="239"/>
      <c r="ICA13" s="239"/>
      <c r="ICB13" s="239"/>
      <c r="ICC13" s="239"/>
      <c r="ICD13" s="239"/>
      <c r="ICE13" s="239"/>
      <c r="ICF13" s="239"/>
      <c r="ICG13" s="239"/>
      <c r="ICH13" s="239"/>
      <c r="ICI13" s="239"/>
      <c r="ICJ13" s="239"/>
      <c r="ICK13" s="239"/>
      <c r="ICL13" s="239"/>
      <c r="ICM13" s="239"/>
      <c r="ICN13" s="239"/>
      <c r="ICO13" s="239"/>
      <c r="ICP13" s="239"/>
      <c r="ICQ13" s="239"/>
      <c r="ICR13" s="239"/>
      <c r="ICS13" s="239"/>
      <c r="ICT13" s="239"/>
      <c r="ICU13" s="239"/>
      <c r="ICV13" s="239"/>
      <c r="ICW13" s="239"/>
      <c r="ICX13" s="239"/>
      <c r="ICY13" s="239"/>
      <c r="ICZ13" s="239"/>
      <c r="IDA13" s="239"/>
      <c r="IDB13" s="239"/>
      <c r="IDC13" s="239"/>
      <c r="IDD13" s="239"/>
      <c r="IDE13" s="239"/>
      <c r="IDF13" s="239"/>
      <c r="IDG13" s="239"/>
      <c r="IDH13" s="239"/>
      <c r="IDI13" s="239"/>
      <c r="IDJ13" s="239"/>
      <c r="IDK13" s="239"/>
      <c r="IDL13" s="239"/>
      <c r="IDM13" s="239"/>
      <c r="IDN13" s="239"/>
      <c r="IDO13" s="239"/>
      <c r="IDP13" s="239"/>
      <c r="IDQ13" s="239"/>
      <c r="IDR13" s="239"/>
      <c r="IDS13" s="239"/>
      <c r="IDT13" s="239"/>
      <c r="IDU13" s="239"/>
      <c r="IDV13" s="239"/>
      <c r="IDW13" s="239"/>
      <c r="IDX13" s="239"/>
      <c r="IDY13" s="239"/>
      <c r="IDZ13" s="239"/>
      <c r="IEA13" s="239"/>
      <c r="IEB13" s="239"/>
      <c r="IEC13" s="239"/>
      <c r="IED13" s="239"/>
      <c r="IEE13" s="239"/>
      <c r="IEF13" s="239"/>
      <c r="IEG13" s="239"/>
      <c r="IEH13" s="239"/>
      <c r="IEI13" s="239"/>
      <c r="IEJ13" s="239"/>
      <c r="IEK13" s="239"/>
      <c r="IEL13" s="239"/>
      <c r="IEM13" s="239"/>
      <c r="IEN13" s="239"/>
      <c r="IEO13" s="239"/>
      <c r="IEP13" s="239"/>
      <c r="IEQ13" s="239"/>
      <c r="IER13" s="239"/>
      <c r="IES13" s="239"/>
      <c r="IET13" s="239"/>
      <c r="IEU13" s="239"/>
      <c r="IEV13" s="239"/>
      <c r="IEW13" s="239"/>
      <c r="IEX13" s="239"/>
      <c r="IEY13" s="239"/>
      <c r="IEZ13" s="239"/>
      <c r="IFA13" s="239"/>
      <c r="IFB13" s="239"/>
      <c r="IFC13" s="239"/>
      <c r="IFD13" s="239"/>
      <c r="IFE13" s="239"/>
      <c r="IFF13" s="239"/>
      <c r="IFG13" s="239"/>
      <c r="IFH13" s="239"/>
      <c r="IFI13" s="239"/>
      <c r="IFJ13" s="239"/>
      <c r="IFK13" s="239"/>
      <c r="IFL13" s="239"/>
      <c r="IFM13" s="239"/>
      <c r="IFN13" s="239"/>
      <c r="IFO13" s="239"/>
      <c r="IFP13" s="239"/>
      <c r="IFQ13" s="239"/>
      <c r="IFR13" s="239"/>
      <c r="IFS13" s="239"/>
      <c r="IFT13" s="239"/>
      <c r="IFU13" s="239"/>
      <c r="IFV13" s="239"/>
      <c r="IFW13" s="239"/>
      <c r="IFX13" s="239"/>
      <c r="IFY13" s="239"/>
      <c r="IFZ13" s="239"/>
      <c r="IGA13" s="239"/>
      <c r="IGB13" s="239"/>
      <c r="IGC13" s="239"/>
      <c r="IGD13" s="239"/>
      <c r="IGE13" s="239"/>
      <c r="IGF13" s="239"/>
      <c r="IGG13" s="239"/>
      <c r="IGH13" s="239"/>
      <c r="IGI13" s="239"/>
      <c r="IGJ13" s="239"/>
      <c r="IGK13" s="239"/>
      <c r="IGL13" s="239"/>
      <c r="IGM13" s="239"/>
      <c r="IGN13" s="239"/>
      <c r="IGO13" s="239"/>
      <c r="IGP13" s="239"/>
      <c r="IGQ13" s="239"/>
      <c r="IGR13" s="239"/>
      <c r="IGS13" s="239"/>
      <c r="IGT13" s="239"/>
      <c r="IGU13" s="239"/>
      <c r="IGV13" s="239"/>
      <c r="IGW13" s="239"/>
      <c r="IGX13" s="239"/>
      <c r="IGY13" s="239"/>
      <c r="IGZ13" s="239"/>
      <c r="IHA13" s="239"/>
      <c r="IHB13" s="239"/>
      <c r="IHC13" s="239"/>
      <c r="IHD13" s="239"/>
      <c r="IHE13" s="239"/>
      <c r="IHF13" s="239"/>
      <c r="IHG13" s="239"/>
      <c r="IHH13" s="239"/>
      <c r="IHI13" s="239"/>
      <c r="IHJ13" s="239"/>
      <c r="IHK13" s="239"/>
      <c r="IHL13" s="239"/>
      <c r="IHM13" s="239"/>
      <c r="IHN13" s="239"/>
      <c r="IHO13" s="239"/>
      <c r="IHP13" s="239"/>
      <c r="IHQ13" s="239"/>
      <c r="IHR13" s="239"/>
      <c r="IHS13" s="239"/>
      <c r="IHT13" s="239"/>
      <c r="IHU13" s="239"/>
      <c r="IHV13" s="239"/>
      <c r="IHW13" s="239"/>
      <c r="IHX13" s="239"/>
      <c r="IHY13" s="239"/>
      <c r="IHZ13" s="239"/>
      <c r="IIA13" s="239"/>
      <c r="IIB13" s="239"/>
      <c r="IIC13" s="239"/>
      <c r="IID13" s="239"/>
      <c r="IIE13" s="239"/>
      <c r="IIF13" s="239"/>
      <c r="IIG13" s="239"/>
      <c r="IIH13" s="239"/>
      <c r="III13" s="239"/>
      <c r="IIJ13" s="239"/>
      <c r="IIK13" s="239"/>
      <c r="IIL13" s="239"/>
      <c r="IIM13" s="239"/>
      <c r="IIN13" s="239"/>
      <c r="IIO13" s="239"/>
      <c r="IIP13" s="239"/>
      <c r="IIQ13" s="239"/>
      <c r="IIR13" s="239"/>
      <c r="IIS13" s="239"/>
      <c r="IIT13" s="239"/>
      <c r="IIU13" s="239"/>
      <c r="IIV13" s="239"/>
      <c r="IIW13" s="239"/>
      <c r="IIX13" s="239"/>
      <c r="IIY13" s="239"/>
      <c r="IIZ13" s="239"/>
      <c r="IJA13" s="239"/>
      <c r="IJB13" s="239"/>
      <c r="IJC13" s="239"/>
      <c r="IJD13" s="239"/>
      <c r="IJE13" s="239"/>
      <c r="IJF13" s="239"/>
      <c r="IJG13" s="239"/>
      <c r="IJH13" s="239"/>
      <c r="IJI13" s="239"/>
      <c r="IJJ13" s="239"/>
      <c r="IJK13" s="239"/>
      <c r="IJL13" s="239"/>
      <c r="IJM13" s="239"/>
      <c r="IJN13" s="239"/>
      <c r="IJO13" s="239"/>
      <c r="IJP13" s="239"/>
      <c r="IJQ13" s="239"/>
      <c r="IJR13" s="239"/>
      <c r="IJS13" s="239"/>
      <c r="IJT13" s="239"/>
      <c r="IJU13" s="239"/>
      <c r="IJV13" s="239"/>
      <c r="IJW13" s="239"/>
      <c r="IJX13" s="239"/>
      <c r="IJY13" s="239"/>
      <c r="IJZ13" s="239"/>
      <c r="IKA13" s="239"/>
      <c r="IKB13" s="239"/>
      <c r="IKC13" s="239"/>
      <c r="IKD13" s="239"/>
      <c r="IKE13" s="239"/>
      <c r="IKF13" s="239"/>
      <c r="IKG13" s="239"/>
      <c r="IKH13" s="239"/>
      <c r="IKI13" s="239"/>
      <c r="IKJ13" s="239"/>
      <c r="IKK13" s="239"/>
      <c r="IKL13" s="239"/>
      <c r="IKM13" s="239"/>
      <c r="IKN13" s="239"/>
      <c r="IKO13" s="239"/>
      <c r="IKP13" s="239"/>
      <c r="IKQ13" s="239"/>
      <c r="IKR13" s="239"/>
      <c r="IKS13" s="239"/>
      <c r="IKT13" s="239"/>
      <c r="IKU13" s="239"/>
      <c r="IKV13" s="239"/>
      <c r="IKW13" s="239"/>
      <c r="IKX13" s="239"/>
      <c r="IKY13" s="239"/>
      <c r="IKZ13" s="239"/>
      <c r="ILA13" s="239"/>
      <c r="ILB13" s="239"/>
      <c r="ILC13" s="239"/>
      <c r="ILD13" s="239"/>
      <c r="ILE13" s="239"/>
      <c r="ILF13" s="239"/>
      <c r="ILG13" s="239"/>
      <c r="ILH13" s="239"/>
      <c r="ILI13" s="239"/>
      <c r="ILJ13" s="239"/>
      <c r="ILK13" s="239"/>
      <c r="ILL13" s="239"/>
      <c r="ILM13" s="239"/>
      <c r="ILN13" s="239"/>
      <c r="ILO13" s="239"/>
      <c r="ILP13" s="239"/>
      <c r="ILQ13" s="239"/>
      <c r="ILR13" s="239"/>
      <c r="ILS13" s="239"/>
      <c r="ILT13" s="239"/>
      <c r="ILU13" s="239"/>
      <c r="ILV13" s="239"/>
      <c r="ILW13" s="239"/>
      <c r="ILX13" s="239"/>
      <c r="ILY13" s="239"/>
      <c r="ILZ13" s="239"/>
      <c r="IMA13" s="239"/>
      <c r="IMB13" s="239"/>
      <c r="IMC13" s="239"/>
      <c r="IMD13" s="239"/>
      <c r="IME13" s="239"/>
      <c r="IMF13" s="239"/>
      <c r="IMG13" s="239"/>
      <c r="IMH13" s="239"/>
      <c r="IMI13" s="239"/>
      <c r="IMJ13" s="239"/>
      <c r="IMK13" s="239"/>
      <c r="IML13" s="239"/>
      <c r="IMM13" s="239"/>
      <c r="IMN13" s="239"/>
      <c r="IMO13" s="239"/>
      <c r="IMP13" s="239"/>
      <c r="IMQ13" s="239"/>
      <c r="IMR13" s="239"/>
      <c r="IMS13" s="239"/>
      <c r="IMT13" s="239"/>
      <c r="IMU13" s="239"/>
      <c r="IMV13" s="239"/>
      <c r="IMW13" s="239"/>
      <c r="IMX13" s="239"/>
      <c r="IMY13" s="239"/>
      <c r="IMZ13" s="239"/>
      <c r="INA13" s="239"/>
      <c r="INB13" s="239"/>
      <c r="INC13" s="239"/>
      <c r="IND13" s="239"/>
      <c r="INE13" s="239"/>
      <c r="INF13" s="239"/>
      <c r="ING13" s="239"/>
      <c r="INH13" s="239"/>
      <c r="INI13" s="239"/>
      <c r="INJ13" s="239"/>
      <c r="INK13" s="239"/>
      <c r="INL13" s="239"/>
      <c r="INM13" s="239"/>
      <c r="INN13" s="239"/>
      <c r="INO13" s="239"/>
      <c r="INP13" s="239"/>
      <c r="INQ13" s="239"/>
      <c r="INR13" s="239"/>
      <c r="INS13" s="239"/>
      <c r="INT13" s="239"/>
      <c r="INU13" s="239"/>
      <c r="INV13" s="239"/>
      <c r="INW13" s="239"/>
      <c r="INX13" s="239"/>
      <c r="INY13" s="239"/>
      <c r="INZ13" s="239"/>
      <c r="IOA13" s="239"/>
      <c r="IOB13" s="239"/>
      <c r="IOC13" s="239"/>
      <c r="IOD13" s="239"/>
      <c r="IOE13" s="239"/>
      <c r="IOF13" s="239"/>
      <c r="IOG13" s="239"/>
      <c r="IOH13" s="239"/>
      <c r="IOI13" s="239"/>
      <c r="IOJ13" s="239"/>
      <c r="IOK13" s="239"/>
      <c r="IOL13" s="239"/>
      <c r="IOM13" s="239"/>
      <c r="ION13" s="239"/>
      <c r="IOO13" s="239"/>
      <c r="IOP13" s="239"/>
      <c r="IOQ13" s="239"/>
      <c r="IOR13" s="239"/>
      <c r="IOS13" s="239"/>
      <c r="IOT13" s="239"/>
      <c r="IOU13" s="239"/>
      <c r="IOV13" s="239"/>
      <c r="IOW13" s="239"/>
      <c r="IOX13" s="239"/>
      <c r="IOY13" s="239"/>
      <c r="IOZ13" s="239"/>
      <c r="IPA13" s="239"/>
      <c r="IPB13" s="239"/>
      <c r="IPC13" s="239"/>
      <c r="IPD13" s="239"/>
      <c r="IPE13" s="239"/>
      <c r="IPF13" s="239"/>
      <c r="IPG13" s="239"/>
      <c r="IPH13" s="239"/>
      <c r="IPI13" s="239"/>
      <c r="IPJ13" s="239"/>
      <c r="IPK13" s="239"/>
      <c r="IPL13" s="239"/>
      <c r="IPM13" s="239"/>
      <c r="IPN13" s="239"/>
      <c r="IPO13" s="239"/>
      <c r="IPP13" s="239"/>
      <c r="IPQ13" s="239"/>
      <c r="IPR13" s="239"/>
      <c r="IPS13" s="239"/>
      <c r="IPT13" s="239"/>
      <c r="IPU13" s="239"/>
      <c r="IPV13" s="239"/>
      <c r="IPW13" s="239"/>
      <c r="IPX13" s="239"/>
      <c r="IPY13" s="239"/>
      <c r="IPZ13" s="239"/>
      <c r="IQA13" s="239"/>
      <c r="IQB13" s="239"/>
      <c r="IQC13" s="239"/>
      <c r="IQD13" s="239"/>
      <c r="IQE13" s="239"/>
      <c r="IQF13" s="239"/>
      <c r="IQG13" s="239"/>
      <c r="IQH13" s="239"/>
      <c r="IQI13" s="239"/>
      <c r="IQJ13" s="239"/>
      <c r="IQK13" s="239"/>
      <c r="IQL13" s="239"/>
      <c r="IQM13" s="239"/>
      <c r="IQN13" s="239"/>
      <c r="IQO13" s="239"/>
      <c r="IQP13" s="239"/>
      <c r="IQQ13" s="239"/>
      <c r="IQR13" s="239"/>
      <c r="IQS13" s="239"/>
      <c r="IQT13" s="239"/>
      <c r="IQU13" s="239"/>
      <c r="IQV13" s="239"/>
      <c r="IQW13" s="239"/>
      <c r="IQX13" s="239"/>
      <c r="IQY13" s="239"/>
      <c r="IQZ13" s="239"/>
      <c r="IRA13" s="239"/>
      <c r="IRB13" s="239"/>
      <c r="IRC13" s="239"/>
      <c r="IRD13" s="239"/>
      <c r="IRE13" s="239"/>
      <c r="IRF13" s="239"/>
      <c r="IRG13" s="239"/>
      <c r="IRH13" s="239"/>
      <c r="IRI13" s="239"/>
      <c r="IRJ13" s="239"/>
      <c r="IRK13" s="239"/>
      <c r="IRL13" s="239"/>
      <c r="IRM13" s="239"/>
      <c r="IRN13" s="239"/>
      <c r="IRO13" s="239"/>
      <c r="IRP13" s="239"/>
      <c r="IRQ13" s="239"/>
      <c r="IRR13" s="239"/>
      <c r="IRS13" s="239"/>
      <c r="IRT13" s="239"/>
      <c r="IRU13" s="239"/>
      <c r="IRV13" s="239"/>
      <c r="IRW13" s="239"/>
      <c r="IRX13" s="239"/>
      <c r="IRY13" s="239"/>
      <c r="IRZ13" s="239"/>
      <c r="ISA13" s="239"/>
      <c r="ISB13" s="239"/>
      <c r="ISC13" s="239"/>
      <c r="ISD13" s="239"/>
      <c r="ISE13" s="239"/>
      <c r="ISF13" s="239"/>
      <c r="ISG13" s="239"/>
      <c r="ISH13" s="239"/>
      <c r="ISI13" s="239"/>
      <c r="ISJ13" s="239"/>
      <c r="ISK13" s="239"/>
      <c r="ISL13" s="239"/>
      <c r="ISM13" s="239"/>
      <c r="ISN13" s="239"/>
      <c r="ISO13" s="239"/>
      <c r="ISP13" s="239"/>
      <c r="ISQ13" s="239"/>
      <c r="ISR13" s="239"/>
      <c r="ISS13" s="239"/>
      <c r="IST13" s="239"/>
      <c r="ISU13" s="239"/>
      <c r="ISV13" s="239"/>
      <c r="ISW13" s="239"/>
      <c r="ISX13" s="239"/>
      <c r="ISY13" s="239"/>
      <c r="ISZ13" s="239"/>
      <c r="ITA13" s="239"/>
      <c r="ITB13" s="239"/>
      <c r="ITC13" s="239"/>
      <c r="ITD13" s="239"/>
      <c r="ITE13" s="239"/>
      <c r="ITF13" s="239"/>
      <c r="ITG13" s="239"/>
      <c r="ITH13" s="239"/>
      <c r="ITI13" s="239"/>
      <c r="ITJ13" s="239"/>
      <c r="ITK13" s="239"/>
      <c r="ITL13" s="239"/>
      <c r="ITM13" s="239"/>
      <c r="ITN13" s="239"/>
      <c r="ITO13" s="239"/>
      <c r="ITP13" s="239"/>
      <c r="ITQ13" s="239"/>
      <c r="ITR13" s="239"/>
      <c r="ITS13" s="239"/>
      <c r="ITT13" s="239"/>
      <c r="ITU13" s="239"/>
      <c r="ITV13" s="239"/>
      <c r="ITW13" s="239"/>
      <c r="ITX13" s="239"/>
      <c r="ITY13" s="239"/>
      <c r="ITZ13" s="239"/>
      <c r="IUA13" s="239"/>
      <c r="IUB13" s="239"/>
      <c r="IUC13" s="239"/>
      <c r="IUD13" s="239"/>
      <c r="IUE13" s="239"/>
      <c r="IUF13" s="239"/>
      <c r="IUG13" s="239"/>
      <c r="IUH13" s="239"/>
      <c r="IUI13" s="239"/>
      <c r="IUJ13" s="239"/>
      <c r="IUK13" s="239"/>
      <c r="IUL13" s="239"/>
      <c r="IUM13" s="239"/>
      <c r="IUN13" s="239"/>
      <c r="IUO13" s="239"/>
      <c r="IUP13" s="239"/>
      <c r="IUQ13" s="239"/>
      <c r="IUR13" s="239"/>
      <c r="IUS13" s="239"/>
      <c r="IUT13" s="239"/>
      <c r="IUU13" s="239"/>
      <c r="IUV13" s="239"/>
      <c r="IUW13" s="239"/>
      <c r="IUX13" s="239"/>
      <c r="IUY13" s="239"/>
      <c r="IUZ13" s="239"/>
      <c r="IVA13" s="239"/>
      <c r="IVB13" s="239"/>
      <c r="IVC13" s="239"/>
      <c r="IVD13" s="239"/>
      <c r="IVE13" s="239"/>
      <c r="IVF13" s="239"/>
      <c r="IVG13" s="239"/>
      <c r="IVH13" s="239"/>
      <c r="IVI13" s="239"/>
      <c r="IVJ13" s="239"/>
      <c r="IVK13" s="239"/>
      <c r="IVL13" s="239"/>
      <c r="IVM13" s="239"/>
      <c r="IVN13" s="239"/>
      <c r="IVO13" s="239"/>
      <c r="IVP13" s="239"/>
      <c r="IVQ13" s="239"/>
      <c r="IVR13" s="239"/>
      <c r="IVS13" s="239"/>
      <c r="IVT13" s="239"/>
      <c r="IVU13" s="239"/>
      <c r="IVV13" s="239"/>
      <c r="IVW13" s="239"/>
      <c r="IVX13" s="239"/>
      <c r="IVY13" s="239"/>
      <c r="IVZ13" s="239"/>
      <c r="IWA13" s="239"/>
      <c r="IWB13" s="239"/>
      <c r="IWC13" s="239"/>
      <c r="IWD13" s="239"/>
      <c r="IWE13" s="239"/>
      <c r="IWF13" s="239"/>
      <c r="IWG13" s="239"/>
      <c r="IWH13" s="239"/>
      <c r="IWI13" s="239"/>
      <c r="IWJ13" s="239"/>
      <c r="IWK13" s="239"/>
      <c r="IWL13" s="239"/>
      <c r="IWM13" s="239"/>
      <c r="IWN13" s="239"/>
      <c r="IWO13" s="239"/>
      <c r="IWP13" s="239"/>
      <c r="IWQ13" s="239"/>
      <c r="IWR13" s="239"/>
      <c r="IWS13" s="239"/>
      <c r="IWT13" s="239"/>
      <c r="IWU13" s="239"/>
      <c r="IWV13" s="239"/>
      <c r="IWW13" s="239"/>
      <c r="IWX13" s="239"/>
      <c r="IWY13" s="239"/>
      <c r="IWZ13" s="239"/>
      <c r="IXA13" s="239"/>
      <c r="IXB13" s="239"/>
      <c r="IXC13" s="239"/>
      <c r="IXD13" s="239"/>
      <c r="IXE13" s="239"/>
      <c r="IXF13" s="239"/>
      <c r="IXG13" s="239"/>
      <c r="IXH13" s="239"/>
      <c r="IXI13" s="239"/>
      <c r="IXJ13" s="239"/>
      <c r="IXK13" s="239"/>
      <c r="IXL13" s="239"/>
      <c r="IXM13" s="239"/>
      <c r="IXN13" s="239"/>
      <c r="IXO13" s="239"/>
      <c r="IXP13" s="239"/>
      <c r="IXQ13" s="239"/>
      <c r="IXR13" s="239"/>
      <c r="IXS13" s="239"/>
      <c r="IXT13" s="239"/>
      <c r="IXU13" s="239"/>
      <c r="IXV13" s="239"/>
      <c r="IXW13" s="239"/>
      <c r="IXX13" s="239"/>
      <c r="IXY13" s="239"/>
      <c r="IXZ13" s="239"/>
      <c r="IYA13" s="239"/>
      <c r="IYB13" s="239"/>
      <c r="IYC13" s="239"/>
      <c r="IYD13" s="239"/>
      <c r="IYE13" s="239"/>
      <c r="IYF13" s="239"/>
      <c r="IYG13" s="239"/>
      <c r="IYH13" s="239"/>
      <c r="IYI13" s="239"/>
      <c r="IYJ13" s="239"/>
      <c r="IYK13" s="239"/>
      <c r="IYL13" s="239"/>
      <c r="IYM13" s="239"/>
      <c r="IYN13" s="239"/>
      <c r="IYO13" s="239"/>
      <c r="IYP13" s="239"/>
      <c r="IYQ13" s="239"/>
      <c r="IYR13" s="239"/>
      <c r="IYS13" s="239"/>
      <c r="IYT13" s="239"/>
      <c r="IYU13" s="239"/>
      <c r="IYV13" s="239"/>
      <c r="IYW13" s="239"/>
      <c r="IYX13" s="239"/>
      <c r="IYY13" s="239"/>
      <c r="IYZ13" s="239"/>
      <c r="IZA13" s="239"/>
      <c r="IZB13" s="239"/>
      <c r="IZC13" s="239"/>
      <c r="IZD13" s="239"/>
      <c r="IZE13" s="239"/>
      <c r="IZF13" s="239"/>
      <c r="IZG13" s="239"/>
      <c r="IZH13" s="239"/>
      <c r="IZI13" s="239"/>
      <c r="IZJ13" s="239"/>
      <c r="IZK13" s="239"/>
      <c r="IZL13" s="239"/>
      <c r="IZM13" s="239"/>
      <c r="IZN13" s="239"/>
      <c r="IZO13" s="239"/>
      <c r="IZP13" s="239"/>
      <c r="IZQ13" s="239"/>
      <c r="IZR13" s="239"/>
      <c r="IZS13" s="239"/>
      <c r="IZT13" s="239"/>
      <c r="IZU13" s="239"/>
      <c r="IZV13" s="239"/>
      <c r="IZW13" s="239"/>
      <c r="IZX13" s="239"/>
      <c r="IZY13" s="239"/>
      <c r="IZZ13" s="239"/>
      <c r="JAA13" s="239"/>
      <c r="JAB13" s="239"/>
      <c r="JAC13" s="239"/>
      <c r="JAD13" s="239"/>
      <c r="JAE13" s="239"/>
      <c r="JAF13" s="239"/>
      <c r="JAG13" s="239"/>
      <c r="JAH13" s="239"/>
      <c r="JAI13" s="239"/>
      <c r="JAJ13" s="239"/>
      <c r="JAK13" s="239"/>
      <c r="JAL13" s="239"/>
      <c r="JAM13" s="239"/>
      <c r="JAN13" s="239"/>
      <c r="JAO13" s="239"/>
      <c r="JAP13" s="239"/>
      <c r="JAQ13" s="239"/>
      <c r="JAR13" s="239"/>
      <c r="JAS13" s="239"/>
      <c r="JAT13" s="239"/>
      <c r="JAU13" s="239"/>
      <c r="JAV13" s="239"/>
      <c r="JAW13" s="239"/>
      <c r="JAX13" s="239"/>
      <c r="JAY13" s="239"/>
      <c r="JAZ13" s="239"/>
      <c r="JBA13" s="239"/>
      <c r="JBB13" s="239"/>
      <c r="JBC13" s="239"/>
      <c r="JBD13" s="239"/>
      <c r="JBE13" s="239"/>
      <c r="JBF13" s="239"/>
      <c r="JBG13" s="239"/>
      <c r="JBH13" s="239"/>
      <c r="JBI13" s="239"/>
      <c r="JBJ13" s="239"/>
      <c r="JBK13" s="239"/>
      <c r="JBL13" s="239"/>
      <c r="JBM13" s="239"/>
      <c r="JBN13" s="239"/>
      <c r="JBO13" s="239"/>
      <c r="JBP13" s="239"/>
      <c r="JBQ13" s="239"/>
      <c r="JBR13" s="239"/>
      <c r="JBS13" s="239"/>
      <c r="JBT13" s="239"/>
      <c r="JBU13" s="239"/>
      <c r="JBV13" s="239"/>
      <c r="JBW13" s="239"/>
      <c r="JBX13" s="239"/>
      <c r="JBY13" s="239"/>
      <c r="JBZ13" s="239"/>
      <c r="JCA13" s="239"/>
      <c r="JCB13" s="239"/>
      <c r="JCC13" s="239"/>
      <c r="JCD13" s="239"/>
      <c r="JCE13" s="239"/>
      <c r="JCF13" s="239"/>
      <c r="JCG13" s="239"/>
      <c r="JCH13" s="239"/>
      <c r="JCI13" s="239"/>
      <c r="JCJ13" s="239"/>
      <c r="JCK13" s="239"/>
      <c r="JCL13" s="239"/>
      <c r="JCM13" s="239"/>
      <c r="JCN13" s="239"/>
      <c r="JCO13" s="239"/>
      <c r="JCP13" s="239"/>
      <c r="JCQ13" s="239"/>
      <c r="JCR13" s="239"/>
      <c r="JCS13" s="239"/>
      <c r="JCT13" s="239"/>
      <c r="JCU13" s="239"/>
      <c r="JCV13" s="239"/>
      <c r="JCW13" s="239"/>
      <c r="JCX13" s="239"/>
      <c r="JCY13" s="239"/>
      <c r="JCZ13" s="239"/>
      <c r="JDA13" s="239"/>
      <c r="JDB13" s="239"/>
      <c r="JDC13" s="239"/>
      <c r="JDD13" s="239"/>
      <c r="JDE13" s="239"/>
      <c r="JDF13" s="239"/>
      <c r="JDG13" s="239"/>
      <c r="JDH13" s="239"/>
      <c r="JDI13" s="239"/>
      <c r="JDJ13" s="239"/>
      <c r="JDK13" s="239"/>
      <c r="JDL13" s="239"/>
      <c r="JDM13" s="239"/>
      <c r="JDN13" s="239"/>
      <c r="JDO13" s="239"/>
      <c r="JDP13" s="239"/>
      <c r="JDQ13" s="239"/>
      <c r="JDR13" s="239"/>
      <c r="JDS13" s="239"/>
      <c r="JDT13" s="239"/>
      <c r="JDU13" s="239"/>
      <c r="JDV13" s="239"/>
      <c r="JDW13" s="239"/>
      <c r="JDX13" s="239"/>
      <c r="JDY13" s="239"/>
      <c r="JDZ13" s="239"/>
      <c r="JEA13" s="239"/>
      <c r="JEB13" s="239"/>
      <c r="JEC13" s="239"/>
      <c r="JED13" s="239"/>
      <c r="JEE13" s="239"/>
      <c r="JEF13" s="239"/>
      <c r="JEG13" s="239"/>
      <c r="JEH13" s="239"/>
      <c r="JEI13" s="239"/>
      <c r="JEJ13" s="239"/>
      <c r="JEK13" s="239"/>
      <c r="JEL13" s="239"/>
      <c r="JEM13" s="239"/>
      <c r="JEN13" s="239"/>
      <c r="JEO13" s="239"/>
      <c r="JEP13" s="239"/>
      <c r="JEQ13" s="239"/>
      <c r="JER13" s="239"/>
      <c r="JES13" s="239"/>
      <c r="JET13" s="239"/>
      <c r="JEU13" s="239"/>
      <c r="JEV13" s="239"/>
      <c r="JEW13" s="239"/>
      <c r="JEX13" s="239"/>
      <c r="JEY13" s="239"/>
      <c r="JEZ13" s="239"/>
      <c r="JFA13" s="239"/>
      <c r="JFB13" s="239"/>
      <c r="JFC13" s="239"/>
      <c r="JFD13" s="239"/>
      <c r="JFE13" s="239"/>
      <c r="JFF13" s="239"/>
      <c r="JFG13" s="239"/>
      <c r="JFH13" s="239"/>
      <c r="JFI13" s="239"/>
      <c r="JFJ13" s="239"/>
      <c r="JFK13" s="239"/>
      <c r="JFL13" s="239"/>
      <c r="JFM13" s="239"/>
      <c r="JFN13" s="239"/>
      <c r="JFO13" s="239"/>
      <c r="JFP13" s="239"/>
      <c r="JFQ13" s="239"/>
      <c r="JFR13" s="239"/>
      <c r="JFS13" s="239"/>
      <c r="JFT13" s="239"/>
      <c r="JFU13" s="239"/>
      <c r="JFV13" s="239"/>
      <c r="JFW13" s="239"/>
      <c r="JFX13" s="239"/>
      <c r="JFY13" s="239"/>
      <c r="JFZ13" s="239"/>
      <c r="JGA13" s="239"/>
      <c r="JGB13" s="239"/>
      <c r="JGC13" s="239"/>
      <c r="JGD13" s="239"/>
      <c r="JGE13" s="239"/>
      <c r="JGF13" s="239"/>
      <c r="JGG13" s="239"/>
      <c r="JGH13" s="239"/>
      <c r="JGI13" s="239"/>
      <c r="JGJ13" s="239"/>
      <c r="JGK13" s="239"/>
      <c r="JGL13" s="239"/>
      <c r="JGM13" s="239"/>
      <c r="JGN13" s="239"/>
      <c r="JGO13" s="239"/>
      <c r="JGP13" s="239"/>
      <c r="JGQ13" s="239"/>
      <c r="JGR13" s="239"/>
      <c r="JGS13" s="239"/>
      <c r="JGT13" s="239"/>
      <c r="JGU13" s="239"/>
      <c r="JGV13" s="239"/>
      <c r="JGW13" s="239"/>
      <c r="JGX13" s="239"/>
      <c r="JGY13" s="239"/>
      <c r="JGZ13" s="239"/>
      <c r="JHA13" s="239"/>
      <c r="JHB13" s="239"/>
      <c r="JHC13" s="239"/>
      <c r="JHD13" s="239"/>
      <c r="JHE13" s="239"/>
      <c r="JHF13" s="239"/>
      <c r="JHG13" s="239"/>
      <c r="JHH13" s="239"/>
      <c r="JHI13" s="239"/>
      <c r="JHJ13" s="239"/>
      <c r="JHK13" s="239"/>
      <c r="JHL13" s="239"/>
      <c r="JHM13" s="239"/>
      <c r="JHN13" s="239"/>
      <c r="JHO13" s="239"/>
      <c r="JHP13" s="239"/>
      <c r="JHQ13" s="239"/>
      <c r="JHR13" s="239"/>
      <c r="JHS13" s="239"/>
      <c r="JHT13" s="239"/>
      <c r="JHU13" s="239"/>
      <c r="JHV13" s="239"/>
      <c r="JHW13" s="239"/>
      <c r="JHX13" s="239"/>
      <c r="JHY13" s="239"/>
      <c r="JHZ13" s="239"/>
      <c r="JIA13" s="239"/>
      <c r="JIB13" s="239"/>
      <c r="JIC13" s="239"/>
      <c r="JID13" s="239"/>
      <c r="JIE13" s="239"/>
      <c r="JIF13" s="239"/>
      <c r="JIG13" s="239"/>
      <c r="JIH13" s="239"/>
      <c r="JII13" s="239"/>
      <c r="JIJ13" s="239"/>
      <c r="JIK13" s="239"/>
      <c r="JIL13" s="239"/>
      <c r="JIM13" s="239"/>
      <c r="JIN13" s="239"/>
      <c r="JIO13" s="239"/>
      <c r="JIP13" s="239"/>
      <c r="JIQ13" s="239"/>
      <c r="JIR13" s="239"/>
      <c r="JIS13" s="239"/>
      <c r="JIT13" s="239"/>
      <c r="JIU13" s="239"/>
      <c r="JIV13" s="239"/>
      <c r="JIW13" s="239"/>
      <c r="JIX13" s="239"/>
      <c r="JIY13" s="239"/>
      <c r="JIZ13" s="239"/>
      <c r="JJA13" s="239"/>
      <c r="JJB13" s="239"/>
      <c r="JJC13" s="239"/>
      <c r="JJD13" s="239"/>
      <c r="JJE13" s="239"/>
      <c r="JJF13" s="239"/>
      <c r="JJG13" s="239"/>
      <c r="JJH13" s="239"/>
      <c r="JJI13" s="239"/>
      <c r="JJJ13" s="239"/>
      <c r="JJK13" s="239"/>
      <c r="JJL13" s="239"/>
      <c r="JJM13" s="239"/>
      <c r="JJN13" s="239"/>
      <c r="JJO13" s="239"/>
      <c r="JJP13" s="239"/>
      <c r="JJQ13" s="239"/>
      <c r="JJR13" s="239"/>
      <c r="JJS13" s="239"/>
      <c r="JJT13" s="239"/>
      <c r="JJU13" s="239"/>
      <c r="JJV13" s="239"/>
      <c r="JJW13" s="239"/>
      <c r="JJX13" s="239"/>
      <c r="JJY13" s="239"/>
      <c r="JJZ13" s="239"/>
      <c r="JKA13" s="239"/>
      <c r="JKB13" s="239"/>
      <c r="JKC13" s="239"/>
      <c r="JKD13" s="239"/>
      <c r="JKE13" s="239"/>
      <c r="JKF13" s="239"/>
      <c r="JKG13" s="239"/>
      <c r="JKH13" s="239"/>
      <c r="JKI13" s="239"/>
      <c r="JKJ13" s="239"/>
      <c r="JKK13" s="239"/>
      <c r="JKL13" s="239"/>
      <c r="JKM13" s="239"/>
      <c r="JKN13" s="239"/>
      <c r="JKO13" s="239"/>
      <c r="JKP13" s="239"/>
      <c r="JKQ13" s="239"/>
      <c r="JKR13" s="239"/>
      <c r="JKS13" s="239"/>
      <c r="JKT13" s="239"/>
      <c r="JKU13" s="239"/>
      <c r="JKV13" s="239"/>
      <c r="JKW13" s="239"/>
      <c r="JKX13" s="239"/>
      <c r="JKY13" s="239"/>
      <c r="JKZ13" s="239"/>
      <c r="JLA13" s="239"/>
      <c r="JLB13" s="239"/>
      <c r="JLC13" s="239"/>
      <c r="JLD13" s="239"/>
      <c r="JLE13" s="239"/>
      <c r="JLF13" s="239"/>
      <c r="JLG13" s="239"/>
      <c r="JLH13" s="239"/>
      <c r="JLI13" s="239"/>
      <c r="JLJ13" s="239"/>
      <c r="JLK13" s="239"/>
      <c r="JLL13" s="239"/>
      <c r="JLM13" s="239"/>
      <c r="JLN13" s="239"/>
      <c r="JLO13" s="239"/>
      <c r="JLP13" s="239"/>
      <c r="JLQ13" s="239"/>
      <c r="JLR13" s="239"/>
      <c r="JLS13" s="239"/>
      <c r="JLT13" s="239"/>
      <c r="JLU13" s="239"/>
      <c r="JLV13" s="239"/>
      <c r="JLW13" s="239"/>
      <c r="JLX13" s="239"/>
      <c r="JLY13" s="239"/>
      <c r="JLZ13" s="239"/>
      <c r="JMA13" s="239"/>
      <c r="JMB13" s="239"/>
      <c r="JMC13" s="239"/>
      <c r="JMD13" s="239"/>
      <c r="JME13" s="239"/>
      <c r="JMF13" s="239"/>
      <c r="JMG13" s="239"/>
      <c r="JMH13" s="239"/>
      <c r="JMI13" s="239"/>
      <c r="JMJ13" s="239"/>
      <c r="JMK13" s="239"/>
      <c r="JML13" s="239"/>
      <c r="JMM13" s="239"/>
      <c r="JMN13" s="239"/>
      <c r="JMO13" s="239"/>
      <c r="JMP13" s="239"/>
      <c r="JMQ13" s="239"/>
      <c r="JMR13" s="239"/>
      <c r="JMS13" s="239"/>
      <c r="JMT13" s="239"/>
      <c r="JMU13" s="239"/>
      <c r="JMV13" s="239"/>
      <c r="JMW13" s="239"/>
      <c r="JMX13" s="239"/>
      <c r="JMY13" s="239"/>
      <c r="JMZ13" s="239"/>
      <c r="JNA13" s="239"/>
      <c r="JNB13" s="239"/>
      <c r="JNC13" s="239"/>
      <c r="JND13" s="239"/>
      <c r="JNE13" s="239"/>
      <c r="JNF13" s="239"/>
      <c r="JNG13" s="239"/>
      <c r="JNH13" s="239"/>
      <c r="JNI13" s="239"/>
      <c r="JNJ13" s="239"/>
      <c r="JNK13" s="239"/>
      <c r="JNL13" s="239"/>
      <c r="JNM13" s="239"/>
      <c r="JNN13" s="239"/>
      <c r="JNO13" s="239"/>
      <c r="JNP13" s="239"/>
      <c r="JNQ13" s="239"/>
      <c r="JNR13" s="239"/>
      <c r="JNS13" s="239"/>
      <c r="JNT13" s="239"/>
      <c r="JNU13" s="239"/>
      <c r="JNV13" s="239"/>
      <c r="JNW13" s="239"/>
      <c r="JNX13" s="239"/>
      <c r="JNY13" s="239"/>
      <c r="JNZ13" s="239"/>
      <c r="JOA13" s="239"/>
      <c r="JOB13" s="239"/>
      <c r="JOC13" s="239"/>
      <c r="JOD13" s="239"/>
      <c r="JOE13" s="239"/>
      <c r="JOF13" s="239"/>
      <c r="JOG13" s="239"/>
      <c r="JOH13" s="239"/>
      <c r="JOI13" s="239"/>
      <c r="JOJ13" s="239"/>
      <c r="JOK13" s="239"/>
      <c r="JOL13" s="239"/>
      <c r="JOM13" s="239"/>
      <c r="JON13" s="239"/>
      <c r="JOO13" s="239"/>
      <c r="JOP13" s="239"/>
      <c r="JOQ13" s="239"/>
      <c r="JOR13" s="239"/>
      <c r="JOS13" s="239"/>
      <c r="JOT13" s="239"/>
      <c r="JOU13" s="239"/>
      <c r="JOV13" s="239"/>
      <c r="JOW13" s="239"/>
      <c r="JOX13" s="239"/>
      <c r="JOY13" s="239"/>
      <c r="JOZ13" s="239"/>
      <c r="JPA13" s="239"/>
      <c r="JPB13" s="239"/>
      <c r="JPC13" s="239"/>
      <c r="JPD13" s="239"/>
      <c r="JPE13" s="239"/>
      <c r="JPF13" s="239"/>
      <c r="JPG13" s="239"/>
      <c r="JPH13" s="239"/>
      <c r="JPI13" s="239"/>
      <c r="JPJ13" s="239"/>
      <c r="JPK13" s="239"/>
      <c r="JPL13" s="239"/>
      <c r="JPM13" s="239"/>
      <c r="JPN13" s="239"/>
      <c r="JPO13" s="239"/>
      <c r="JPP13" s="239"/>
      <c r="JPQ13" s="239"/>
      <c r="JPR13" s="239"/>
      <c r="JPS13" s="239"/>
      <c r="JPT13" s="239"/>
      <c r="JPU13" s="239"/>
      <c r="JPV13" s="239"/>
      <c r="JPW13" s="239"/>
      <c r="JPX13" s="239"/>
      <c r="JPY13" s="239"/>
      <c r="JPZ13" s="239"/>
      <c r="JQA13" s="239"/>
      <c r="JQB13" s="239"/>
      <c r="JQC13" s="239"/>
      <c r="JQD13" s="239"/>
      <c r="JQE13" s="239"/>
      <c r="JQF13" s="239"/>
      <c r="JQG13" s="239"/>
      <c r="JQH13" s="239"/>
      <c r="JQI13" s="239"/>
      <c r="JQJ13" s="239"/>
      <c r="JQK13" s="239"/>
      <c r="JQL13" s="239"/>
      <c r="JQM13" s="239"/>
      <c r="JQN13" s="239"/>
      <c r="JQO13" s="239"/>
      <c r="JQP13" s="239"/>
      <c r="JQQ13" s="239"/>
      <c r="JQR13" s="239"/>
      <c r="JQS13" s="239"/>
      <c r="JQT13" s="239"/>
      <c r="JQU13" s="239"/>
      <c r="JQV13" s="239"/>
      <c r="JQW13" s="239"/>
      <c r="JQX13" s="239"/>
      <c r="JQY13" s="239"/>
      <c r="JQZ13" s="239"/>
      <c r="JRA13" s="239"/>
      <c r="JRB13" s="239"/>
      <c r="JRC13" s="239"/>
      <c r="JRD13" s="239"/>
      <c r="JRE13" s="239"/>
      <c r="JRF13" s="239"/>
      <c r="JRG13" s="239"/>
      <c r="JRH13" s="239"/>
      <c r="JRI13" s="239"/>
      <c r="JRJ13" s="239"/>
      <c r="JRK13" s="239"/>
      <c r="JRL13" s="239"/>
      <c r="JRM13" s="239"/>
      <c r="JRN13" s="239"/>
      <c r="JRO13" s="239"/>
      <c r="JRP13" s="239"/>
      <c r="JRQ13" s="239"/>
      <c r="JRR13" s="239"/>
      <c r="JRS13" s="239"/>
      <c r="JRT13" s="239"/>
      <c r="JRU13" s="239"/>
      <c r="JRV13" s="239"/>
      <c r="JRW13" s="239"/>
      <c r="JRX13" s="239"/>
      <c r="JRY13" s="239"/>
      <c r="JRZ13" s="239"/>
      <c r="JSA13" s="239"/>
      <c r="JSB13" s="239"/>
      <c r="JSC13" s="239"/>
      <c r="JSD13" s="239"/>
      <c r="JSE13" s="239"/>
      <c r="JSF13" s="239"/>
      <c r="JSG13" s="239"/>
      <c r="JSH13" s="239"/>
      <c r="JSI13" s="239"/>
      <c r="JSJ13" s="239"/>
      <c r="JSK13" s="239"/>
      <c r="JSL13" s="239"/>
      <c r="JSM13" s="239"/>
      <c r="JSN13" s="239"/>
      <c r="JSO13" s="239"/>
      <c r="JSP13" s="239"/>
      <c r="JSQ13" s="239"/>
      <c r="JSR13" s="239"/>
      <c r="JSS13" s="239"/>
      <c r="JST13" s="239"/>
      <c r="JSU13" s="239"/>
      <c r="JSV13" s="239"/>
      <c r="JSW13" s="239"/>
      <c r="JSX13" s="239"/>
      <c r="JSY13" s="239"/>
      <c r="JSZ13" s="239"/>
      <c r="JTA13" s="239"/>
      <c r="JTB13" s="239"/>
      <c r="JTC13" s="239"/>
      <c r="JTD13" s="239"/>
      <c r="JTE13" s="239"/>
      <c r="JTF13" s="239"/>
      <c r="JTG13" s="239"/>
      <c r="JTH13" s="239"/>
      <c r="JTI13" s="239"/>
      <c r="JTJ13" s="239"/>
      <c r="JTK13" s="239"/>
      <c r="JTL13" s="239"/>
      <c r="JTM13" s="239"/>
      <c r="JTN13" s="239"/>
      <c r="JTO13" s="239"/>
      <c r="JTP13" s="239"/>
      <c r="JTQ13" s="239"/>
      <c r="JTR13" s="239"/>
      <c r="JTS13" s="239"/>
      <c r="JTT13" s="239"/>
      <c r="JTU13" s="239"/>
      <c r="JTV13" s="239"/>
      <c r="JTW13" s="239"/>
      <c r="JTX13" s="239"/>
      <c r="JTY13" s="239"/>
      <c r="JTZ13" s="239"/>
      <c r="JUA13" s="239"/>
      <c r="JUB13" s="239"/>
      <c r="JUC13" s="239"/>
      <c r="JUD13" s="239"/>
      <c r="JUE13" s="239"/>
      <c r="JUF13" s="239"/>
      <c r="JUG13" s="239"/>
      <c r="JUH13" s="239"/>
      <c r="JUI13" s="239"/>
      <c r="JUJ13" s="239"/>
      <c r="JUK13" s="239"/>
      <c r="JUL13" s="239"/>
      <c r="JUM13" s="239"/>
      <c r="JUN13" s="239"/>
      <c r="JUO13" s="239"/>
      <c r="JUP13" s="239"/>
      <c r="JUQ13" s="239"/>
      <c r="JUR13" s="239"/>
      <c r="JUS13" s="239"/>
      <c r="JUT13" s="239"/>
      <c r="JUU13" s="239"/>
      <c r="JUV13" s="239"/>
      <c r="JUW13" s="239"/>
      <c r="JUX13" s="239"/>
      <c r="JUY13" s="239"/>
      <c r="JUZ13" s="239"/>
      <c r="JVA13" s="239"/>
      <c r="JVB13" s="239"/>
      <c r="JVC13" s="239"/>
      <c r="JVD13" s="239"/>
      <c r="JVE13" s="239"/>
      <c r="JVF13" s="239"/>
      <c r="JVG13" s="239"/>
      <c r="JVH13" s="239"/>
      <c r="JVI13" s="239"/>
      <c r="JVJ13" s="239"/>
      <c r="JVK13" s="239"/>
      <c r="JVL13" s="239"/>
      <c r="JVM13" s="239"/>
      <c r="JVN13" s="239"/>
      <c r="JVO13" s="239"/>
      <c r="JVP13" s="239"/>
      <c r="JVQ13" s="239"/>
      <c r="JVR13" s="239"/>
      <c r="JVS13" s="239"/>
      <c r="JVT13" s="239"/>
      <c r="JVU13" s="239"/>
      <c r="JVV13" s="239"/>
      <c r="JVW13" s="239"/>
      <c r="JVX13" s="239"/>
      <c r="JVY13" s="239"/>
      <c r="JVZ13" s="239"/>
      <c r="JWA13" s="239"/>
      <c r="JWB13" s="239"/>
      <c r="JWC13" s="239"/>
      <c r="JWD13" s="239"/>
      <c r="JWE13" s="239"/>
      <c r="JWF13" s="239"/>
      <c r="JWG13" s="239"/>
      <c r="JWH13" s="239"/>
      <c r="JWI13" s="239"/>
      <c r="JWJ13" s="239"/>
      <c r="JWK13" s="239"/>
      <c r="JWL13" s="239"/>
      <c r="JWM13" s="239"/>
      <c r="JWN13" s="239"/>
      <c r="JWO13" s="239"/>
      <c r="JWP13" s="239"/>
      <c r="JWQ13" s="239"/>
      <c r="JWR13" s="239"/>
      <c r="JWS13" s="239"/>
      <c r="JWT13" s="239"/>
      <c r="JWU13" s="239"/>
      <c r="JWV13" s="239"/>
      <c r="JWW13" s="239"/>
      <c r="JWX13" s="239"/>
      <c r="JWY13" s="239"/>
      <c r="JWZ13" s="239"/>
      <c r="JXA13" s="239"/>
      <c r="JXB13" s="239"/>
      <c r="JXC13" s="239"/>
      <c r="JXD13" s="239"/>
      <c r="JXE13" s="239"/>
      <c r="JXF13" s="239"/>
      <c r="JXG13" s="239"/>
      <c r="JXH13" s="239"/>
      <c r="JXI13" s="239"/>
      <c r="JXJ13" s="239"/>
      <c r="JXK13" s="239"/>
      <c r="JXL13" s="239"/>
      <c r="JXM13" s="239"/>
      <c r="JXN13" s="239"/>
      <c r="JXO13" s="239"/>
      <c r="JXP13" s="239"/>
      <c r="JXQ13" s="239"/>
      <c r="JXR13" s="239"/>
      <c r="JXS13" s="239"/>
      <c r="JXT13" s="239"/>
      <c r="JXU13" s="239"/>
      <c r="JXV13" s="239"/>
      <c r="JXW13" s="239"/>
      <c r="JXX13" s="239"/>
      <c r="JXY13" s="239"/>
      <c r="JXZ13" s="239"/>
      <c r="JYA13" s="239"/>
      <c r="JYB13" s="239"/>
      <c r="JYC13" s="239"/>
      <c r="JYD13" s="239"/>
      <c r="JYE13" s="239"/>
      <c r="JYF13" s="239"/>
      <c r="JYG13" s="239"/>
      <c r="JYH13" s="239"/>
      <c r="JYI13" s="239"/>
      <c r="JYJ13" s="239"/>
      <c r="JYK13" s="239"/>
      <c r="JYL13" s="239"/>
      <c r="JYM13" s="239"/>
      <c r="JYN13" s="239"/>
      <c r="JYO13" s="239"/>
      <c r="JYP13" s="239"/>
      <c r="JYQ13" s="239"/>
      <c r="JYR13" s="239"/>
      <c r="JYS13" s="239"/>
      <c r="JYT13" s="239"/>
      <c r="JYU13" s="239"/>
      <c r="JYV13" s="239"/>
      <c r="JYW13" s="239"/>
      <c r="JYX13" s="239"/>
      <c r="JYY13" s="239"/>
      <c r="JYZ13" s="239"/>
      <c r="JZA13" s="239"/>
      <c r="JZB13" s="239"/>
      <c r="JZC13" s="239"/>
      <c r="JZD13" s="239"/>
      <c r="JZE13" s="239"/>
      <c r="JZF13" s="239"/>
      <c r="JZG13" s="239"/>
      <c r="JZH13" s="239"/>
      <c r="JZI13" s="239"/>
      <c r="JZJ13" s="239"/>
      <c r="JZK13" s="239"/>
      <c r="JZL13" s="239"/>
      <c r="JZM13" s="239"/>
      <c r="JZN13" s="239"/>
      <c r="JZO13" s="239"/>
      <c r="JZP13" s="239"/>
      <c r="JZQ13" s="239"/>
      <c r="JZR13" s="239"/>
      <c r="JZS13" s="239"/>
      <c r="JZT13" s="239"/>
      <c r="JZU13" s="239"/>
      <c r="JZV13" s="239"/>
      <c r="JZW13" s="239"/>
      <c r="JZX13" s="239"/>
      <c r="JZY13" s="239"/>
      <c r="JZZ13" s="239"/>
      <c r="KAA13" s="239"/>
      <c r="KAB13" s="239"/>
      <c r="KAC13" s="239"/>
      <c r="KAD13" s="239"/>
      <c r="KAE13" s="239"/>
      <c r="KAF13" s="239"/>
      <c r="KAG13" s="239"/>
      <c r="KAH13" s="239"/>
      <c r="KAI13" s="239"/>
      <c r="KAJ13" s="239"/>
      <c r="KAK13" s="239"/>
      <c r="KAL13" s="239"/>
      <c r="KAM13" s="239"/>
      <c r="KAN13" s="239"/>
      <c r="KAO13" s="239"/>
      <c r="KAP13" s="239"/>
      <c r="KAQ13" s="239"/>
      <c r="KAR13" s="239"/>
      <c r="KAS13" s="239"/>
      <c r="KAT13" s="239"/>
      <c r="KAU13" s="239"/>
      <c r="KAV13" s="239"/>
      <c r="KAW13" s="239"/>
      <c r="KAX13" s="239"/>
      <c r="KAY13" s="239"/>
      <c r="KAZ13" s="239"/>
      <c r="KBA13" s="239"/>
      <c r="KBB13" s="239"/>
      <c r="KBC13" s="239"/>
      <c r="KBD13" s="239"/>
      <c r="KBE13" s="239"/>
      <c r="KBF13" s="239"/>
      <c r="KBG13" s="239"/>
      <c r="KBH13" s="239"/>
      <c r="KBI13" s="239"/>
      <c r="KBJ13" s="239"/>
      <c r="KBK13" s="239"/>
      <c r="KBL13" s="239"/>
      <c r="KBM13" s="239"/>
      <c r="KBN13" s="239"/>
      <c r="KBO13" s="239"/>
      <c r="KBP13" s="239"/>
      <c r="KBQ13" s="239"/>
      <c r="KBR13" s="239"/>
      <c r="KBS13" s="239"/>
      <c r="KBT13" s="239"/>
      <c r="KBU13" s="239"/>
      <c r="KBV13" s="239"/>
      <c r="KBW13" s="239"/>
      <c r="KBX13" s="239"/>
      <c r="KBY13" s="239"/>
      <c r="KBZ13" s="239"/>
      <c r="KCA13" s="239"/>
      <c r="KCB13" s="239"/>
      <c r="KCC13" s="239"/>
      <c r="KCD13" s="239"/>
      <c r="KCE13" s="239"/>
      <c r="KCF13" s="239"/>
      <c r="KCG13" s="239"/>
      <c r="KCH13" s="239"/>
      <c r="KCI13" s="239"/>
      <c r="KCJ13" s="239"/>
      <c r="KCK13" s="239"/>
      <c r="KCL13" s="239"/>
      <c r="KCM13" s="239"/>
      <c r="KCN13" s="239"/>
      <c r="KCO13" s="239"/>
      <c r="KCP13" s="239"/>
      <c r="KCQ13" s="239"/>
      <c r="KCR13" s="239"/>
      <c r="KCS13" s="239"/>
      <c r="KCT13" s="239"/>
      <c r="KCU13" s="239"/>
      <c r="KCV13" s="239"/>
      <c r="KCW13" s="239"/>
      <c r="KCX13" s="239"/>
      <c r="KCY13" s="239"/>
      <c r="KCZ13" s="239"/>
      <c r="KDA13" s="239"/>
      <c r="KDB13" s="239"/>
      <c r="KDC13" s="239"/>
      <c r="KDD13" s="239"/>
      <c r="KDE13" s="239"/>
      <c r="KDF13" s="239"/>
      <c r="KDG13" s="239"/>
      <c r="KDH13" s="239"/>
      <c r="KDI13" s="239"/>
      <c r="KDJ13" s="239"/>
      <c r="KDK13" s="239"/>
      <c r="KDL13" s="239"/>
      <c r="KDM13" s="239"/>
      <c r="KDN13" s="239"/>
      <c r="KDO13" s="239"/>
      <c r="KDP13" s="239"/>
      <c r="KDQ13" s="239"/>
      <c r="KDR13" s="239"/>
      <c r="KDS13" s="239"/>
      <c r="KDT13" s="239"/>
      <c r="KDU13" s="239"/>
      <c r="KDV13" s="239"/>
      <c r="KDW13" s="239"/>
      <c r="KDX13" s="239"/>
      <c r="KDY13" s="239"/>
      <c r="KDZ13" s="239"/>
      <c r="KEA13" s="239"/>
      <c r="KEB13" s="239"/>
      <c r="KEC13" s="239"/>
      <c r="KED13" s="239"/>
      <c r="KEE13" s="239"/>
      <c r="KEF13" s="239"/>
      <c r="KEG13" s="239"/>
      <c r="KEH13" s="239"/>
      <c r="KEI13" s="239"/>
      <c r="KEJ13" s="239"/>
      <c r="KEK13" s="239"/>
      <c r="KEL13" s="239"/>
      <c r="KEM13" s="239"/>
      <c r="KEN13" s="239"/>
      <c r="KEO13" s="239"/>
      <c r="KEP13" s="239"/>
      <c r="KEQ13" s="239"/>
      <c r="KER13" s="239"/>
      <c r="KES13" s="239"/>
      <c r="KET13" s="239"/>
      <c r="KEU13" s="239"/>
      <c r="KEV13" s="239"/>
      <c r="KEW13" s="239"/>
      <c r="KEX13" s="239"/>
      <c r="KEY13" s="239"/>
      <c r="KEZ13" s="239"/>
      <c r="KFA13" s="239"/>
      <c r="KFB13" s="239"/>
      <c r="KFC13" s="239"/>
      <c r="KFD13" s="239"/>
      <c r="KFE13" s="239"/>
      <c r="KFF13" s="239"/>
      <c r="KFG13" s="239"/>
      <c r="KFH13" s="239"/>
      <c r="KFI13" s="239"/>
      <c r="KFJ13" s="239"/>
      <c r="KFK13" s="239"/>
      <c r="KFL13" s="239"/>
      <c r="KFM13" s="239"/>
      <c r="KFN13" s="239"/>
      <c r="KFO13" s="239"/>
      <c r="KFP13" s="239"/>
      <c r="KFQ13" s="239"/>
      <c r="KFR13" s="239"/>
      <c r="KFS13" s="239"/>
      <c r="KFT13" s="239"/>
      <c r="KFU13" s="239"/>
      <c r="KFV13" s="239"/>
      <c r="KFW13" s="239"/>
      <c r="KFX13" s="239"/>
      <c r="KFY13" s="239"/>
      <c r="KFZ13" s="239"/>
      <c r="KGA13" s="239"/>
      <c r="KGB13" s="239"/>
      <c r="KGC13" s="239"/>
      <c r="KGD13" s="239"/>
      <c r="KGE13" s="239"/>
      <c r="KGF13" s="239"/>
      <c r="KGG13" s="239"/>
      <c r="KGH13" s="239"/>
      <c r="KGI13" s="239"/>
      <c r="KGJ13" s="239"/>
      <c r="KGK13" s="239"/>
      <c r="KGL13" s="239"/>
      <c r="KGM13" s="239"/>
      <c r="KGN13" s="239"/>
      <c r="KGO13" s="239"/>
      <c r="KGP13" s="239"/>
      <c r="KGQ13" s="239"/>
      <c r="KGR13" s="239"/>
      <c r="KGS13" s="239"/>
      <c r="KGT13" s="239"/>
      <c r="KGU13" s="239"/>
      <c r="KGV13" s="239"/>
      <c r="KGW13" s="239"/>
      <c r="KGX13" s="239"/>
      <c r="KGY13" s="239"/>
      <c r="KGZ13" s="239"/>
      <c r="KHA13" s="239"/>
      <c r="KHB13" s="239"/>
      <c r="KHC13" s="239"/>
      <c r="KHD13" s="239"/>
      <c r="KHE13" s="239"/>
      <c r="KHF13" s="239"/>
      <c r="KHG13" s="239"/>
      <c r="KHH13" s="239"/>
      <c r="KHI13" s="239"/>
      <c r="KHJ13" s="239"/>
      <c r="KHK13" s="239"/>
      <c r="KHL13" s="239"/>
      <c r="KHM13" s="239"/>
      <c r="KHN13" s="239"/>
      <c r="KHO13" s="239"/>
      <c r="KHP13" s="239"/>
      <c r="KHQ13" s="239"/>
      <c r="KHR13" s="239"/>
      <c r="KHS13" s="239"/>
      <c r="KHT13" s="239"/>
      <c r="KHU13" s="239"/>
      <c r="KHV13" s="239"/>
      <c r="KHW13" s="239"/>
      <c r="KHX13" s="239"/>
      <c r="KHY13" s="239"/>
      <c r="KHZ13" s="239"/>
      <c r="KIA13" s="239"/>
      <c r="KIB13" s="239"/>
      <c r="KIC13" s="239"/>
      <c r="KID13" s="239"/>
      <c r="KIE13" s="239"/>
      <c r="KIF13" s="239"/>
      <c r="KIG13" s="239"/>
      <c r="KIH13" s="239"/>
      <c r="KII13" s="239"/>
      <c r="KIJ13" s="239"/>
      <c r="KIK13" s="239"/>
      <c r="KIL13" s="239"/>
      <c r="KIM13" s="239"/>
      <c r="KIN13" s="239"/>
      <c r="KIO13" s="239"/>
      <c r="KIP13" s="239"/>
      <c r="KIQ13" s="239"/>
      <c r="KIR13" s="239"/>
      <c r="KIS13" s="239"/>
      <c r="KIT13" s="239"/>
      <c r="KIU13" s="239"/>
      <c r="KIV13" s="239"/>
      <c r="KIW13" s="239"/>
      <c r="KIX13" s="239"/>
      <c r="KIY13" s="239"/>
      <c r="KIZ13" s="239"/>
      <c r="KJA13" s="239"/>
      <c r="KJB13" s="239"/>
      <c r="KJC13" s="239"/>
      <c r="KJD13" s="239"/>
      <c r="KJE13" s="239"/>
      <c r="KJF13" s="239"/>
      <c r="KJG13" s="239"/>
      <c r="KJH13" s="239"/>
      <c r="KJI13" s="239"/>
      <c r="KJJ13" s="239"/>
      <c r="KJK13" s="239"/>
      <c r="KJL13" s="239"/>
      <c r="KJM13" s="239"/>
      <c r="KJN13" s="239"/>
      <c r="KJO13" s="239"/>
      <c r="KJP13" s="239"/>
      <c r="KJQ13" s="239"/>
      <c r="KJR13" s="239"/>
      <c r="KJS13" s="239"/>
      <c r="KJT13" s="239"/>
      <c r="KJU13" s="239"/>
      <c r="KJV13" s="239"/>
      <c r="KJW13" s="239"/>
      <c r="KJX13" s="239"/>
      <c r="KJY13" s="239"/>
      <c r="KJZ13" s="239"/>
      <c r="KKA13" s="239"/>
      <c r="KKB13" s="239"/>
      <c r="KKC13" s="239"/>
      <c r="KKD13" s="239"/>
      <c r="KKE13" s="239"/>
      <c r="KKF13" s="239"/>
      <c r="KKG13" s="239"/>
      <c r="KKH13" s="239"/>
      <c r="KKI13" s="239"/>
      <c r="KKJ13" s="239"/>
      <c r="KKK13" s="239"/>
      <c r="KKL13" s="239"/>
      <c r="KKM13" s="239"/>
      <c r="KKN13" s="239"/>
      <c r="KKO13" s="239"/>
      <c r="KKP13" s="239"/>
      <c r="KKQ13" s="239"/>
      <c r="KKR13" s="239"/>
      <c r="KKS13" s="239"/>
      <c r="KKT13" s="239"/>
      <c r="KKU13" s="239"/>
      <c r="KKV13" s="239"/>
      <c r="KKW13" s="239"/>
      <c r="KKX13" s="239"/>
      <c r="KKY13" s="239"/>
      <c r="KKZ13" s="239"/>
      <c r="KLA13" s="239"/>
      <c r="KLB13" s="239"/>
      <c r="KLC13" s="239"/>
      <c r="KLD13" s="239"/>
      <c r="KLE13" s="239"/>
      <c r="KLF13" s="239"/>
      <c r="KLG13" s="239"/>
      <c r="KLH13" s="239"/>
      <c r="KLI13" s="239"/>
      <c r="KLJ13" s="239"/>
      <c r="KLK13" s="239"/>
      <c r="KLL13" s="239"/>
      <c r="KLM13" s="239"/>
      <c r="KLN13" s="239"/>
      <c r="KLO13" s="239"/>
      <c r="KLP13" s="239"/>
      <c r="KLQ13" s="239"/>
      <c r="KLR13" s="239"/>
      <c r="KLS13" s="239"/>
      <c r="KLT13" s="239"/>
      <c r="KLU13" s="239"/>
      <c r="KLV13" s="239"/>
      <c r="KLW13" s="239"/>
      <c r="KLX13" s="239"/>
      <c r="KLY13" s="239"/>
      <c r="KLZ13" s="239"/>
      <c r="KMA13" s="239"/>
      <c r="KMB13" s="239"/>
      <c r="KMC13" s="239"/>
      <c r="KMD13" s="239"/>
      <c r="KME13" s="239"/>
      <c r="KMF13" s="239"/>
      <c r="KMG13" s="239"/>
      <c r="KMH13" s="239"/>
      <c r="KMI13" s="239"/>
      <c r="KMJ13" s="239"/>
      <c r="KMK13" s="239"/>
      <c r="KML13" s="239"/>
      <c r="KMM13" s="239"/>
      <c r="KMN13" s="239"/>
      <c r="KMO13" s="239"/>
      <c r="KMP13" s="239"/>
      <c r="KMQ13" s="239"/>
      <c r="KMR13" s="239"/>
      <c r="KMS13" s="239"/>
      <c r="KMT13" s="239"/>
      <c r="KMU13" s="239"/>
      <c r="KMV13" s="239"/>
      <c r="KMW13" s="239"/>
      <c r="KMX13" s="239"/>
      <c r="KMY13" s="239"/>
      <c r="KMZ13" s="239"/>
      <c r="KNA13" s="239"/>
      <c r="KNB13" s="239"/>
      <c r="KNC13" s="239"/>
      <c r="KND13" s="239"/>
      <c r="KNE13" s="239"/>
      <c r="KNF13" s="239"/>
      <c r="KNG13" s="239"/>
      <c r="KNH13" s="239"/>
      <c r="KNI13" s="239"/>
      <c r="KNJ13" s="239"/>
      <c r="KNK13" s="239"/>
      <c r="KNL13" s="239"/>
      <c r="KNM13" s="239"/>
      <c r="KNN13" s="239"/>
      <c r="KNO13" s="239"/>
      <c r="KNP13" s="239"/>
      <c r="KNQ13" s="239"/>
      <c r="KNR13" s="239"/>
      <c r="KNS13" s="239"/>
      <c r="KNT13" s="239"/>
      <c r="KNU13" s="239"/>
      <c r="KNV13" s="239"/>
      <c r="KNW13" s="239"/>
      <c r="KNX13" s="239"/>
      <c r="KNY13" s="239"/>
      <c r="KNZ13" s="239"/>
      <c r="KOA13" s="239"/>
      <c r="KOB13" s="239"/>
      <c r="KOC13" s="239"/>
      <c r="KOD13" s="239"/>
      <c r="KOE13" s="239"/>
      <c r="KOF13" s="239"/>
      <c r="KOG13" s="239"/>
      <c r="KOH13" s="239"/>
      <c r="KOI13" s="239"/>
      <c r="KOJ13" s="239"/>
      <c r="KOK13" s="239"/>
      <c r="KOL13" s="239"/>
      <c r="KOM13" s="239"/>
      <c r="KON13" s="239"/>
      <c r="KOO13" s="239"/>
      <c r="KOP13" s="239"/>
      <c r="KOQ13" s="239"/>
      <c r="KOR13" s="239"/>
      <c r="KOS13" s="239"/>
      <c r="KOT13" s="239"/>
      <c r="KOU13" s="239"/>
      <c r="KOV13" s="239"/>
      <c r="KOW13" s="239"/>
      <c r="KOX13" s="239"/>
      <c r="KOY13" s="239"/>
      <c r="KOZ13" s="239"/>
      <c r="KPA13" s="239"/>
      <c r="KPB13" s="239"/>
      <c r="KPC13" s="239"/>
      <c r="KPD13" s="239"/>
      <c r="KPE13" s="239"/>
      <c r="KPF13" s="239"/>
      <c r="KPG13" s="239"/>
      <c r="KPH13" s="239"/>
      <c r="KPI13" s="239"/>
      <c r="KPJ13" s="239"/>
      <c r="KPK13" s="239"/>
      <c r="KPL13" s="239"/>
      <c r="KPM13" s="239"/>
      <c r="KPN13" s="239"/>
      <c r="KPO13" s="239"/>
      <c r="KPP13" s="239"/>
      <c r="KPQ13" s="239"/>
      <c r="KPR13" s="239"/>
      <c r="KPS13" s="239"/>
      <c r="KPT13" s="239"/>
      <c r="KPU13" s="239"/>
      <c r="KPV13" s="239"/>
      <c r="KPW13" s="239"/>
      <c r="KPX13" s="239"/>
      <c r="KPY13" s="239"/>
      <c r="KPZ13" s="239"/>
      <c r="KQA13" s="239"/>
      <c r="KQB13" s="239"/>
      <c r="KQC13" s="239"/>
      <c r="KQD13" s="239"/>
      <c r="KQE13" s="239"/>
      <c r="KQF13" s="239"/>
      <c r="KQG13" s="239"/>
      <c r="KQH13" s="239"/>
      <c r="KQI13" s="239"/>
      <c r="KQJ13" s="239"/>
      <c r="KQK13" s="239"/>
      <c r="KQL13" s="239"/>
      <c r="KQM13" s="239"/>
      <c r="KQN13" s="239"/>
      <c r="KQO13" s="239"/>
      <c r="KQP13" s="239"/>
      <c r="KQQ13" s="239"/>
      <c r="KQR13" s="239"/>
      <c r="KQS13" s="239"/>
      <c r="KQT13" s="239"/>
      <c r="KQU13" s="239"/>
      <c r="KQV13" s="239"/>
      <c r="KQW13" s="239"/>
      <c r="KQX13" s="239"/>
      <c r="KQY13" s="239"/>
      <c r="KQZ13" s="239"/>
      <c r="KRA13" s="239"/>
      <c r="KRB13" s="239"/>
      <c r="KRC13" s="239"/>
      <c r="KRD13" s="239"/>
      <c r="KRE13" s="239"/>
      <c r="KRF13" s="239"/>
      <c r="KRG13" s="239"/>
      <c r="KRH13" s="239"/>
      <c r="KRI13" s="239"/>
      <c r="KRJ13" s="239"/>
      <c r="KRK13" s="239"/>
      <c r="KRL13" s="239"/>
      <c r="KRM13" s="239"/>
      <c r="KRN13" s="239"/>
      <c r="KRO13" s="239"/>
      <c r="KRP13" s="239"/>
      <c r="KRQ13" s="239"/>
      <c r="KRR13" s="239"/>
      <c r="KRS13" s="239"/>
      <c r="KRT13" s="239"/>
      <c r="KRU13" s="239"/>
      <c r="KRV13" s="239"/>
      <c r="KRW13" s="239"/>
      <c r="KRX13" s="239"/>
      <c r="KRY13" s="239"/>
      <c r="KRZ13" s="239"/>
      <c r="KSA13" s="239"/>
      <c r="KSB13" s="239"/>
      <c r="KSC13" s="239"/>
      <c r="KSD13" s="239"/>
      <c r="KSE13" s="239"/>
      <c r="KSF13" s="239"/>
      <c r="KSG13" s="239"/>
      <c r="KSH13" s="239"/>
      <c r="KSI13" s="239"/>
      <c r="KSJ13" s="239"/>
      <c r="KSK13" s="239"/>
      <c r="KSL13" s="239"/>
      <c r="KSM13" s="239"/>
      <c r="KSN13" s="239"/>
      <c r="KSO13" s="239"/>
      <c r="KSP13" s="239"/>
      <c r="KSQ13" s="239"/>
      <c r="KSR13" s="239"/>
      <c r="KSS13" s="239"/>
      <c r="KST13" s="239"/>
      <c r="KSU13" s="239"/>
      <c r="KSV13" s="239"/>
      <c r="KSW13" s="239"/>
      <c r="KSX13" s="239"/>
      <c r="KSY13" s="239"/>
      <c r="KSZ13" s="239"/>
      <c r="KTA13" s="239"/>
      <c r="KTB13" s="239"/>
      <c r="KTC13" s="239"/>
      <c r="KTD13" s="239"/>
      <c r="KTE13" s="239"/>
      <c r="KTF13" s="239"/>
      <c r="KTG13" s="239"/>
      <c r="KTH13" s="239"/>
      <c r="KTI13" s="239"/>
      <c r="KTJ13" s="239"/>
      <c r="KTK13" s="239"/>
      <c r="KTL13" s="239"/>
      <c r="KTM13" s="239"/>
      <c r="KTN13" s="239"/>
      <c r="KTO13" s="239"/>
      <c r="KTP13" s="239"/>
      <c r="KTQ13" s="239"/>
      <c r="KTR13" s="239"/>
      <c r="KTS13" s="239"/>
      <c r="KTT13" s="239"/>
      <c r="KTU13" s="239"/>
      <c r="KTV13" s="239"/>
      <c r="KTW13" s="239"/>
      <c r="KTX13" s="239"/>
      <c r="KTY13" s="239"/>
      <c r="KTZ13" s="239"/>
      <c r="KUA13" s="239"/>
      <c r="KUB13" s="239"/>
      <c r="KUC13" s="239"/>
      <c r="KUD13" s="239"/>
      <c r="KUE13" s="239"/>
      <c r="KUF13" s="239"/>
      <c r="KUG13" s="239"/>
      <c r="KUH13" s="239"/>
      <c r="KUI13" s="239"/>
      <c r="KUJ13" s="239"/>
      <c r="KUK13" s="239"/>
      <c r="KUL13" s="239"/>
      <c r="KUM13" s="239"/>
      <c r="KUN13" s="239"/>
      <c r="KUO13" s="239"/>
      <c r="KUP13" s="239"/>
      <c r="KUQ13" s="239"/>
      <c r="KUR13" s="239"/>
      <c r="KUS13" s="239"/>
      <c r="KUT13" s="239"/>
      <c r="KUU13" s="239"/>
      <c r="KUV13" s="239"/>
      <c r="KUW13" s="239"/>
      <c r="KUX13" s="239"/>
      <c r="KUY13" s="239"/>
      <c r="KUZ13" s="239"/>
      <c r="KVA13" s="239"/>
      <c r="KVB13" s="239"/>
      <c r="KVC13" s="239"/>
      <c r="KVD13" s="239"/>
      <c r="KVE13" s="239"/>
      <c r="KVF13" s="239"/>
      <c r="KVG13" s="239"/>
      <c r="KVH13" s="239"/>
      <c r="KVI13" s="239"/>
      <c r="KVJ13" s="239"/>
      <c r="KVK13" s="239"/>
      <c r="KVL13" s="239"/>
      <c r="KVM13" s="239"/>
      <c r="KVN13" s="239"/>
      <c r="KVO13" s="239"/>
      <c r="KVP13" s="239"/>
      <c r="KVQ13" s="239"/>
      <c r="KVR13" s="239"/>
      <c r="KVS13" s="239"/>
      <c r="KVT13" s="239"/>
      <c r="KVU13" s="239"/>
      <c r="KVV13" s="239"/>
      <c r="KVW13" s="239"/>
      <c r="KVX13" s="239"/>
      <c r="KVY13" s="239"/>
      <c r="KVZ13" s="239"/>
      <c r="KWA13" s="239"/>
      <c r="KWB13" s="239"/>
      <c r="KWC13" s="239"/>
      <c r="KWD13" s="239"/>
      <c r="KWE13" s="239"/>
      <c r="KWF13" s="239"/>
      <c r="KWG13" s="239"/>
      <c r="KWH13" s="239"/>
      <c r="KWI13" s="239"/>
      <c r="KWJ13" s="239"/>
      <c r="KWK13" s="239"/>
      <c r="KWL13" s="239"/>
      <c r="KWM13" s="239"/>
      <c r="KWN13" s="239"/>
      <c r="KWO13" s="239"/>
      <c r="KWP13" s="239"/>
      <c r="KWQ13" s="239"/>
      <c r="KWR13" s="239"/>
      <c r="KWS13" s="239"/>
      <c r="KWT13" s="239"/>
      <c r="KWU13" s="239"/>
      <c r="KWV13" s="239"/>
      <c r="KWW13" s="239"/>
      <c r="KWX13" s="239"/>
      <c r="KWY13" s="239"/>
      <c r="KWZ13" s="239"/>
      <c r="KXA13" s="239"/>
      <c r="KXB13" s="239"/>
      <c r="KXC13" s="239"/>
      <c r="KXD13" s="239"/>
      <c r="KXE13" s="239"/>
      <c r="KXF13" s="239"/>
      <c r="KXG13" s="239"/>
      <c r="KXH13" s="239"/>
      <c r="KXI13" s="239"/>
      <c r="KXJ13" s="239"/>
      <c r="KXK13" s="239"/>
      <c r="KXL13" s="239"/>
      <c r="KXM13" s="239"/>
      <c r="KXN13" s="239"/>
      <c r="KXO13" s="239"/>
      <c r="KXP13" s="239"/>
      <c r="KXQ13" s="239"/>
      <c r="KXR13" s="239"/>
      <c r="KXS13" s="239"/>
      <c r="KXT13" s="239"/>
      <c r="KXU13" s="239"/>
      <c r="KXV13" s="239"/>
      <c r="KXW13" s="239"/>
      <c r="KXX13" s="239"/>
      <c r="KXY13" s="239"/>
      <c r="KXZ13" s="239"/>
      <c r="KYA13" s="239"/>
      <c r="KYB13" s="239"/>
      <c r="KYC13" s="239"/>
      <c r="KYD13" s="239"/>
      <c r="KYE13" s="239"/>
      <c r="KYF13" s="239"/>
      <c r="KYG13" s="239"/>
      <c r="KYH13" s="239"/>
      <c r="KYI13" s="239"/>
      <c r="KYJ13" s="239"/>
      <c r="KYK13" s="239"/>
      <c r="KYL13" s="239"/>
      <c r="KYM13" s="239"/>
      <c r="KYN13" s="239"/>
      <c r="KYO13" s="239"/>
      <c r="KYP13" s="239"/>
      <c r="KYQ13" s="239"/>
      <c r="KYR13" s="239"/>
      <c r="KYS13" s="239"/>
      <c r="KYT13" s="239"/>
      <c r="KYU13" s="239"/>
      <c r="KYV13" s="239"/>
      <c r="KYW13" s="239"/>
      <c r="KYX13" s="239"/>
      <c r="KYY13" s="239"/>
      <c r="KYZ13" s="239"/>
      <c r="KZA13" s="239"/>
      <c r="KZB13" s="239"/>
      <c r="KZC13" s="239"/>
      <c r="KZD13" s="239"/>
      <c r="KZE13" s="239"/>
      <c r="KZF13" s="239"/>
      <c r="KZG13" s="239"/>
      <c r="KZH13" s="239"/>
      <c r="KZI13" s="239"/>
      <c r="KZJ13" s="239"/>
      <c r="KZK13" s="239"/>
      <c r="KZL13" s="239"/>
      <c r="KZM13" s="239"/>
      <c r="KZN13" s="239"/>
      <c r="KZO13" s="239"/>
      <c r="KZP13" s="239"/>
      <c r="KZQ13" s="239"/>
      <c r="KZR13" s="239"/>
      <c r="KZS13" s="239"/>
      <c r="KZT13" s="239"/>
      <c r="KZU13" s="239"/>
      <c r="KZV13" s="239"/>
      <c r="KZW13" s="239"/>
      <c r="KZX13" s="239"/>
      <c r="KZY13" s="239"/>
      <c r="KZZ13" s="239"/>
      <c r="LAA13" s="239"/>
      <c r="LAB13" s="239"/>
      <c r="LAC13" s="239"/>
      <c r="LAD13" s="239"/>
      <c r="LAE13" s="239"/>
      <c r="LAF13" s="239"/>
      <c r="LAG13" s="239"/>
      <c r="LAH13" s="239"/>
      <c r="LAI13" s="239"/>
      <c r="LAJ13" s="239"/>
      <c r="LAK13" s="239"/>
      <c r="LAL13" s="239"/>
      <c r="LAM13" s="239"/>
      <c r="LAN13" s="239"/>
      <c r="LAO13" s="239"/>
      <c r="LAP13" s="239"/>
      <c r="LAQ13" s="239"/>
      <c r="LAR13" s="239"/>
      <c r="LAS13" s="239"/>
      <c r="LAT13" s="239"/>
      <c r="LAU13" s="239"/>
      <c r="LAV13" s="239"/>
      <c r="LAW13" s="239"/>
      <c r="LAX13" s="239"/>
      <c r="LAY13" s="239"/>
      <c r="LAZ13" s="239"/>
      <c r="LBA13" s="239"/>
      <c r="LBB13" s="239"/>
      <c r="LBC13" s="239"/>
      <c r="LBD13" s="239"/>
      <c r="LBE13" s="239"/>
      <c r="LBF13" s="239"/>
      <c r="LBG13" s="239"/>
      <c r="LBH13" s="239"/>
      <c r="LBI13" s="239"/>
      <c r="LBJ13" s="239"/>
      <c r="LBK13" s="239"/>
      <c r="LBL13" s="239"/>
      <c r="LBM13" s="239"/>
      <c r="LBN13" s="239"/>
      <c r="LBO13" s="239"/>
      <c r="LBP13" s="239"/>
      <c r="LBQ13" s="239"/>
      <c r="LBR13" s="239"/>
      <c r="LBS13" s="239"/>
      <c r="LBT13" s="239"/>
      <c r="LBU13" s="239"/>
      <c r="LBV13" s="239"/>
      <c r="LBW13" s="239"/>
      <c r="LBX13" s="239"/>
      <c r="LBY13" s="239"/>
      <c r="LBZ13" s="239"/>
      <c r="LCA13" s="239"/>
      <c r="LCB13" s="239"/>
      <c r="LCC13" s="239"/>
      <c r="LCD13" s="239"/>
      <c r="LCE13" s="239"/>
      <c r="LCF13" s="239"/>
      <c r="LCG13" s="239"/>
      <c r="LCH13" s="239"/>
      <c r="LCI13" s="239"/>
      <c r="LCJ13" s="239"/>
      <c r="LCK13" s="239"/>
      <c r="LCL13" s="239"/>
      <c r="LCM13" s="239"/>
      <c r="LCN13" s="239"/>
      <c r="LCO13" s="239"/>
      <c r="LCP13" s="239"/>
      <c r="LCQ13" s="239"/>
      <c r="LCR13" s="239"/>
      <c r="LCS13" s="239"/>
      <c r="LCT13" s="239"/>
      <c r="LCU13" s="239"/>
      <c r="LCV13" s="239"/>
      <c r="LCW13" s="239"/>
      <c r="LCX13" s="239"/>
      <c r="LCY13" s="239"/>
      <c r="LCZ13" s="239"/>
      <c r="LDA13" s="239"/>
      <c r="LDB13" s="239"/>
      <c r="LDC13" s="239"/>
      <c r="LDD13" s="239"/>
      <c r="LDE13" s="239"/>
      <c r="LDF13" s="239"/>
      <c r="LDG13" s="239"/>
      <c r="LDH13" s="239"/>
      <c r="LDI13" s="239"/>
      <c r="LDJ13" s="239"/>
      <c r="LDK13" s="239"/>
      <c r="LDL13" s="239"/>
      <c r="LDM13" s="239"/>
      <c r="LDN13" s="239"/>
      <c r="LDO13" s="239"/>
      <c r="LDP13" s="239"/>
      <c r="LDQ13" s="239"/>
      <c r="LDR13" s="239"/>
      <c r="LDS13" s="239"/>
      <c r="LDT13" s="239"/>
      <c r="LDU13" s="239"/>
      <c r="LDV13" s="239"/>
      <c r="LDW13" s="239"/>
      <c r="LDX13" s="239"/>
      <c r="LDY13" s="239"/>
      <c r="LDZ13" s="239"/>
      <c r="LEA13" s="239"/>
      <c r="LEB13" s="239"/>
      <c r="LEC13" s="239"/>
      <c r="LED13" s="239"/>
      <c r="LEE13" s="239"/>
      <c r="LEF13" s="239"/>
      <c r="LEG13" s="239"/>
      <c r="LEH13" s="239"/>
      <c r="LEI13" s="239"/>
      <c r="LEJ13" s="239"/>
      <c r="LEK13" s="239"/>
      <c r="LEL13" s="239"/>
      <c r="LEM13" s="239"/>
      <c r="LEN13" s="239"/>
      <c r="LEO13" s="239"/>
      <c r="LEP13" s="239"/>
      <c r="LEQ13" s="239"/>
      <c r="LER13" s="239"/>
      <c r="LES13" s="239"/>
      <c r="LET13" s="239"/>
      <c r="LEU13" s="239"/>
      <c r="LEV13" s="239"/>
      <c r="LEW13" s="239"/>
      <c r="LEX13" s="239"/>
      <c r="LEY13" s="239"/>
      <c r="LEZ13" s="239"/>
      <c r="LFA13" s="239"/>
      <c r="LFB13" s="239"/>
      <c r="LFC13" s="239"/>
      <c r="LFD13" s="239"/>
      <c r="LFE13" s="239"/>
      <c r="LFF13" s="239"/>
      <c r="LFG13" s="239"/>
      <c r="LFH13" s="239"/>
      <c r="LFI13" s="239"/>
      <c r="LFJ13" s="239"/>
      <c r="LFK13" s="239"/>
      <c r="LFL13" s="239"/>
      <c r="LFM13" s="239"/>
      <c r="LFN13" s="239"/>
      <c r="LFO13" s="239"/>
      <c r="LFP13" s="239"/>
      <c r="LFQ13" s="239"/>
      <c r="LFR13" s="239"/>
      <c r="LFS13" s="239"/>
      <c r="LFT13" s="239"/>
      <c r="LFU13" s="239"/>
      <c r="LFV13" s="239"/>
      <c r="LFW13" s="239"/>
      <c r="LFX13" s="239"/>
      <c r="LFY13" s="239"/>
      <c r="LFZ13" s="239"/>
      <c r="LGA13" s="239"/>
      <c r="LGB13" s="239"/>
      <c r="LGC13" s="239"/>
      <c r="LGD13" s="239"/>
      <c r="LGE13" s="239"/>
      <c r="LGF13" s="239"/>
      <c r="LGG13" s="239"/>
      <c r="LGH13" s="239"/>
      <c r="LGI13" s="239"/>
      <c r="LGJ13" s="239"/>
      <c r="LGK13" s="239"/>
      <c r="LGL13" s="239"/>
      <c r="LGM13" s="239"/>
      <c r="LGN13" s="239"/>
      <c r="LGO13" s="239"/>
      <c r="LGP13" s="239"/>
      <c r="LGQ13" s="239"/>
      <c r="LGR13" s="239"/>
      <c r="LGS13" s="239"/>
      <c r="LGT13" s="239"/>
      <c r="LGU13" s="239"/>
      <c r="LGV13" s="239"/>
      <c r="LGW13" s="239"/>
      <c r="LGX13" s="239"/>
      <c r="LGY13" s="239"/>
      <c r="LGZ13" s="239"/>
      <c r="LHA13" s="239"/>
      <c r="LHB13" s="239"/>
      <c r="LHC13" s="239"/>
      <c r="LHD13" s="239"/>
      <c r="LHE13" s="239"/>
      <c r="LHF13" s="239"/>
      <c r="LHG13" s="239"/>
      <c r="LHH13" s="239"/>
      <c r="LHI13" s="239"/>
      <c r="LHJ13" s="239"/>
      <c r="LHK13" s="239"/>
      <c r="LHL13" s="239"/>
      <c r="LHM13" s="239"/>
      <c r="LHN13" s="239"/>
      <c r="LHO13" s="239"/>
      <c r="LHP13" s="239"/>
      <c r="LHQ13" s="239"/>
      <c r="LHR13" s="239"/>
      <c r="LHS13" s="239"/>
      <c r="LHT13" s="239"/>
      <c r="LHU13" s="239"/>
      <c r="LHV13" s="239"/>
      <c r="LHW13" s="239"/>
      <c r="LHX13" s="239"/>
      <c r="LHY13" s="239"/>
      <c r="LHZ13" s="239"/>
      <c r="LIA13" s="239"/>
      <c r="LIB13" s="239"/>
      <c r="LIC13" s="239"/>
      <c r="LID13" s="239"/>
      <c r="LIE13" s="239"/>
      <c r="LIF13" s="239"/>
      <c r="LIG13" s="239"/>
      <c r="LIH13" s="239"/>
      <c r="LII13" s="239"/>
      <c r="LIJ13" s="239"/>
      <c r="LIK13" s="239"/>
      <c r="LIL13" s="239"/>
      <c r="LIM13" s="239"/>
      <c r="LIN13" s="239"/>
      <c r="LIO13" s="239"/>
      <c r="LIP13" s="239"/>
      <c r="LIQ13" s="239"/>
      <c r="LIR13" s="239"/>
      <c r="LIS13" s="239"/>
      <c r="LIT13" s="239"/>
      <c r="LIU13" s="239"/>
      <c r="LIV13" s="239"/>
      <c r="LIW13" s="239"/>
      <c r="LIX13" s="239"/>
      <c r="LIY13" s="239"/>
      <c r="LIZ13" s="239"/>
      <c r="LJA13" s="239"/>
      <c r="LJB13" s="239"/>
      <c r="LJC13" s="239"/>
      <c r="LJD13" s="239"/>
      <c r="LJE13" s="239"/>
      <c r="LJF13" s="239"/>
      <c r="LJG13" s="239"/>
      <c r="LJH13" s="239"/>
      <c r="LJI13" s="239"/>
      <c r="LJJ13" s="239"/>
      <c r="LJK13" s="239"/>
      <c r="LJL13" s="239"/>
      <c r="LJM13" s="239"/>
      <c r="LJN13" s="239"/>
      <c r="LJO13" s="239"/>
      <c r="LJP13" s="239"/>
      <c r="LJQ13" s="239"/>
      <c r="LJR13" s="239"/>
      <c r="LJS13" s="239"/>
      <c r="LJT13" s="239"/>
      <c r="LJU13" s="239"/>
      <c r="LJV13" s="239"/>
      <c r="LJW13" s="239"/>
      <c r="LJX13" s="239"/>
      <c r="LJY13" s="239"/>
      <c r="LJZ13" s="239"/>
      <c r="LKA13" s="239"/>
      <c r="LKB13" s="239"/>
      <c r="LKC13" s="239"/>
      <c r="LKD13" s="239"/>
      <c r="LKE13" s="239"/>
      <c r="LKF13" s="239"/>
      <c r="LKG13" s="239"/>
      <c r="LKH13" s="239"/>
      <c r="LKI13" s="239"/>
      <c r="LKJ13" s="239"/>
      <c r="LKK13" s="239"/>
      <c r="LKL13" s="239"/>
      <c r="LKM13" s="239"/>
      <c r="LKN13" s="239"/>
      <c r="LKO13" s="239"/>
      <c r="LKP13" s="239"/>
      <c r="LKQ13" s="239"/>
      <c r="LKR13" s="239"/>
      <c r="LKS13" s="239"/>
      <c r="LKT13" s="239"/>
      <c r="LKU13" s="239"/>
      <c r="LKV13" s="239"/>
      <c r="LKW13" s="239"/>
      <c r="LKX13" s="239"/>
      <c r="LKY13" s="239"/>
      <c r="LKZ13" s="239"/>
      <c r="LLA13" s="239"/>
      <c r="LLB13" s="239"/>
      <c r="LLC13" s="239"/>
      <c r="LLD13" s="239"/>
      <c r="LLE13" s="239"/>
      <c r="LLF13" s="239"/>
      <c r="LLG13" s="239"/>
      <c r="LLH13" s="239"/>
      <c r="LLI13" s="239"/>
      <c r="LLJ13" s="239"/>
      <c r="LLK13" s="239"/>
      <c r="LLL13" s="239"/>
      <c r="LLM13" s="239"/>
      <c r="LLN13" s="239"/>
      <c r="LLO13" s="239"/>
      <c r="LLP13" s="239"/>
      <c r="LLQ13" s="239"/>
      <c r="LLR13" s="239"/>
      <c r="LLS13" s="239"/>
      <c r="LLT13" s="239"/>
      <c r="LLU13" s="239"/>
      <c r="LLV13" s="239"/>
      <c r="LLW13" s="239"/>
      <c r="LLX13" s="239"/>
      <c r="LLY13" s="239"/>
      <c r="LLZ13" s="239"/>
      <c r="LMA13" s="239"/>
      <c r="LMB13" s="239"/>
      <c r="LMC13" s="239"/>
      <c r="LMD13" s="239"/>
      <c r="LME13" s="239"/>
      <c r="LMF13" s="239"/>
      <c r="LMG13" s="239"/>
      <c r="LMH13" s="239"/>
      <c r="LMI13" s="239"/>
      <c r="LMJ13" s="239"/>
      <c r="LMK13" s="239"/>
      <c r="LML13" s="239"/>
      <c r="LMM13" s="239"/>
      <c r="LMN13" s="239"/>
      <c r="LMO13" s="239"/>
      <c r="LMP13" s="239"/>
      <c r="LMQ13" s="239"/>
      <c r="LMR13" s="239"/>
      <c r="LMS13" s="239"/>
      <c r="LMT13" s="239"/>
      <c r="LMU13" s="239"/>
      <c r="LMV13" s="239"/>
      <c r="LMW13" s="239"/>
      <c r="LMX13" s="239"/>
      <c r="LMY13" s="239"/>
      <c r="LMZ13" s="239"/>
      <c r="LNA13" s="239"/>
      <c r="LNB13" s="239"/>
      <c r="LNC13" s="239"/>
      <c r="LND13" s="239"/>
      <c r="LNE13" s="239"/>
      <c r="LNF13" s="239"/>
      <c r="LNG13" s="239"/>
      <c r="LNH13" s="239"/>
      <c r="LNI13" s="239"/>
      <c r="LNJ13" s="239"/>
      <c r="LNK13" s="239"/>
      <c r="LNL13" s="239"/>
      <c r="LNM13" s="239"/>
      <c r="LNN13" s="239"/>
      <c r="LNO13" s="239"/>
      <c r="LNP13" s="239"/>
      <c r="LNQ13" s="239"/>
      <c r="LNR13" s="239"/>
      <c r="LNS13" s="239"/>
      <c r="LNT13" s="239"/>
      <c r="LNU13" s="239"/>
      <c r="LNV13" s="239"/>
      <c r="LNW13" s="239"/>
      <c r="LNX13" s="239"/>
      <c r="LNY13" s="239"/>
      <c r="LNZ13" s="239"/>
      <c r="LOA13" s="239"/>
      <c r="LOB13" s="239"/>
      <c r="LOC13" s="239"/>
      <c r="LOD13" s="239"/>
      <c r="LOE13" s="239"/>
      <c r="LOF13" s="239"/>
      <c r="LOG13" s="239"/>
      <c r="LOH13" s="239"/>
      <c r="LOI13" s="239"/>
      <c r="LOJ13" s="239"/>
      <c r="LOK13" s="239"/>
      <c r="LOL13" s="239"/>
      <c r="LOM13" s="239"/>
      <c r="LON13" s="239"/>
      <c r="LOO13" s="239"/>
      <c r="LOP13" s="239"/>
      <c r="LOQ13" s="239"/>
      <c r="LOR13" s="239"/>
      <c r="LOS13" s="239"/>
      <c r="LOT13" s="239"/>
      <c r="LOU13" s="239"/>
      <c r="LOV13" s="239"/>
      <c r="LOW13" s="239"/>
      <c r="LOX13" s="239"/>
      <c r="LOY13" s="239"/>
      <c r="LOZ13" s="239"/>
      <c r="LPA13" s="239"/>
      <c r="LPB13" s="239"/>
      <c r="LPC13" s="239"/>
      <c r="LPD13" s="239"/>
      <c r="LPE13" s="239"/>
      <c r="LPF13" s="239"/>
      <c r="LPG13" s="239"/>
      <c r="LPH13" s="239"/>
      <c r="LPI13" s="239"/>
      <c r="LPJ13" s="239"/>
      <c r="LPK13" s="239"/>
      <c r="LPL13" s="239"/>
      <c r="LPM13" s="239"/>
      <c r="LPN13" s="239"/>
      <c r="LPO13" s="239"/>
      <c r="LPP13" s="239"/>
      <c r="LPQ13" s="239"/>
      <c r="LPR13" s="239"/>
      <c r="LPS13" s="239"/>
      <c r="LPT13" s="239"/>
      <c r="LPU13" s="239"/>
      <c r="LPV13" s="239"/>
      <c r="LPW13" s="239"/>
      <c r="LPX13" s="239"/>
      <c r="LPY13" s="239"/>
      <c r="LPZ13" s="239"/>
      <c r="LQA13" s="239"/>
      <c r="LQB13" s="239"/>
      <c r="LQC13" s="239"/>
      <c r="LQD13" s="239"/>
      <c r="LQE13" s="239"/>
      <c r="LQF13" s="239"/>
      <c r="LQG13" s="239"/>
      <c r="LQH13" s="239"/>
      <c r="LQI13" s="239"/>
      <c r="LQJ13" s="239"/>
      <c r="LQK13" s="239"/>
      <c r="LQL13" s="239"/>
      <c r="LQM13" s="239"/>
      <c r="LQN13" s="239"/>
      <c r="LQO13" s="239"/>
      <c r="LQP13" s="239"/>
      <c r="LQQ13" s="239"/>
      <c r="LQR13" s="239"/>
      <c r="LQS13" s="239"/>
      <c r="LQT13" s="239"/>
      <c r="LQU13" s="239"/>
      <c r="LQV13" s="239"/>
      <c r="LQW13" s="239"/>
      <c r="LQX13" s="239"/>
      <c r="LQY13" s="239"/>
      <c r="LQZ13" s="239"/>
      <c r="LRA13" s="239"/>
      <c r="LRB13" s="239"/>
      <c r="LRC13" s="239"/>
      <c r="LRD13" s="239"/>
      <c r="LRE13" s="239"/>
      <c r="LRF13" s="239"/>
      <c r="LRG13" s="239"/>
      <c r="LRH13" s="239"/>
      <c r="LRI13" s="239"/>
      <c r="LRJ13" s="239"/>
      <c r="LRK13" s="239"/>
      <c r="LRL13" s="239"/>
      <c r="LRM13" s="239"/>
      <c r="LRN13" s="239"/>
      <c r="LRO13" s="239"/>
      <c r="LRP13" s="239"/>
      <c r="LRQ13" s="239"/>
      <c r="LRR13" s="239"/>
      <c r="LRS13" s="239"/>
      <c r="LRT13" s="239"/>
      <c r="LRU13" s="239"/>
      <c r="LRV13" s="239"/>
      <c r="LRW13" s="239"/>
      <c r="LRX13" s="239"/>
      <c r="LRY13" s="239"/>
      <c r="LRZ13" s="239"/>
      <c r="LSA13" s="239"/>
      <c r="LSB13" s="239"/>
      <c r="LSC13" s="239"/>
      <c r="LSD13" s="239"/>
      <c r="LSE13" s="239"/>
      <c r="LSF13" s="239"/>
      <c r="LSG13" s="239"/>
      <c r="LSH13" s="239"/>
      <c r="LSI13" s="239"/>
      <c r="LSJ13" s="239"/>
      <c r="LSK13" s="239"/>
      <c r="LSL13" s="239"/>
      <c r="LSM13" s="239"/>
      <c r="LSN13" s="239"/>
      <c r="LSO13" s="239"/>
      <c r="LSP13" s="239"/>
      <c r="LSQ13" s="239"/>
      <c r="LSR13" s="239"/>
      <c r="LSS13" s="239"/>
      <c r="LST13" s="239"/>
      <c r="LSU13" s="239"/>
      <c r="LSV13" s="239"/>
      <c r="LSW13" s="239"/>
      <c r="LSX13" s="239"/>
      <c r="LSY13" s="239"/>
      <c r="LSZ13" s="239"/>
      <c r="LTA13" s="239"/>
      <c r="LTB13" s="239"/>
      <c r="LTC13" s="239"/>
      <c r="LTD13" s="239"/>
      <c r="LTE13" s="239"/>
      <c r="LTF13" s="239"/>
      <c r="LTG13" s="239"/>
      <c r="LTH13" s="239"/>
      <c r="LTI13" s="239"/>
      <c r="LTJ13" s="239"/>
      <c r="LTK13" s="239"/>
      <c r="LTL13" s="239"/>
      <c r="LTM13" s="239"/>
      <c r="LTN13" s="239"/>
      <c r="LTO13" s="239"/>
      <c r="LTP13" s="239"/>
      <c r="LTQ13" s="239"/>
      <c r="LTR13" s="239"/>
      <c r="LTS13" s="239"/>
      <c r="LTT13" s="239"/>
      <c r="LTU13" s="239"/>
      <c r="LTV13" s="239"/>
      <c r="LTW13" s="239"/>
      <c r="LTX13" s="239"/>
      <c r="LTY13" s="239"/>
      <c r="LTZ13" s="239"/>
      <c r="LUA13" s="239"/>
      <c r="LUB13" s="239"/>
      <c r="LUC13" s="239"/>
      <c r="LUD13" s="239"/>
      <c r="LUE13" s="239"/>
      <c r="LUF13" s="239"/>
      <c r="LUG13" s="239"/>
      <c r="LUH13" s="239"/>
      <c r="LUI13" s="239"/>
      <c r="LUJ13" s="239"/>
      <c r="LUK13" s="239"/>
      <c r="LUL13" s="239"/>
      <c r="LUM13" s="239"/>
      <c r="LUN13" s="239"/>
      <c r="LUO13" s="239"/>
      <c r="LUP13" s="239"/>
      <c r="LUQ13" s="239"/>
      <c r="LUR13" s="239"/>
      <c r="LUS13" s="239"/>
      <c r="LUT13" s="239"/>
      <c r="LUU13" s="239"/>
      <c r="LUV13" s="239"/>
      <c r="LUW13" s="239"/>
      <c r="LUX13" s="239"/>
      <c r="LUY13" s="239"/>
      <c r="LUZ13" s="239"/>
      <c r="LVA13" s="239"/>
      <c r="LVB13" s="239"/>
      <c r="LVC13" s="239"/>
      <c r="LVD13" s="239"/>
      <c r="LVE13" s="239"/>
      <c r="LVF13" s="239"/>
      <c r="LVG13" s="239"/>
      <c r="LVH13" s="239"/>
      <c r="LVI13" s="239"/>
      <c r="LVJ13" s="239"/>
      <c r="LVK13" s="239"/>
      <c r="LVL13" s="239"/>
      <c r="LVM13" s="239"/>
      <c r="LVN13" s="239"/>
      <c r="LVO13" s="239"/>
      <c r="LVP13" s="239"/>
      <c r="LVQ13" s="239"/>
      <c r="LVR13" s="239"/>
      <c r="LVS13" s="239"/>
      <c r="LVT13" s="239"/>
      <c r="LVU13" s="239"/>
      <c r="LVV13" s="239"/>
      <c r="LVW13" s="239"/>
      <c r="LVX13" s="239"/>
      <c r="LVY13" s="239"/>
      <c r="LVZ13" s="239"/>
      <c r="LWA13" s="239"/>
      <c r="LWB13" s="239"/>
      <c r="LWC13" s="239"/>
      <c r="LWD13" s="239"/>
      <c r="LWE13" s="239"/>
      <c r="LWF13" s="239"/>
      <c r="LWG13" s="239"/>
      <c r="LWH13" s="239"/>
      <c r="LWI13" s="239"/>
      <c r="LWJ13" s="239"/>
      <c r="LWK13" s="239"/>
      <c r="LWL13" s="239"/>
      <c r="LWM13" s="239"/>
      <c r="LWN13" s="239"/>
      <c r="LWO13" s="239"/>
      <c r="LWP13" s="239"/>
      <c r="LWQ13" s="239"/>
      <c r="LWR13" s="239"/>
      <c r="LWS13" s="239"/>
      <c r="LWT13" s="239"/>
      <c r="LWU13" s="239"/>
      <c r="LWV13" s="239"/>
      <c r="LWW13" s="239"/>
      <c r="LWX13" s="239"/>
      <c r="LWY13" s="239"/>
      <c r="LWZ13" s="239"/>
      <c r="LXA13" s="239"/>
      <c r="LXB13" s="239"/>
      <c r="LXC13" s="239"/>
      <c r="LXD13" s="239"/>
      <c r="LXE13" s="239"/>
      <c r="LXF13" s="239"/>
      <c r="LXG13" s="239"/>
      <c r="LXH13" s="239"/>
      <c r="LXI13" s="239"/>
      <c r="LXJ13" s="239"/>
      <c r="LXK13" s="239"/>
      <c r="LXL13" s="239"/>
      <c r="LXM13" s="239"/>
      <c r="LXN13" s="239"/>
      <c r="LXO13" s="239"/>
      <c r="LXP13" s="239"/>
      <c r="LXQ13" s="239"/>
      <c r="LXR13" s="239"/>
      <c r="LXS13" s="239"/>
      <c r="LXT13" s="239"/>
      <c r="LXU13" s="239"/>
      <c r="LXV13" s="239"/>
      <c r="LXW13" s="239"/>
      <c r="LXX13" s="239"/>
      <c r="LXY13" s="239"/>
      <c r="LXZ13" s="239"/>
      <c r="LYA13" s="239"/>
      <c r="LYB13" s="239"/>
      <c r="LYC13" s="239"/>
      <c r="LYD13" s="239"/>
      <c r="LYE13" s="239"/>
      <c r="LYF13" s="239"/>
      <c r="LYG13" s="239"/>
      <c r="LYH13" s="239"/>
      <c r="LYI13" s="239"/>
      <c r="LYJ13" s="239"/>
      <c r="LYK13" s="239"/>
      <c r="LYL13" s="239"/>
      <c r="LYM13" s="239"/>
      <c r="LYN13" s="239"/>
      <c r="LYO13" s="239"/>
      <c r="LYP13" s="239"/>
      <c r="LYQ13" s="239"/>
      <c r="LYR13" s="239"/>
      <c r="LYS13" s="239"/>
      <c r="LYT13" s="239"/>
      <c r="LYU13" s="239"/>
      <c r="LYV13" s="239"/>
      <c r="LYW13" s="239"/>
      <c r="LYX13" s="239"/>
      <c r="LYY13" s="239"/>
      <c r="LYZ13" s="239"/>
      <c r="LZA13" s="239"/>
      <c r="LZB13" s="239"/>
      <c r="LZC13" s="239"/>
      <c r="LZD13" s="239"/>
      <c r="LZE13" s="239"/>
      <c r="LZF13" s="239"/>
      <c r="LZG13" s="239"/>
      <c r="LZH13" s="239"/>
      <c r="LZI13" s="239"/>
      <c r="LZJ13" s="239"/>
      <c r="LZK13" s="239"/>
      <c r="LZL13" s="239"/>
      <c r="LZM13" s="239"/>
      <c r="LZN13" s="239"/>
      <c r="LZO13" s="239"/>
      <c r="LZP13" s="239"/>
      <c r="LZQ13" s="239"/>
      <c r="LZR13" s="239"/>
      <c r="LZS13" s="239"/>
      <c r="LZT13" s="239"/>
      <c r="LZU13" s="239"/>
      <c r="LZV13" s="239"/>
      <c r="LZW13" s="239"/>
      <c r="LZX13" s="239"/>
      <c r="LZY13" s="239"/>
      <c r="LZZ13" s="239"/>
      <c r="MAA13" s="239"/>
      <c r="MAB13" s="239"/>
      <c r="MAC13" s="239"/>
      <c r="MAD13" s="239"/>
      <c r="MAE13" s="239"/>
      <c r="MAF13" s="239"/>
      <c r="MAG13" s="239"/>
      <c r="MAH13" s="239"/>
      <c r="MAI13" s="239"/>
      <c r="MAJ13" s="239"/>
      <c r="MAK13" s="239"/>
      <c r="MAL13" s="239"/>
      <c r="MAM13" s="239"/>
      <c r="MAN13" s="239"/>
      <c r="MAO13" s="239"/>
      <c r="MAP13" s="239"/>
      <c r="MAQ13" s="239"/>
      <c r="MAR13" s="239"/>
      <c r="MAS13" s="239"/>
      <c r="MAT13" s="239"/>
      <c r="MAU13" s="239"/>
      <c r="MAV13" s="239"/>
      <c r="MAW13" s="239"/>
      <c r="MAX13" s="239"/>
      <c r="MAY13" s="239"/>
      <c r="MAZ13" s="239"/>
      <c r="MBA13" s="239"/>
      <c r="MBB13" s="239"/>
      <c r="MBC13" s="239"/>
      <c r="MBD13" s="239"/>
      <c r="MBE13" s="239"/>
      <c r="MBF13" s="239"/>
      <c r="MBG13" s="239"/>
      <c r="MBH13" s="239"/>
      <c r="MBI13" s="239"/>
      <c r="MBJ13" s="239"/>
      <c r="MBK13" s="239"/>
      <c r="MBL13" s="239"/>
      <c r="MBM13" s="239"/>
      <c r="MBN13" s="239"/>
      <c r="MBO13" s="239"/>
      <c r="MBP13" s="239"/>
      <c r="MBQ13" s="239"/>
      <c r="MBR13" s="239"/>
      <c r="MBS13" s="239"/>
      <c r="MBT13" s="239"/>
      <c r="MBU13" s="239"/>
      <c r="MBV13" s="239"/>
      <c r="MBW13" s="239"/>
      <c r="MBX13" s="239"/>
      <c r="MBY13" s="239"/>
      <c r="MBZ13" s="239"/>
      <c r="MCA13" s="239"/>
      <c r="MCB13" s="239"/>
      <c r="MCC13" s="239"/>
      <c r="MCD13" s="239"/>
      <c r="MCE13" s="239"/>
      <c r="MCF13" s="239"/>
      <c r="MCG13" s="239"/>
      <c r="MCH13" s="239"/>
      <c r="MCI13" s="239"/>
      <c r="MCJ13" s="239"/>
      <c r="MCK13" s="239"/>
      <c r="MCL13" s="239"/>
      <c r="MCM13" s="239"/>
      <c r="MCN13" s="239"/>
      <c r="MCO13" s="239"/>
      <c r="MCP13" s="239"/>
      <c r="MCQ13" s="239"/>
      <c r="MCR13" s="239"/>
      <c r="MCS13" s="239"/>
      <c r="MCT13" s="239"/>
      <c r="MCU13" s="239"/>
      <c r="MCV13" s="239"/>
      <c r="MCW13" s="239"/>
      <c r="MCX13" s="239"/>
      <c r="MCY13" s="239"/>
      <c r="MCZ13" s="239"/>
      <c r="MDA13" s="239"/>
      <c r="MDB13" s="239"/>
      <c r="MDC13" s="239"/>
      <c r="MDD13" s="239"/>
      <c r="MDE13" s="239"/>
      <c r="MDF13" s="239"/>
      <c r="MDG13" s="239"/>
      <c r="MDH13" s="239"/>
      <c r="MDI13" s="239"/>
      <c r="MDJ13" s="239"/>
      <c r="MDK13" s="239"/>
      <c r="MDL13" s="239"/>
      <c r="MDM13" s="239"/>
      <c r="MDN13" s="239"/>
      <c r="MDO13" s="239"/>
      <c r="MDP13" s="239"/>
      <c r="MDQ13" s="239"/>
      <c r="MDR13" s="239"/>
      <c r="MDS13" s="239"/>
      <c r="MDT13" s="239"/>
      <c r="MDU13" s="239"/>
      <c r="MDV13" s="239"/>
      <c r="MDW13" s="239"/>
    </row>
    <row r="14" spans="1:8915" s="51" customFormat="1" hidden="1">
      <c r="A14" s="75"/>
      <c r="B14" s="101">
        <v>45757</v>
      </c>
      <c r="C14" s="101" t="s">
        <v>195</v>
      </c>
      <c r="D14" s="119">
        <v>3565.0496000000785</v>
      </c>
      <c r="E14" s="119">
        <v>5295.8784000000005</v>
      </c>
      <c r="F14" s="119">
        <v>631.75</v>
      </c>
      <c r="G14" s="119">
        <v>725.07000000000698</v>
      </c>
      <c r="H14" s="119">
        <v>978.43000000000029</v>
      </c>
      <c r="I14" s="119">
        <v>722.13000000000102</v>
      </c>
      <c r="J14" s="119">
        <v>1596.9888000001001</v>
      </c>
      <c r="K14" s="119">
        <v>2084.9576000001307</v>
      </c>
      <c r="L14" s="119">
        <v>10263.470000000481</v>
      </c>
      <c r="M14" s="119">
        <v>884.37000000011176</v>
      </c>
      <c r="N14" s="119">
        <v>506.88</v>
      </c>
      <c r="O14" s="119">
        <v>2616.5402999987318</v>
      </c>
      <c r="P14" s="141">
        <f t="shared" si="0"/>
        <v>29871.514699999643</v>
      </c>
      <c r="Q14" s="119">
        <v>15950.019999999846</v>
      </c>
      <c r="R14" s="119">
        <v>23516.354100000306</v>
      </c>
      <c r="S14" s="119">
        <v>1375.2184999999095</v>
      </c>
      <c r="T14" s="119">
        <v>1570.0407000000419</v>
      </c>
      <c r="U14" s="119">
        <v>2756.8623000000298</v>
      </c>
      <c r="V14" s="141">
        <f t="shared" si="1"/>
        <v>75040.010299999791</v>
      </c>
      <c r="W14" s="81"/>
      <c r="X14" s="262">
        <f>Summary!K14</f>
        <v>75040.010299999791</v>
      </c>
      <c r="Y14" s="239"/>
      <c r="Z14" s="281">
        <f t="shared" si="2"/>
        <v>0</v>
      </c>
      <c r="AA14" s="239"/>
      <c r="AB14" s="239"/>
      <c r="AC14" s="239"/>
      <c r="AD14" s="239"/>
      <c r="AE14" s="239"/>
      <c r="AF14" s="239"/>
      <c r="AG14" s="239"/>
      <c r="AH14" s="239"/>
      <c r="AI14" s="239"/>
      <c r="AJ14" s="239"/>
      <c r="AK14" s="239"/>
      <c r="AL14" s="239"/>
      <c r="AM14" s="239"/>
      <c r="AN14" s="239"/>
      <c r="AO14" s="239"/>
      <c r="AP14" s="239"/>
      <c r="AQ14" s="239"/>
      <c r="AR14" s="239"/>
      <c r="AS14" s="239"/>
      <c r="AT14" s="239"/>
      <c r="AU14" s="239"/>
      <c r="AV14" s="239"/>
      <c r="AW14" s="239"/>
      <c r="AX14" s="239"/>
      <c r="AY14" s="239"/>
      <c r="AZ14" s="239"/>
      <c r="BA14" s="239"/>
      <c r="BB14" s="239"/>
      <c r="BC14" s="239"/>
      <c r="BD14" s="239"/>
      <c r="BE14" s="239"/>
      <c r="BF14" s="239"/>
      <c r="BG14" s="239"/>
      <c r="BH14" s="239"/>
      <c r="BI14" s="239"/>
      <c r="BJ14" s="239"/>
      <c r="BK14" s="239"/>
      <c r="BL14" s="239"/>
      <c r="BM14" s="239"/>
      <c r="BN14" s="239"/>
      <c r="BO14" s="239"/>
      <c r="BP14" s="239"/>
      <c r="BQ14" s="239"/>
      <c r="BR14" s="239"/>
      <c r="BS14" s="239"/>
      <c r="BT14" s="239"/>
      <c r="BU14" s="239"/>
      <c r="BV14" s="239"/>
      <c r="BW14" s="239"/>
      <c r="BX14" s="239"/>
      <c r="BY14" s="239"/>
      <c r="BZ14" s="239"/>
      <c r="CA14" s="239"/>
      <c r="CB14" s="239"/>
      <c r="CC14" s="239"/>
      <c r="CD14" s="239"/>
      <c r="CE14" s="239"/>
      <c r="CF14" s="239"/>
      <c r="CG14" s="239"/>
      <c r="CH14" s="239"/>
      <c r="CI14" s="239"/>
      <c r="CJ14" s="239"/>
      <c r="CK14" s="239"/>
      <c r="CL14" s="239"/>
      <c r="CM14" s="239"/>
      <c r="CN14" s="239"/>
      <c r="CO14" s="239"/>
      <c r="CP14" s="239"/>
      <c r="CQ14" s="239"/>
      <c r="CR14" s="239"/>
      <c r="CS14" s="239"/>
      <c r="CT14" s="239"/>
      <c r="CU14" s="239"/>
      <c r="CV14" s="239"/>
      <c r="CW14" s="239"/>
      <c r="CX14" s="239"/>
      <c r="CY14" s="239"/>
      <c r="CZ14" s="239"/>
      <c r="DA14" s="239"/>
      <c r="DB14" s="239"/>
      <c r="DC14" s="239"/>
      <c r="DD14" s="239"/>
      <c r="DE14" s="239"/>
      <c r="DF14" s="239"/>
      <c r="DG14" s="239"/>
      <c r="DH14" s="239"/>
      <c r="DI14" s="239"/>
      <c r="DJ14" s="239"/>
      <c r="DK14" s="239"/>
      <c r="DL14" s="239"/>
      <c r="DM14" s="239"/>
      <c r="DN14" s="239"/>
      <c r="DO14" s="239"/>
      <c r="DP14" s="239"/>
      <c r="DQ14" s="239"/>
      <c r="DR14" s="239"/>
      <c r="DS14" s="239"/>
      <c r="DT14" s="239"/>
      <c r="DU14" s="239"/>
      <c r="DV14" s="239"/>
      <c r="DW14" s="239"/>
      <c r="DX14" s="239"/>
      <c r="DY14" s="239"/>
      <c r="DZ14" s="239"/>
      <c r="EA14" s="239"/>
      <c r="EB14" s="239"/>
      <c r="EC14" s="239"/>
      <c r="ED14" s="239"/>
      <c r="EE14" s="239"/>
      <c r="EF14" s="239"/>
      <c r="EG14" s="239"/>
      <c r="EH14" s="239"/>
      <c r="EI14" s="239"/>
      <c r="EJ14" s="239"/>
      <c r="EK14" s="239"/>
      <c r="EL14" s="239"/>
      <c r="EM14" s="239"/>
      <c r="EN14" s="239"/>
      <c r="EO14" s="239"/>
      <c r="EP14" s="239"/>
      <c r="EQ14" s="239"/>
      <c r="ER14" s="239"/>
      <c r="ES14" s="239"/>
      <c r="ET14" s="239"/>
      <c r="EU14" s="239"/>
      <c r="EV14" s="239"/>
      <c r="EW14" s="239"/>
      <c r="EX14" s="239"/>
      <c r="EY14" s="239"/>
      <c r="EZ14" s="239"/>
      <c r="FA14" s="239"/>
      <c r="FB14" s="239"/>
      <c r="FC14" s="239"/>
      <c r="FD14" s="239"/>
      <c r="FE14" s="239"/>
      <c r="FF14" s="239"/>
      <c r="FG14" s="239"/>
      <c r="FH14" s="239"/>
      <c r="FI14" s="239"/>
      <c r="FJ14" s="239"/>
      <c r="FK14" s="239"/>
      <c r="FL14" s="239"/>
      <c r="FM14" s="239"/>
      <c r="FN14" s="239"/>
      <c r="FO14" s="239"/>
      <c r="FP14" s="239"/>
      <c r="FQ14" s="239"/>
      <c r="FR14" s="239"/>
      <c r="FS14" s="239"/>
      <c r="FT14" s="239"/>
      <c r="FU14" s="239"/>
      <c r="FV14" s="239"/>
      <c r="FW14" s="239"/>
      <c r="FX14" s="239"/>
      <c r="FY14" s="239"/>
      <c r="FZ14" s="239"/>
      <c r="GA14" s="239"/>
      <c r="GB14" s="239"/>
      <c r="GC14" s="239"/>
      <c r="GD14" s="239"/>
      <c r="GE14" s="239"/>
      <c r="GF14" s="239"/>
      <c r="GG14" s="239"/>
      <c r="GH14" s="239"/>
      <c r="GI14" s="239"/>
      <c r="GJ14" s="239"/>
      <c r="GK14" s="239"/>
      <c r="GL14" s="239"/>
      <c r="GM14" s="239"/>
      <c r="GN14" s="239"/>
      <c r="GO14" s="239"/>
      <c r="GP14" s="239"/>
      <c r="GQ14" s="239"/>
      <c r="GR14" s="239"/>
      <c r="GS14" s="239"/>
      <c r="GT14" s="239"/>
      <c r="GU14" s="239"/>
      <c r="GV14" s="239"/>
      <c r="GW14" s="239"/>
      <c r="GX14" s="239"/>
      <c r="GY14" s="239"/>
      <c r="GZ14" s="239"/>
      <c r="HA14" s="239"/>
      <c r="HB14" s="239"/>
      <c r="HC14" s="239"/>
      <c r="HD14" s="239"/>
      <c r="HE14" s="239"/>
      <c r="HF14" s="239"/>
      <c r="HG14" s="239"/>
      <c r="HH14" s="239"/>
      <c r="HI14" s="239"/>
      <c r="HJ14" s="239"/>
      <c r="HK14" s="239"/>
      <c r="HL14" s="239"/>
      <c r="HM14" s="239"/>
      <c r="HN14" s="239"/>
      <c r="HO14" s="239"/>
      <c r="HP14" s="239"/>
      <c r="HQ14" s="239"/>
      <c r="HR14" s="239"/>
      <c r="HS14" s="239"/>
      <c r="HT14" s="239"/>
      <c r="HU14" s="239"/>
      <c r="HV14" s="239"/>
      <c r="HW14" s="239"/>
      <c r="HX14" s="239"/>
      <c r="HY14" s="239"/>
      <c r="HZ14" s="239"/>
      <c r="IA14" s="239"/>
      <c r="IB14" s="239"/>
      <c r="IC14" s="239"/>
      <c r="ID14" s="239"/>
      <c r="IE14" s="239"/>
      <c r="IF14" s="239"/>
      <c r="IG14" s="239"/>
      <c r="IH14" s="239"/>
      <c r="II14" s="239"/>
      <c r="IJ14" s="239"/>
      <c r="IK14" s="239"/>
      <c r="IL14" s="239"/>
      <c r="IM14" s="239"/>
      <c r="IN14" s="239"/>
      <c r="IO14" s="239"/>
      <c r="IP14" s="239"/>
      <c r="IQ14" s="239"/>
      <c r="IR14" s="239"/>
      <c r="IS14" s="239"/>
      <c r="IT14" s="239"/>
      <c r="IU14" s="239"/>
      <c r="IV14" s="239"/>
      <c r="IW14" s="239"/>
      <c r="IX14" s="239"/>
      <c r="IY14" s="239"/>
      <c r="IZ14" s="239"/>
      <c r="JA14" s="239"/>
      <c r="JB14" s="239"/>
      <c r="JC14" s="239"/>
      <c r="JD14" s="239"/>
      <c r="JE14" s="239"/>
      <c r="JF14" s="239"/>
      <c r="JG14" s="239"/>
      <c r="JH14" s="239"/>
      <c r="JI14" s="239"/>
      <c r="JJ14" s="239"/>
      <c r="JK14" s="239"/>
      <c r="JL14" s="239"/>
      <c r="JM14" s="239"/>
      <c r="JN14" s="239"/>
      <c r="JO14" s="239"/>
      <c r="JP14" s="239"/>
      <c r="JQ14" s="239"/>
      <c r="JR14" s="239"/>
      <c r="JS14" s="239"/>
      <c r="JT14" s="239"/>
      <c r="JU14" s="239"/>
      <c r="JV14" s="239"/>
      <c r="JW14" s="239"/>
      <c r="JX14" s="239"/>
      <c r="JY14" s="239"/>
      <c r="JZ14" s="239"/>
      <c r="KA14" s="239"/>
      <c r="KB14" s="239"/>
      <c r="KC14" s="239"/>
      <c r="KD14" s="239"/>
      <c r="KE14" s="239"/>
      <c r="KF14" s="239"/>
      <c r="KG14" s="239"/>
      <c r="KH14" s="239"/>
      <c r="KI14" s="239"/>
      <c r="KJ14" s="239"/>
      <c r="KK14" s="239"/>
      <c r="KL14" s="239"/>
      <c r="KM14" s="239"/>
      <c r="KN14" s="239"/>
      <c r="KO14" s="239"/>
      <c r="KP14" s="239"/>
      <c r="KQ14" s="239"/>
      <c r="KR14" s="239"/>
      <c r="KS14" s="239"/>
      <c r="KT14" s="239"/>
      <c r="KU14" s="239"/>
      <c r="KV14" s="239"/>
      <c r="KW14" s="239"/>
      <c r="KX14" s="239"/>
      <c r="KY14" s="239"/>
      <c r="KZ14" s="239"/>
      <c r="LA14" s="239"/>
      <c r="LB14" s="239"/>
      <c r="LC14" s="239"/>
      <c r="LD14" s="239"/>
      <c r="LE14" s="239"/>
      <c r="LF14" s="239"/>
      <c r="LG14" s="239"/>
      <c r="LH14" s="239"/>
      <c r="LI14" s="239"/>
      <c r="LJ14" s="239"/>
      <c r="LK14" s="239"/>
      <c r="LL14" s="239"/>
      <c r="LM14" s="239"/>
      <c r="LN14" s="239"/>
      <c r="LO14" s="239"/>
      <c r="LP14" s="239"/>
      <c r="LQ14" s="239"/>
      <c r="LR14" s="239"/>
      <c r="LS14" s="239"/>
      <c r="LT14" s="239"/>
      <c r="LU14" s="239"/>
      <c r="LV14" s="239"/>
      <c r="LW14" s="239"/>
      <c r="LX14" s="239"/>
      <c r="LY14" s="239"/>
      <c r="LZ14" s="239"/>
      <c r="MA14" s="239"/>
      <c r="MB14" s="239"/>
      <c r="MC14" s="239"/>
      <c r="MD14" s="239"/>
      <c r="ME14" s="239"/>
      <c r="MF14" s="239"/>
      <c r="MG14" s="239"/>
      <c r="MH14" s="239"/>
      <c r="MI14" s="239"/>
      <c r="MJ14" s="239"/>
      <c r="MK14" s="239"/>
      <c r="ML14" s="239"/>
      <c r="MM14" s="239"/>
      <c r="MN14" s="239"/>
      <c r="MO14" s="239"/>
      <c r="MP14" s="239"/>
      <c r="MQ14" s="239"/>
      <c r="MR14" s="239"/>
      <c r="MS14" s="239"/>
      <c r="MT14" s="239"/>
      <c r="MU14" s="239"/>
      <c r="MV14" s="239"/>
      <c r="MW14" s="239"/>
      <c r="MX14" s="239"/>
      <c r="MY14" s="239"/>
      <c r="MZ14" s="239"/>
      <c r="NA14" s="239"/>
      <c r="NB14" s="239"/>
      <c r="NC14" s="239"/>
      <c r="ND14" s="239"/>
      <c r="NE14" s="239"/>
      <c r="NF14" s="239"/>
      <c r="NG14" s="239"/>
      <c r="NH14" s="239"/>
      <c r="NI14" s="239"/>
      <c r="NJ14" s="239"/>
      <c r="NK14" s="239"/>
      <c r="NL14" s="239"/>
      <c r="NM14" s="239"/>
      <c r="NN14" s="239"/>
      <c r="NO14" s="239"/>
      <c r="NP14" s="239"/>
      <c r="NQ14" s="239"/>
      <c r="NR14" s="239"/>
      <c r="NS14" s="239"/>
      <c r="NT14" s="239"/>
      <c r="NU14" s="239"/>
      <c r="NV14" s="239"/>
      <c r="NW14" s="239"/>
      <c r="NX14" s="239"/>
      <c r="NY14" s="239"/>
      <c r="NZ14" s="239"/>
      <c r="OA14" s="239"/>
      <c r="OB14" s="239"/>
      <c r="OC14" s="239"/>
      <c r="OD14" s="239"/>
      <c r="OE14" s="239"/>
      <c r="OF14" s="239"/>
      <c r="OG14" s="239"/>
      <c r="OH14" s="239"/>
      <c r="OI14" s="239"/>
      <c r="OJ14" s="239"/>
      <c r="OK14" s="239"/>
      <c r="OL14" s="239"/>
      <c r="OM14" s="239"/>
      <c r="ON14" s="239"/>
      <c r="OO14" s="239"/>
      <c r="OP14" s="239"/>
      <c r="OQ14" s="239"/>
      <c r="OR14" s="239"/>
      <c r="OS14" s="239"/>
      <c r="OT14" s="239"/>
      <c r="OU14" s="239"/>
      <c r="OV14" s="239"/>
      <c r="OW14" s="239"/>
      <c r="OX14" s="239"/>
      <c r="OY14" s="239"/>
      <c r="OZ14" s="239"/>
      <c r="PA14" s="239"/>
      <c r="PB14" s="239"/>
      <c r="PC14" s="239"/>
      <c r="PD14" s="239"/>
      <c r="PE14" s="239"/>
      <c r="PF14" s="239"/>
      <c r="PG14" s="239"/>
      <c r="PH14" s="239"/>
      <c r="PI14" s="239"/>
      <c r="PJ14" s="239"/>
      <c r="PK14" s="239"/>
      <c r="PL14" s="239"/>
      <c r="PM14" s="239"/>
      <c r="PN14" s="239"/>
      <c r="PO14" s="239"/>
      <c r="PP14" s="239"/>
      <c r="PQ14" s="239"/>
      <c r="PR14" s="239"/>
      <c r="PS14" s="239"/>
      <c r="PT14" s="239"/>
      <c r="PU14" s="239"/>
      <c r="PV14" s="239"/>
      <c r="PW14" s="239"/>
      <c r="PX14" s="239"/>
      <c r="PY14" s="239"/>
      <c r="PZ14" s="239"/>
      <c r="QA14" s="239"/>
      <c r="QB14" s="239"/>
      <c r="QC14" s="239"/>
      <c r="QD14" s="239"/>
      <c r="QE14" s="239"/>
      <c r="QF14" s="239"/>
      <c r="QG14" s="239"/>
      <c r="QH14" s="239"/>
      <c r="QI14" s="239"/>
      <c r="QJ14" s="239"/>
      <c r="QK14" s="239"/>
      <c r="QL14" s="239"/>
      <c r="QM14" s="239"/>
      <c r="QN14" s="239"/>
      <c r="QO14" s="239"/>
      <c r="QP14" s="239"/>
      <c r="QQ14" s="239"/>
      <c r="QR14" s="239"/>
      <c r="QS14" s="239"/>
      <c r="QT14" s="239"/>
      <c r="QU14" s="239"/>
      <c r="QV14" s="239"/>
      <c r="QW14" s="239"/>
      <c r="QX14" s="239"/>
      <c r="QY14" s="239"/>
      <c r="QZ14" s="239"/>
      <c r="RA14" s="239"/>
      <c r="RB14" s="239"/>
      <c r="RC14" s="239"/>
      <c r="RD14" s="239"/>
      <c r="RE14" s="239"/>
      <c r="RF14" s="239"/>
      <c r="RG14" s="239"/>
      <c r="RH14" s="239"/>
      <c r="RI14" s="239"/>
      <c r="RJ14" s="239"/>
      <c r="RK14" s="239"/>
      <c r="RL14" s="239"/>
      <c r="RM14" s="239"/>
      <c r="RN14" s="239"/>
      <c r="RO14" s="239"/>
      <c r="RP14" s="239"/>
      <c r="RQ14" s="239"/>
      <c r="RR14" s="239"/>
      <c r="RS14" s="239"/>
      <c r="RT14" s="239"/>
      <c r="RU14" s="239"/>
      <c r="RV14" s="239"/>
      <c r="RW14" s="239"/>
      <c r="RX14" s="239"/>
      <c r="RY14" s="239"/>
      <c r="RZ14" s="239"/>
      <c r="SA14" s="239"/>
      <c r="SB14" s="239"/>
      <c r="SC14" s="239"/>
      <c r="SD14" s="239"/>
      <c r="SE14" s="239"/>
      <c r="SF14" s="239"/>
      <c r="SG14" s="239"/>
      <c r="SH14" s="239"/>
      <c r="SI14" s="239"/>
      <c r="SJ14" s="239"/>
      <c r="SK14" s="239"/>
      <c r="SL14" s="239"/>
      <c r="SM14" s="239"/>
      <c r="SN14" s="239"/>
      <c r="SO14" s="239"/>
      <c r="SP14" s="239"/>
      <c r="SQ14" s="239"/>
      <c r="SR14" s="239"/>
      <c r="SS14" s="239"/>
      <c r="ST14" s="239"/>
      <c r="SU14" s="239"/>
      <c r="SV14" s="239"/>
      <c r="SW14" s="239"/>
      <c r="SX14" s="239"/>
      <c r="SY14" s="239"/>
      <c r="SZ14" s="239"/>
      <c r="TA14" s="239"/>
      <c r="TB14" s="239"/>
      <c r="TC14" s="239"/>
      <c r="TD14" s="239"/>
      <c r="TE14" s="239"/>
      <c r="TF14" s="239"/>
      <c r="TG14" s="239"/>
      <c r="TH14" s="239"/>
      <c r="TI14" s="239"/>
      <c r="TJ14" s="239"/>
      <c r="TK14" s="239"/>
      <c r="TL14" s="239"/>
      <c r="TM14" s="239"/>
      <c r="TN14" s="239"/>
      <c r="TO14" s="239"/>
      <c r="TP14" s="239"/>
      <c r="TQ14" s="239"/>
      <c r="TR14" s="239"/>
      <c r="TS14" s="239"/>
      <c r="TT14" s="239"/>
      <c r="TU14" s="239"/>
      <c r="TV14" s="239"/>
      <c r="TW14" s="239"/>
      <c r="TX14" s="239"/>
      <c r="TY14" s="239"/>
      <c r="TZ14" s="239"/>
      <c r="UA14" s="239"/>
      <c r="UB14" s="239"/>
      <c r="UC14" s="239"/>
      <c r="UD14" s="239"/>
      <c r="UE14" s="239"/>
      <c r="UF14" s="239"/>
      <c r="UG14" s="239"/>
      <c r="UH14" s="239"/>
      <c r="UI14" s="239"/>
      <c r="UJ14" s="239"/>
      <c r="UK14" s="239"/>
      <c r="UL14" s="239"/>
      <c r="UM14" s="239"/>
      <c r="UN14" s="239"/>
      <c r="UO14" s="239"/>
      <c r="UP14" s="239"/>
      <c r="UQ14" s="239"/>
      <c r="UR14" s="239"/>
      <c r="US14" s="239"/>
      <c r="UT14" s="239"/>
      <c r="UU14" s="239"/>
      <c r="UV14" s="239"/>
      <c r="UW14" s="239"/>
      <c r="UX14" s="239"/>
      <c r="UY14" s="239"/>
      <c r="UZ14" s="239"/>
      <c r="VA14" s="239"/>
      <c r="VB14" s="239"/>
      <c r="VC14" s="239"/>
      <c r="VD14" s="239"/>
      <c r="VE14" s="239"/>
      <c r="VF14" s="239"/>
      <c r="VG14" s="239"/>
      <c r="VH14" s="239"/>
      <c r="VI14" s="239"/>
      <c r="VJ14" s="239"/>
      <c r="VK14" s="239"/>
      <c r="VL14" s="239"/>
      <c r="VM14" s="239"/>
      <c r="VN14" s="239"/>
      <c r="VO14" s="239"/>
      <c r="VP14" s="239"/>
      <c r="VQ14" s="239"/>
      <c r="VR14" s="239"/>
      <c r="VS14" s="239"/>
      <c r="VT14" s="239"/>
      <c r="VU14" s="239"/>
      <c r="VV14" s="239"/>
      <c r="VW14" s="239"/>
      <c r="VX14" s="239"/>
      <c r="VY14" s="239"/>
      <c r="VZ14" s="239"/>
      <c r="WA14" s="239"/>
      <c r="WB14" s="239"/>
      <c r="WC14" s="239"/>
      <c r="WD14" s="239"/>
      <c r="WE14" s="239"/>
      <c r="WF14" s="239"/>
      <c r="WG14" s="239"/>
      <c r="WH14" s="239"/>
      <c r="WI14" s="239"/>
      <c r="WJ14" s="239"/>
      <c r="WK14" s="239"/>
      <c r="WL14" s="239"/>
      <c r="WM14" s="239"/>
      <c r="WN14" s="239"/>
      <c r="WO14" s="239"/>
      <c r="WP14" s="239"/>
      <c r="WQ14" s="239"/>
      <c r="WR14" s="239"/>
      <c r="WS14" s="239"/>
      <c r="WT14" s="239"/>
      <c r="WU14" s="239"/>
      <c r="WV14" s="239"/>
      <c r="WW14" s="239"/>
      <c r="WX14" s="239"/>
      <c r="WY14" s="239"/>
      <c r="WZ14" s="239"/>
      <c r="XA14" s="239"/>
      <c r="XB14" s="239"/>
      <c r="XC14" s="239"/>
      <c r="XD14" s="239"/>
      <c r="XE14" s="239"/>
      <c r="XF14" s="239"/>
      <c r="XG14" s="239"/>
      <c r="XH14" s="239"/>
      <c r="XI14" s="239"/>
      <c r="XJ14" s="239"/>
      <c r="XK14" s="239"/>
      <c r="XL14" s="239"/>
      <c r="XM14" s="239"/>
      <c r="XN14" s="239"/>
      <c r="XO14" s="239"/>
      <c r="XP14" s="239"/>
      <c r="XQ14" s="239"/>
      <c r="XR14" s="239"/>
      <c r="XS14" s="239"/>
      <c r="XT14" s="239"/>
      <c r="XU14" s="239"/>
      <c r="XV14" s="239"/>
      <c r="XW14" s="239"/>
      <c r="XX14" s="239"/>
      <c r="XY14" s="239"/>
      <c r="XZ14" s="239"/>
      <c r="YA14" s="239"/>
      <c r="YB14" s="239"/>
      <c r="YC14" s="239"/>
      <c r="YD14" s="239"/>
      <c r="YE14" s="239"/>
      <c r="YF14" s="239"/>
      <c r="YG14" s="239"/>
      <c r="YH14" s="239"/>
      <c r="YI14" s="239"/>
      <c r="YJ14" s="239"/>
      <c r="YK14" s="239"/>
      <c r="YL14" s="239"/>
      <c r="YM14" s="239"/>
      <c r="YN14" s="239"/>
      <c r="YO14" s="239"/>
      <c r="YP14" s="239"/>
      <c r="YQ14" s="239"/>
      <c r="YR14" s="239"/>
      <c r="YS14" s="239"/>
      <c r="YT14" s="239"/>
      <c r="YU14" s="239"/>
      <c r="YV14" s="239"/>
      <c r="YW14" s="239"/>
      <c r="YX14" s="239"/>
      <c r="YY14" s="239"/>
      <c r="YZ14" s="239"/>
      <c r="ZA14" s="239"/>
      <c r="ZB14" s="239"/>
      <c r="ZC14" s="239"/>
      <c r="ZD14" s="239"/>
      <c r="ZE14" s="239"/>
      <c r="ZF14" s="239"/>
      <c r="ZG14" s="239"/>
      <c r="ZH14" s="239"/>
      <c r="ZI14" s="239"/>
      <c r="ZJ14" s="239"/>
      <c r="ZK14" s="239"/>
      <c r="ZL14" s="239"/>
      <c r="ZM14" s="239"/>
      <c r="ZN14" s="239"/>
      <c r="ZO14" s="239"/>
      <c r="ZP14" s="239"/>
      <c r="ZQ14" s="239"/>
      <c r="ZR14" s="239"/>
      <c r="ZS14" s="239"/>
      <c r="ZT14" s="239"/>
      <c r="ZU14" s="239"/>
      <c r="ZV14" s="239"/>
      <c r="ZW14" s="239"/>
      <c r="ZX14" s="239"/>
      <c r="ZY14" s="239"/>
      <c r="ZZ14" s="239"/>
      <c r="AAA14" s="239"/>
      <c r="AAB14" s="239"/>
      <c r="AAC14" s="239"/>
      <c r="AAD14" s="239"/>
      <c r="AAE14" s="239"/>
      <c r="AAF14" s="239"/>
      <c r="AAG14" s="239"/>
      <c r="AAH14" s="239"/>
      <c r="AAI14" s="239"/>
      <c r="AAJ14" s="239"/>
      <c r="AAK14" s="239"/>
      <c r="AAL14" s="239"/>
      <c r="AAM14" s="239"/>
      <c r="AAN14" s="239"/>
      <c r="AAO14" s="239"/>
      <c r="AAP14" s="239"/>
      <c r="AAQ14" s="239"/>
      <c r="AAR14" s="239"/>
      <c r="AAS14" s="239"/>
      <c r="AAT14" s="239"/>
      <c r="AAU14" s="239"/>
      <c r="AAV14" s="239"/>
      <c r="AAW14" s="239"/>
      <c r="AAX14" s="239"/>
      <c r="AAY14" s="239"/>
      <c r="AAZ14" s="239"/>
      <c r="ABA14" s="239"/>
      <c r="ABB14" s="239"/>
      <c r="ABC14" s="239"/>
      <c r="ABD14" s="239"/>
      <c r="ABE14" s="239"/>
      <c r="ABF14" s="239"/>
      <c r="ABG14" s="239"/>
      <c r="ABH14" s="239"/>
      <c r="ABI14" s="239"/>
      <c r="ABJ14" s="239"/>
      <c r="ABK14" s="239"/>
      <c r="ABL14" s="239"/>
      <c r="ABM14" s="239"/>
      <c r="ABN14" s="239"/>
      <c r="ABO14" s="239"/>
      <c r="ABP14" s="239"/>
      <c r="ABQ14" s="239"/>
      <c r="ABR14" s="239"/>
      <c r="ABS14" s="239"/>
      <c r="ABT14" s="239"/>
      <c r="ABU14" s="239"/>
      <c r="ABV14" s="239"/>
      <c r="ABW14" s="239"/>
      <c r="ABX14" s="239"/>
      <c r="ABY14" s="239"/>
      <c r="ABZ14" s="239"/>
      <c r="ACA14" s="239"/>
      <c r="ACB14" s="239"/>
      <c r="ACC14" s="239"/>
      <c r="ACD14" s="239"/>
      <c r="ACE14" s="239"/>
      <c r="ACF14" s="239"/>
      <c r="ACG14" s="239"/>
      <c r="ACH14" s="239"/>
      <c r="ACI14" s="239"/>
      <c r="ACJ14" s="239"/>
      <c r="ACK14" s="239"/>
      <c r="ACL14" s="239"/>
      <c r="ACM14" s="239"/>
      <c r="ACN14" s="239"/>
      <c r="ACO14" s="239"/>
      <c r="ACP14" s="239"/>
      <c r="ACQ14" s="239"/>
      <c r="ACR14" s="239"/>
      <c r="ACS14" s="239"/>
      <c r="ACT14" s="239"/>
      <c r="ACU14" s="239"/>
      <c r="ACV14" s="239"/>
      <c r="ACW14" s="239"/>
      <c r="ACX14" s="239"/>
      <c r="ACY14" s="239"/>
      <c r="ACZ14" s="239"/>
      <c r="ADA14" s="239"/>
      <c r="ADB14" s="239"/>
      <c r="ADC14" s="239"/>
      <c r="ADD14" s="239"/>
      <c r="ADE14" s="239"/>
      <c r="ADF14" s="239"/>
      <c r="ADG14" s="239"/>
      <c r="ADH14" s="239"/>
      <c r="ADI14" s="239"/>
      <c r="ADJ14" s="239"/>
      <c r="ADK14" s="239"/>
      <c r="ADL14" s="239"/>
      <c r="ADM14" s="239"/>
      <c r="ADN14" s="239"/>
      <c r="ADO14" s="239"/>
      <c r="ADP14" s="239"/>
      <c r="ADQ14" s="239"/>
      <c r="ADR14" s="239"/>
      <c r="ADS14" s="239"/>
      <c r="ADT14" s="239"/>
      <c r="ADU14" s="239"/>
      <c r="ADV14" s="239"/>
      <c r="ADW14" s="239"/>
      <c r="ADX14" s="239"/>
      <c r="ADY14" s="239"/>
      <c r="ADZ14" s="239"/>
      <c r="AEA14" s="239"/>
      <c r="AEB14" s="239"/>
      <c r="AEC14" s="239"/>
      <c r="AED14" s="239"/>
      <c r="AEE14" s="239"/>
      <c r="AEF14" s="239"/>
      <c r="AEG14" s="239"/>
      <c r="AEH14" s="239"/>
      <c r="AEI14" s="239"/>
      <c r="AEJ14" s="239"/>
      <c r="AEK14" s="239"/>
      <c r="AEL14" s="239"/>
      <c r="AEM14" s="239"/>
      <c r="AEN14" s="239"/>
      <c r="AEO14" s="239"/>
      <c r="AEP14" s="239"/>
      <c r="AEQ14" s="239"/>
      <c r="AER14" s="239"/>
      <c r="AES14" s="239"/>
      <c r="AET14" s="239"/>
      <c r="AEU14" s="239"/>
      <c r="AEV14" s="239"/>
      <c r="AEW14" s="239"/>
      <c r="AEX14" s="239"/>
      <c r="AEY14" s="239"/>
      <c r="AEZ14" s="239"/>
      <c r="AFA14" s="239"/>
      <c r="AFB14" s="239"/>
      <c r="AFC14" s="239"/>
      <c r="AFD14" s="239"/>
      <c r="AFE14" s="239"/>
      <c r="AFF14" s="239"/>
      <c r="AFG14" s="239"/>
      <c r="AFH14" s="239"/>
      <c r="AFI14" s="239"/>
      <c r="AFJ14" s="239"/>
      <c r="AFK14" s="239"/>
      <c r="AFL14" s="239"/>
      <c r="AFM14" s="239"/>
      <c r="AFN14" s="239"/>
      <c r="AFO14" s="239"/>
      <c r="AFP14" s="239"/>
      <c r="AFQ14" s="239"/>
      <c r="AFR14" s="239"/>
      <c r="AFS14" s="239"/>
      <c r="AFT14" s="239"/>
      <c r="AFU14" s="239"/>
      <c r="AFV14" s="239"/>
      <c r="AFW14" s="239"/>
      <c r="AFX14" s="239"/>
      <c r="AFY14" s="239"/>
      <c r="AFZ14" s="239"/>
      <c r="AGA14" s="239"/>
      <c r="AGB14" s="239"/>
      <c r="AGC14" s="239"/>
      <c r="AGD14" s="239"/>
      <c r="AGE14" s="239"/>
      <c r="AGF14" s="239"/>
      <c r="AGG14" s="239"/>
      <c r="AGH14" s="239"/>
      <c r="AGI14" s="239"/>
      <c r="AGJ14" s="239"/>
      <c r="AGK14" s="239"/>
      <c r="AGL14" s="239"/>
      <c r="AGM14" s="239"/>
      <c r="AGN14" s="239"/>
      <c r="AGO14" s="239"/>
      <c r="AGP14" s="239"/>
      <c r="AGQ14" s="239"/>
      <c r="AGR14" s="239"/>
      <c r="AGS14" s="239"/>
      <c r="AGT14" s="239"/>
      <c r="AGU14" s="239"/>
      <c r="AGV14" s="239"/>
      <c r="AGW14" s="239"/>
      <c r="AGX14" s="239"/>
      <c r="AGY14" s="239"/>
      <c r="AGZ14" s="239"/>
      <c r="AHA14" s="239"/>
      <c r="AHB14" s="239"/>
      <c r="AHC14" s="239"/>
      <c r="AHD14" s="239"/>
      <c r="AHE14" s="239"/>
      <c r="AHF14" s="239"/>
      <c r="AHG14" s="239"/>
      <c r="AHH14" s="239"/>
      <c r="AHI14" s="239"/>
      <c r="AHJ14" s="239"/>
      <c r="AHK14" s="239"/>
      <c r="AHL14" s="239"/>
      <c r="AHM14" s="239"/>
      <c r="AHN14" s="239"/>
      <c r="AHO14" s="239"/>
      <c r="AHP14" s="239"/>
      <c r="AHQ14" s="239"/>
      <c r="AHR14" s="239"/>
      <c r="AHS14" s="239"/>
      <c r="AHT14" s="239"/>
      <c r="AHU14" s="239"/>
      <c r="AHV14" s="239"/>
      <c r="AHW14" s="239"/>
      <c r="AHX14" s="239"/>
      <c r="AHY14" s="239"/>
      <c r="AHZ14" s="239"/>
      <c r="AIA14" s="239"/>
      <c r="AIB14" s="239"/>
      <c r="AIC14" s="239"/>
      <c r="AID14" s="239"/>
      <c r="AIE14" s="239"/>
      <c r="AIF14" s="239"/>
      <c r="AIG14" s="239"/>
      <c r="AIH14" s="239"/>
      <c r="AII14" s="239"/>
      <c r="AIJ14" s="239"/>
      <c r="AIK14" s="239"/>
      <c r="AIL14" s="239"/>
      <c r="AIM14" s="239"/>
      <c r="AIN14" s="239"/>
      <c r="AIO14" s="239"/>
      <c r="AIP14" s="239"/>
      <c r="AIQ14" s="239"/>
      <c r="AIR14" s="239"/>
      <c r="AIS14" s="239"/>
      <c r="AIT14" s="239"/>
      <c r="AIU14" s="239"/>
      <c r="AIV14" s="239"/>
      <c r="AIW14" s="239"/>
      <c r="AIX14" s="239"/>
      <c r="AIY14" s="239"/>
      <c r="AIZ14" s="239"/>
      <c r="AJA14" s="239"/>
      <c r="AJB14" s="239"/>
      <c r="AJC14" s="239"/>
      <c r="AJD14" s="239"/>
      <c r="AJE14" s="239"/>
      <c r="AJF14" s="239"/>
      <c r="AJG14" s="239"/>
      <c r="AJH14" s="239"/>
      <c r="AJI14" s="239"/>
      <c r="AJJ14" s="239"/>
      <c r="AJK14" s="239"/>
      <c r="AJL14" s="239"/>
      <c r="AJM14" s="239"/>
      <c r="AJN14" s="239"/>
      <c r="AJO14" s="239"/>
      <c r="AJP14" s="239"/>
      <c r="AJQ14" s="239"/>
      <c r="AJR14" s="239"/>
      <c r="AJS14" s="239"/>
      <c r="AJT14" s="239"/>
      <c r="AJU14" s="239"/>
      <c r="AJV14" s="239"/>
      <c r="AJW14" s="239"/>
      <c r="AJX14" s="239"/>
      <c r="AJY14" s="239"/>
      <c r="AJZ14" s="239"/>
      <c r="AKA14" s="239"/>
      <c r="AKB14" s="239"/>
      <c r="AKC14" s="239"/>
      <c r="AKD14" s="239"/>
      <c r="AKE14" s="239"/>
      <c r="AKF14" s="239"/>
      <c r="AKG14" s="239"/>
      <c r="AKH14" s="239"/>
      <c r="AKI14" s="239"/>
      <c r="AKJ14" s="239"/>
      <c r="AKK14" s="239"/>
      <c r="AKL14" s="239"/>
      <c r="AKM14" s="239"/>
      <c r="AKN14" s="239"/>
      <c r="AKO14" s="239"/>
      <c r="AKP14" s="239"/>
      <c r="AKQ14" s="239"/>
      <c r="AKR14" s="239"/>
      <c r="AKS14" s="239"/>
      <c r="AKT14" s="239"/>
      <c r="AKU14" s="239"/>
      <c r="AKV14" s="239"/>
      <c r="AKW14" s="239"/>
      <c r="AKX14" s="239"/>
      <c r="AKY14" s="239"/>
      <c r="AKZ14" s="239"/>
      <c r="ALA14" s="239"/>
      <c r="ALB14" s="239"/>
      <c r="ALC14" s="239"/>
      <c r="ALD14" s="239"/>
      <c r="ALE14" s="239"/>
      <c r="ALF14" s="239"/>
      <c r="ALG14" s="239"/>
      <c r="ALH14" s="239"/>
      <c r="ALI14" s="239"/>
      <c r="ALJ14" s="239"/>
      <c r="ALK14" s="239"/>
      <c r="ALL14" s="239"/>
      <c r="ALM14" s="239"/>
      <c r="ALN14" s="239"/>
      <c r="ALO14" s="239"/>
      <c r="ALP14" s="239"/>
      <c r="ALQ14" s="239"/>
      <c r="ALR14" s="239"/>
      <c r="ALS14" s="239"/>
      <c r="ALT14" s="239"/>
      <c r="ALU14" s="239"/>
      <c r="ALV14" s="239"/>
      <c r="ALW14" s="239"/>
      <c r="ALX14" s="239"/>
      <c r="ALY14" s="239"/>
      <c r="ALZ14" s="239"/>
      <c r="AMA14" s="239"/>
      <c r="AMB14" s="239"/>
      <c r="AMC14" s="239"/>
      <c r="AMD14" s="239"/>
      <c r="AME14" s="239"/>
      <c r="AMF14" s="239"/>
      <c r="AMG14" s="239"/>
      <c r="AMH14" s="239"/>
      <c r="AMI14" s="239"/>
      <c r="AMJ14" s="239"/>
      <c r="AMK14" s="239"/>
      <c r="AML14" s="239"/>
      <c r="AMM14" s="239"/>
      <c r="AMN14" s="239"/>
      <c r="AMO14" s="239"/>
      <c r="AMP14" s="239"/>
      <c r="AMQ14" s="239"/>
      <c r="AMR14" s="239"/>
      <c r="AMS14" s="239"/>
      <c r="AMT14" s="239"/>
      <c r="AMU14" s="239"/>
      <c r="AMV14" s="239"/>
      <c r="AMW14" s="239"/>
      <c r="AMX14" s="239"/>
      <c r="AMY14" s="239"/>
      <c r="AMZ14" s="239"/>
      <c r="ANA14" s="239"/>
      <c r="ANB14" s="239"/>
      <c r="ANC14" s="239"/>
      <c r="AND14" s="239"/>
      <c r="ANE14" s="239"/>
      <c r="ANF14" s="239"/>
      <c r="ANG14" s="239"/>
      <c r="ANH14" s="239"/>
      <c r="ANI14" s="239"/>
      <c r="ANJ14" s="239"/>
      <c r="ANK14" s="239"/>
      <c r="ANL14" s="239"/>
      <c r="ANM14" s="239"/>
      <c r="ANN14" s="239"/>
      <c r="ANO14" s="239"/>
      <c r="ANP14" s="239"/>
      <c r="ANQ14" s="239"/>
      <c r="ANR14" s="239"/>
      <c r="ANS14" s="239"/>
      <c r="ANT14" s="239"/>
      <c r="ANU14" s="239"/>
      <c r="ANV14" s="239"/>
      <c r="ANW14" s="239"/>
      <c r="ANX14" s="239"/>
      <c r="ANY14" s="239"/>
      <c r="ANZ14" s="239"/>
      <c r="AOA14" s="239"/>
      <c r="AOB14" s="239"/>
      <c r="AOC14" s="239"/>
      <c r="AOD14" s="239"/>
      <c r="AOE14" s="239"/>
      <c r="AOF14" s="239"/>
      <c r="AOG14" s="239"/>
      <c r="AOH14" s="239"/>
      <c r="AOI14" s="239"/>
      <c r="AOJ14" s="239"/>
      <c r="AOK14" s="239"/>
      <c r="AOL14" s="239"/>
      <c r="AOM14" s="239"/>
      <c r="AON14" s="239"/>
      <c r="AOO14" s="239"/>
      <c r="AOP14" s="239"/>
      <c r="AOQ14" s="239"/>
      <c r="AOR14" s="239"/>
      <c r="AOS14" s="239"/>
      <c r="AOT14" s="239"/>
      <c r="AOU14" s="239"/>
      <c r="AOV14" s="239"/>
      <c r="AOW14" s="239"/>
      <c r="AOX14" s="239"/>
      <c r="AOY14" s="239"/>
      <c r="AOZ14" s="239"/>
      <c r="APA14" s="239"/>
      <c r="APB14" s="239"/>
      <c r="APC14" s="239"/>
      <c r="APD14" s="239"/>
      <c r="APE14" s="239"/>
      <c r="APF14" s="239"/>
      <c r="APG14" s="239"/>
      <c r="APH14" s="239"/>
      <c r="API14" s="239"/>
      <c r="APJ14" s="239"/>
      <c r="APK14" s="239"/>
      <c r="APL14" s="239"/>
      <c r="APM14" s="239"/>
      <c r="APN14" s="239"/>
      <c r="APO14" s="239"/>
      <c r="APP14" s="239"/>
      <c r="APQ14" s="239"/>
      <c r="APR14" s="239"/>
      <c r="APS14" s="239"/>
      <c r="APT14" s="239"/>
      <c r="APU14" s="239"/>
      <c r="APV14" s="239"/>
      <c r="APW14" s="239"/>
      <c r="APX14" s="239"/>
      <c r="APY14" s="239"/>
      <c r="APZ14" s="239"/>
      <c r="AQA14" s="239"/>
      <c r="AQB14" s="239"/>
      <c r="AQC14" s="239"/>
      <c r="AQD14" s="239"/>
      <c r="AQE14" s="239"/>
      <c r="AQF14" s="239"/>
      <c r="AQG14" s="239"/>
      <c r="AQH14" s="239"/>
      <c r="AQI14" s="239"/>
      <c r="AQJ14" s="239"/>
      <c r="AQK14" s="239"/>
      <c r="AQL14" s="239"/>
      <c r="AQM14" s="239"/>
      <c r="AQN14" s="239"/>
      <c r="AQO14" s="239"/>
      <c r="AQP14" s="239"/>
      <c r="AQQ14" s="239"/>
      <c r="AQR14" s="239"/>
      <c r="AQS14" s="239"/>
      <c r="AQT14" s="239"/>
      <c r="AQU14" s="239"/>
      <c r="AQV14" s="239"/>
      <c r="AQW14" s="239"/>
      <c r="AQX14" s="239"/>
      <c r="AQY14" s="239"/>
      <c r="AQZ14" s="239"/>
      <c r="ARA14" s="239"/>
      <c r="ARB14" s="239"/>
      <c r="ARC14" s="239"/>
      <c r="ARD14" s="239"/>
      <c r="ARE14" s="239"/>
      <c r="ARF14" s="239"/>
      <c r="ARG14" s="239"/>
      <c r="ARH14" s="239"/>
      <c r="ARI14" s="239"/>
      <c r="ARJ14" s="239"/>
      <c r="ARK14" s="239"/>
      <c r="ARL14" s="239"/>
      <c r="ARM14" s="239"/>
      <c r="ARN14" s="239"/>
      <c r="ARO14" s="239"/>
      <c r="ARP14" s="239"/>
      <c r="ARQ14" s="239"/>
      <c r="ARR14" s="239"/>
      <c r="ARS14" s="239"/>
      <c r="ART14" s="239"/>
      <c r="ARU14" s="239"/>
      <c r="ARV14" s="239"/>
      <c r="ARW14" s="239"/>
      <c r="ARX14" s="239"/>
      <c r="ARY14" s="239"/>
      <c r="ARZ14" s="239"/>
      <c r="ASA14" s="239"/>
      <c r="ASB14" s="239"/>
      <c r="ASC14" s="239"/>
      <c r="ASD14" s="239"/>
      <c r="ASE14" s="239"/>
      <c r="ASF14" s="239"/>
      <c r="ASG14" s="239"/>
      <c r="ASH14" s="239"/>
      <c r="ASI14" s="239"/>
      <c r="ASJ14" s="239"/>
      <c r="ASK14" s="239"/>
      <c r="ASL14" s="239"/>
      <c r="ASM14" s="239"/>
      <c r="ASN14" s="239"/>
      <c r="ASO14" s="239"/>
      <c r="ASP14" s="239"/>
      <c r="ASQ14" s="239"/>
      <c r="ASR14" s="239"/>
      <c r="ASS14" s="239"/>
      <c r="AST14" s="239"/>
      <c r="ASU14" s="239"/>
      <c r="ASV14" s="239"/>
      <c r="ASW14" s="239"/>
      <c r="ASX14" s="239"/>
      <c r="ASY14" s="239"/>
      <c r="ASZ14" s="239"/>
      <c r="ATA14" s="239"/>
      <c r="ATB14" s="239"/>
      <c r="ATC14" s="239"/>
      <c r="ATD14" s="239"/>
      <c r="ATE14" s="239"/>
      <c r="ATF14" s="239"/>
      <c r="ATG14" s="239"/>
      <c r="ATH14" s="239"/>
      <c r="ATI14" s="239"/>
      <c r="ATJ14" s="239"/>
      <c r="ATK14" s="239"/>
      <c r="ATL14" s="239"/>
      <c r="ATM14" s="239"/>
      <c r="ATN14" s="239"/>
      <c r="ATO14" s="239"/>
      <c r="ATP14" s="239"/>
      <c r="ATQ14" s="239"/>
      <c r="ATR14" s="239"/>
      <c r="ATS14" s="239"/>
      <c r="ATT14" s="239"/>
      <c r="ATU14" s="239"/>
      <c r="ATV14" s="239"/>
      <c r="ATW14" s="239"/>
      <c r="ATX14" s="239"/>
      <c r="ATY14" s="239"/>
      <c r="ATZ14" s="239"/>
      <c r="AUA14" s="239"/>
      <c r="AUB14" s="239"/>
      <c r="AUC14" s="239"/>
      <c r="AUD14" s="239"/>
      <c r="AUE14" s="239"/>
      <c r="AUF14" s="239"/>
      <c r="AUG14" s="239"/>
      <c r="AUH14" s="239"/>
      <c r="AUI14" s="239"/>
      <c r="AUJ14" s="239"/>
      <c r="AUK14" s="239"/>
      <c r="AUL14" s="239"/>
      <c r="AUM14" s="239"/>
      <c r="AUN14" s="239"/>
      <c r="AUO14" s="239"/>
      <c r="AUP14" s="239"/>
      <c r="AUQ14" s="239"/>
      <c r="AUR14" s="239"/>
      <c r="AUS14" s="239"/>
      <c r="AUT14" s="239"/>
      <c r="AUU14" s="239"/>
      <c r="AUV14" s="239"/>
      <c r="AUW14" s="239"/>
      <c r="AUX14" s="239"/>
      <c r="AUY14" s="239"/>
      <c r="AUZ14" s="239"/>
      <c r="AVA14" s="239"/>
      <c r="AVB14" s="239"/>
      <c r="AVC14" s="239"/>
      <c r="AVD14" s="239"/>
      <c r="AVE14" s="239"/>
      <c r="AVF14" s="239"/>
      <c r="AVG14" s="239"/>
      <c r="AVH14" s="239"/>
      <c r="AVI14" s="239"/>
      <c r="AVJ14" s="239"/>
      <c r="AVK14" s="239"/>
      <c r="AVL14" s="239"/>
      <c r="AVM14" s="239"/>
      <c r="AVN14" s="239"/>
      <c r="AVO14" s="239"/>
      <c r="AVP14" s="239"/>
      <c r="AVQ14" s="239"/>
      <c r="AVR14" s="239"/>
      <c r="AVS14" s="239"/>
      <c r="AVT14" s="239"/>
      <c r="AVU14" s="239"/>
      <c r="AVV14" s="239"/>
      <c r="AVW14" s="239"/>
      <c r="AVX14" s="239"/>
      <c r="AVY14" s="239"/>
      <c r="AVZ14" s="239"/>
      <c r="AWA14" s="239"/>
      <c r="AWB14" s="239"/>
      <c r="AWC14" s="239"/>
      <c r="AWD14" s="239"/>
      <c r="AWE14" s="239"/>
      <c r="AWF14" s="239"/>
      <c r="AWG14" s="239"/>
      <c r="AWH14" s="239"/>
      <c r="AWI14" s="239"/>
      <c r="AWJ14" s="239"/>
      <c r="AWK14" s="239"/>
      <c r="AWL14" s="239"/>
      <c r="AWM14" s="239"/>
      <c r="AWN14" s="239"/>
      <c r="AWO14" s="239"/>
      <c r="AWP14" s="239"/>
      <c r="AWQ14" s="239"/>
      <c r="AWR14" s="239"/>
      <c r="AWS14" s="239"/>
      <c r="AWT14" s="239"/>
      <c r="AWU14" s="239"/>
      <c r="AWV14" s="239"/>
      <c r="AWW14" s="239"/>
      <c r="AWX14" s="239"/>
      <c r="AWY14" s="239"/>
      <c r="AWZ14" s="239"/>
      <c r="AXA14" s="239"/>
      <c r="AXB14" s="239"/>
      <c r="AXC14" s="239"/>
      <c r="AXD14" s="239"/>
      <c r="AXE14" s="239"/>
      <c r="AXF14" s="239"/>
      <c r="AXG14" s="239"/>
      <c r="AXH14" s="239"/>
      <c r="AXI14" s="239"/>
      <c r="AXJ14" s="239"/>
      <c r="AXK14" s="239"/>
      <c r="AXL14" s="239"/>
      <c r="AXM14" s="239"/>
      <c r="AXN14" s="239"/>
      <c r="AXO14" s="239"/>
      <c r="AXP14" s="239"/>
      <c r="AXQ14" s="239"/>
      <c r="AXR14" s="239"/>
      <c r="AXS14" s="239"/>
      <c r="AXT14" s="239"/>
      <c r="AXU14" s="239"/>
      <c r="AXV14" s="239"/>
      <c r="AXW14" s="239"/>
      <c r="AXX14" s="239"/>
      <c r="AXY14" s="239"/>
      <c r="AXZ14" s="239"/>
      <c r="AYA14" s="239"/>
      <c r="AYB14" s="239"/>
      <c r="AYC14" s="239"/>
      <c r="AYD14" s="239"/>
      <c r="AYE14" s="239"/>
      <c r="AYF14" s="239"/>
      <c r="AYG14" s="239"/>
      <c r="AYH14" s="239"/>
      <c r="AYI14" s="239"/>
      <c r="AYJ14" s="239"/>
      <c r="AYK14" s="239"/>
      <c r="AYL14" s="239"/>
      <c r="AYM14" s="239"/>
      <c r="AYN14" s="239"/>
      <c r="AYO14" s="239"/>
      <c r="AYP14" s="239"/>
      <c r="AYQ14" s="239"/>
      <c r="AYR14" s="239"/>
      <c r="AYS14" s="239"/>
      <c r="AYT14" s="239"/>
      <c r="AYU14" s="239"/>
      <c r="AYV14" s="239"/>
      <c r="AYW14" s="239"/>
      <c r="AYX14" s="239"/>
      <c r="AYY14" s="239"/>
      <c r="AYZ14" s="239"/>
      <c r="AZA14" s="239"/>
      <c r="AZB14" s="239"/>
      <c r="AZC14" s="239"/>
      <c r="AZD14" s="239"/>
      <c r="AZE14" s="239"/>
      <c r="AZF14" s="239"/>
      <c r="AZG14" s="239"/>
      <c r="AZH14" s="239"/>
      <c r="AZI14" s="239"/>
      <c r="AZJ14" s="239"/>
      <c r="AZK14" s="239"/>
      <c r="AZL14" s="239"/>
      <c r="AZM14" s="239"/>
      <c r="AZN14" s="239"/>
      <c r="AZO14" s="239"/>
      <c r="AZP14" s="239"/>
      <c r="AZQ14" s="239"/>
      <c r="AZR14" s="239"/>
      <c r="AZS14" s="239"/>
      <c r="AZT14" s="239"/>
      <c r="AZU14" s="239"/>
      <c r="AZV14" s="239"/>
      <c r="AZW14" s="239"/>
      <c r="AZX14" s="239"/>
      <c r="AZY14" s="239"/>
      <c r="AZZ14" s="239"/>
      <c r="BAA14" s="239"/>
      <c r="BAB14" s="239"/>
      <c r="BAC14" s="239"/>
      <c r="BAD14" s="239"/>
      <c r="BAE14" s="239"/>
      <c r="BAF14" s="239"/>
      <c r="BAG14" s="239"/>
      <c r="BAH14" s="239"/>
      <c r="BAI14" s="239"/>
      <c r="BAJ14" s="239"/>
      <c r="BAK14" s="239"/>
      <c r="BAL14" s="239"/>
      <c r="BAM14" s="239"/>
      <c r="BAN14" s="239"/>
      <c r="BAO14" s="239"/>
      <c r="BAP14" s="239"/>
      <c r="BAQ14" s="239"/>
      <c r="BAR14" s="239"/>
      <c r="BAS14" s="239"/>
      <c r="BAT14" s="239"/>
      <c r="BAU14" s="239"/>
      <c r="BAV14" s="239"/>
      <c r="BAW14" s="239"/>
      <c r="BAX14" s="239"/>
      <c r="BAY14" s="239"/>
      <c r="BAZ14" s="239"/>
      <c r="BBA14" s="239"/>
      <c r="BBB14" s="239"/>
      <c r="BBC14" s="239"/>
      <c r="BBD14" s="239"/>
      <c r="BBE14" s="239"/>
      <c r="BBF14" s="239"/>
      <c r="BBG14" s="239"/>
      <c r="BBH14" s="239"/>
      <c r="BBI14" s="239"/>
      <c r="BBJ14" s="239"/>
      <c r="BBK14" s="239"/>
      <c r="BBL14" s="239"/>
      <c r="BBM14" s="239"/>
      <c r="BBN14" s="239"/>
      <c r="BBO14" s="239"/>
      <c r="BBP14" s="239"/>
      <c r="BBQ14" s="239"/>
      <c r="BBR14" s="239"/>
      <c r="BBS14" s="239"/>
      <c r="BBT14" s="239"/>
      <c r="BBU14" s="239"/>
      <c r="BBV14" s="239"/>
      <c r="BBW14" s="239"/>
      <c r="BBX14" s="239"/>
      <c r="BBY14" s="239"/>
      <c r="BBZ14" s="239"/>
      <c r="BCA14" s="239"/>
      <c r="BCB14" s="239"/>
      <c r="BCC14" s="239"/>
      <c r="BCD14" s="239"/>
      <c r="BCE14" s="239"/>
      <c r="BCF14" s="239"/>
      <c r="BCG14" s="239"/>
      <c r="BCH14" s="239"/>
      <c r="BCI14" s="239"/>
      <c r="BCJ14" s="239"/>
      <c r="BCK14" s="239"/>
      <c r="BCL14" s="239"/>
      <c r="BCM14" s="239"/>
      <c r="BCN14" s="239"/>
      <c r="BCO14" s="239"/>
      <c r="BCP14" s="239"/>
      <c r="BCQ14" s="239"/>
      <c r="BCR14" s="239"/>
      <c r="BCS14" s="239"/>
      <c r="BCT14" s="239"/>
      <c r="BCU14" s="239"/>
      <c r="BCV14" s="239"/>
      <c r="BCW14" s="239"/>
      <c r="BCX14" s="239"/>
      <c r="BCY14" s="239"/>
      <c r="BCZ14" s="239"/>
      <c r="BDA14" s="239"/>
      <c r="BDB14" s="239"/>
      <c r="BDC14" s="239"/>
      <c r="BDD14" s="239"/>
      <c r="BDE14" s="239"/>
      <c r="BDF14" s="239"/>
      <c r="BDG14" s="239"/>
      <c r="BDH14" s="239"/>
      <c r="BDI14" s="239"/>
      <c r="BDJ14" s="239"/>
      <c r="BDK14" s="239"/>
      <c r="BDL14" s="239"/>
      <c r="BDM14" s="239"/>
      <c r="BDN14" s="239"/>
      <c r="BDO14" s="239"/>
      <c r="BDP14" s="239"/>
      <c r="BDQ14" s="239"/>
      <c r="BDR14" s="239"/>
      <c r="BDS14" s="239"/>
      <c r="BDT14" s="239"/>
      <c r="BDU14" s="239"/>
      <c r="BDV14" s="239"/>
      <c r="BDW14" s="239"/>
      <c r="BDX14" s="239"/>
      <c r="BDY14" s="239"/>
      <c r="BDZ14" s="239"/>
      <c r="BEA14" s="239"/>
      <c r="BEB14" s="239"/>
      <c r="BEC14" s="239"/>
      <c r="BED14" s="239"/>
      <c r="BEE14" s="239"/>
      <c r="BEF14" s="239"/>
      <c r="BEG14" s="239"/>
      <c r="BEH14" s="239"/>
      <c r="BEI14" s="239"/>
      <c r="BEJ14" s="239"/>
      <c r="BEK14" s="239"/>
      <c r="BEL14" s="239"/>
      <c r="BEM14" s="239"/>
      <c r="BEN14" s="239"/>
      <c r="BEO14" s="239"/>
      <c r="BEP14" s="239"/>
      <c r="BEQ14" s="239"/>
      <c r="BER14" s="239"/>
      <c r="BES14" s="239"/>
      <c r="BET14" s="239"/>
      <c r="BEU14" s="239"/>
      <c r="BEV14" s="239"/>
      <c r="BEW14" s="239"/>
      <c r="BEX14" s="239"/>
      <c r="BEY14" s="239"/>
      <c r="BEZ14" s="239"/>
      <c r="BFA14" s="239"/>
      <c r="BFB14" s="239"/>
      <c r="BFC14" s="239"/>
      <c r="BFD14" s="239"/>
      <c r="BFE14" s="239"/>
      <c r="BFF14" s="239"/>
      <c r="BFG14" s="239"/>
      <c r="BFH14" s="239"/>
      <c r="BFI14" s="239"/>
      <c r="BFJ14" s="239"/>
      <c r="BFK14" s="239"/>
      <c r="BFL14" s="239"/>
      <c r="BFM14" s="239"/>
      <c r="BFN14" s="239"/>
      <c r="BFO14" s="239"/>
      <c r="BFP14" s="239"/>
      <c r="BFQ14" s="239"/>
      <c r="BFR14" s="239"/>
      <c r="BFS14" s="239"/>
      <c r="BFT14" s="239"/>
      <c r="BFU14" s="239"/>
      <c r="BFV14" s="239"/>
      <c r="BFW14" s="239"/>
      <c r="BFX14" s="239"/>
      <c r="BFY14" s="239"/>
      <c r="BFZ14" s="239"/>
      <c r="BGA14" s="239"/>
      <c r="BGB14" s="239"/>
      <c r="BGC14" s="239"/>
      <c r="BGD14" s="239"/>
      <c r="BGE14" s="239"/>
      <c r="BGF14" s="239"/>
      <c r="BGG14" s="239"/>
      <c r="BGH14" s="239"/>
      <c r="BGI14" s="239"/>
      <c r="BGJ14" s="239"/>
      <c r="BGK14" s="239"/>
      <c r="BGL14" s="239"/>
      <c r="BGM14" s="239"/>
      <c r="BGN14" s="239"/>
      <c r="BGO14" s="239"/>
      <c r="BGP14" s="239"/>
      <c r="BGQ14" s="239"/>
      <c r="BGR14" s="239"/>
      <c r="BGS14" s="239"/>
      <c r="BGT14" s="239"/>
      <c r="BGU14" s="239"/>
      <c r="BGV14" s="239"/>
      <c r="BGW14" s="239"/>
      <c r="BGX14" s="239"/>
      <c r="BGY14" s="239"/>
      <c r="BGZ14" s="239"/>
      <c r="BHA14" s="239"/>
      <c r="BHB14" s="239"/>
      <c r="BHC14" s="239"/>
      <c r="BHD14" s="239"/>
      <c r="BHE14" s="239"/>
      <c r="BHF14" s="239"/>
      <c r="BHG14" s="239"/>
      <c r="BHH14" s="239"/>
      <c r="BHI14" s="239"/>
      <c r="BHJ14" s="239"/>
      <c r="BHK14" s="239"/>
      <c r="BHL14" s="239"/>
      <c r="BHM14" s="239"/>
      <c r="BHN14" s="239"/>
      <c r="BHO14" s="239"/>
      <c r="BHP14" s="239"/>
      <c r="BHQ14" s="239"/>
      <c r="BHR14" s="239"/>
      <c r="BHS14" s="239"/>
      <c r="BHT14" s="239"/>
      <c r="BHU14" s="239"/>
      <c r="BHV14" s="239"/>
      <c r="BHW14" s="239"/>
      <c r="BHX14" s="239"/>
      <c r="BHY14" s="239"/>
      <c r="BHZ14" s="239"/>
      <c r="BIA14" s="239"/>
      <c r="BIB14" s="239"/>
      <c r="BIC14" s="239"/>
      <c r="BID14" s="239"/>
      <c r="BIE14" s="239"/>
      <c r="BIF14" s="239"/>
      <c r="BIG14" s="239"/>
      <c r="BIH14" s="239"/>
      <c r="BII14" s="239"/>
      <c r="BIJ14" s="239"/>
      <c r="BIK14" s="239"/>
      <c r="BIL14" s="239"/>
      <c r="BIM14" s="239"/>
      <c r="BIN14" s="239"/>
      <c r="BIO14" s="239"/>
      <c r="BIP14" s="239"/>
      <c r="BIQ14" s="239"/>
      <c r="BIR14" s="239"/>
      <c r="BIS14" s="239"/>
      <c r="BIT14" s="239"/>
      <c r="BIU14" s="239"/>
      <c r="BIV14" s="239"/>
      <c r="BIW14" s="239"/>
      <c r="BIX14" s="239"/>
      <c r="BIY14" s="239"/>
      <c r="BIZ14" s="239"/>
      <c r="BJA14" s="239"/>
      <c r="BJB14" s="239"/>
      <c r="BJC14" s="239"/>
      <c r="BJD14" s="239"/>
      <c r="BJE14" s="239"/>
      <c r="BJF14" s="239"/>
      <c r="BJG14" s="239"/>
      <c r="BJH14" s="239"/>
      <c r="BJI14" s="239"/>
      <c r="BJJ14" s="239"/>
      <c r="BJK14" s="239"/>
      <c r="BJL14" s="239"/>
      <c r="BJM14" s="239"/>
      <c r="BJN14" s="239"/>
      <c r="BJO14" s="239"/>
      <c r="BJP14" s="239"/>
      <c r="BJQ14" s="239"/>
      <c r="BJR14" s="239"/>
      <c r="BJS14" s="239"/>
      <c r="BJT14" s="239"/>
      <c r="BJU14" s="239"/>
      <c r="BJV14" s="239"/>
      <c r="BJW14" s="239"/>
      <c r="BJX14" s="239"/>
      <c r="BJY14" s="239"/>
      <c r="BJZ14" s="239"/>
      <c r="BKA14" s="239"/>
      <c r="BKB14" s="239"/>
      <c r="BKC14" s="239"/>
      <c r="BKD14" s="239"/>
      <c r="BKE14" s="239"/>
      <c r="BKF14" s="239"/>
      <c r="BKG14" s="239"/>
      <c r="BKH14" s="239"/>
      <c r="BKI14" s="239"/>
      <c r="BKJ14" s="239"/>
      <c r="BKK14" s="239"/>
      <c r="BKL14" s="239"/>
      <c r="BKM14" s="239"/>
      <c r="BKN14" s="239"/>
      <c r="BKO14" s="239"/>
      <c r="BKP14" s="239"/>
      <c r="BKQ14" s="239"/>
      <c r="BKR14" s="239"/>
      <c r="BKS14" s="239"/>
      <c r="BKT14" s="239"/>
      <c r="BKU14" s="239"/>
      <c r="BKV14" s="239"/>
      <c r="BKW14" s="239"/>
      <c r="BKX14" s="239"/>
      <c r="BKY14" s="239"/>
      <c r="BKZ14" s="239"/>
      <c r="BLA14" s="239"/>
      <c r="BLB14" s="239"/>
      <c r="BLC14" s="239"/>
      <c r="BLD14" s="239"/>
      <c r="BLE14" s="239"/>
      <c r="BLF14" s="239"/>
      <c r="BLG14" s="239"/>
      <c r="BLH14" s="239"/>
      <c r="BLI14" s="239"/>
      <c r="BLJ14" s="239"/>
      <c r="BLK14" s="239"/>
      <c r="BLL14" s="239"/>
      <c r="BLM14" s="239"/>
      <c r="BLN14" s="239"/>
      <c r="BLO14" s="239"/>
      <c r="BLP14" s="239"/>
      <c r="BLQ14" s="239"/>
      <c r="BLR14" s="239"/>
      <c r="BLS14" s="239"/>
      <c r="BLT14" s="239"/>
      <c r="BLU14" s="239"/>
      <c r="BLV14" s="239"/>
      <c r="BLW14" s="239"/>
      <c r="BLX14" s="239"/>
      <c r="BLY14" s="239"/>
      <c r="BLZ14" s="239"/>
      <c r="BMA14" s="239"/>
      <c r="BMB14" s="239"/>
      <c r="BMC14" s="239"/>
      <c r="BMD14" s="239"/>
      <c r="BME14" s="239"/>
      <c r="BMF14" s="239"/>
      <c r="BMG14" s="239"/>
      <c r="BMH14" s="239"/>
      <c r="BMI14" s="239"/>
      <c r="BMJ14" s="239"/>
      <c r="BMK14" s="239"/>
      <c r="BML14" s="239"/>
      <c r="BMM14" s="239"/>
      <c r="BMN14" s="239"/>
      <c r="BMO14" s="239"/>
      <c r="BMP14" s="239"/>
      <c r="BMQ14" s="239"/>
      <c r="BMR14" s="239"/>
      <c r="BMS14" s="239"/>
      <c r="BMT14" s="239"/>
      <c r="BMU14" s="239"/>
      <c r="BMV14" s="239"/>
      <c r="BMW14" s="239"/>
      <c r="BMX14" s="239"/>
      <c r="BMY14" s="239"/>
      <c r="BMZ14" s="239"/>
      <c r="BNA14" s="239"/>
      <c r="BNB14" s="239"/>
      <c r="BNC14" s="239"/>
      <c r="BND14" s="239"/>
      <c r="BNE14" s="239"/>
      <c r="BNF14" s="239"/>
      <c r="BNG14" s="239"/>
      <c r="BNH14" s="239"/>
      <c r="BNI14" s="239"/>
      <c r="BNJ14" s="239"/>
      <c r="BNK14" s="239"/>
      <c r="BNL14" s="239"/>
      <c r="BNM14" s="239"/>
      <c r="BNN14" s="239"/>
      <c r="BNO14" s="239"/>
      <c r="BNP14" s="239"/>
      <c r="BNQ14" s="239"/>
      <c r="BNR14" s="239"/>
      <c r="BNS14" s="239"/>
      <c r="BNT14" s="239"/>
      <c r="BNU14" s="239"/>
      <c r="BNV14" s="239"/>
      <c r="BNW14" s="239"/>
      <c r="BNX14" s="239"/>
      <c r="BNY14" s="239"/>
      <c r="BNZ14" s="239"/>
      <c r="BOA14" s="239"/>
      <c r="BOB14" s="239"/>
      <c r="BOC14" s="239"/>
      <c r="BOD14" s="239"/>
      <c r="BOE14" s="239"/>
      <c r="BOF14" s="239"/>
      <c r="BOG14" s="239"/>
      <c r="BOH14" s="239"/>
      <c r="BOI14" s="239"/>
      <c r="BOJ14" s="239"/>
      <c r="BOK14" s="239"/>
      <c r="BOL14" s="239"/>
      <c r="BOM14" s="239"/>
      <c r="BON14" s="239"/>
      <c r="BOO14" s="239"/>
      <c r="BOP14" s="239"/>
      <c r="BOQ14" s="239"/>
      <c r="BOR14" s="239"/>
      <c r="BOS14" s="239"/>
      <c r="BOT14" s="239"/>
      <c r="BOU14" s="239"/>
      <c r="BOV14" s="239"/>
      <c r="BOW14" s="239"/>
      <c r="BOX14" s="239"/>
      <c r="BOY14" s="239"/>
      <c r="BOZ14" s="239"/>
      <c r="BPA14" s="239"/>
      <c r="BPB14" s="239"/>
      <c r="BPC14" s="239"/>
      <c r="BPD14" s="239"/>
      <c r="BPE14" s="239"/>
      <c r="BPF14" s="239"/>
      <c r="BPG14" s="239"/>
      <c r="BPH14" s="239"/>
      <c r="BPI14" s="239"/>
      <c r="BPJ14" s="239"/>
      <c r="BPK14" s="239"/>
      <c r="BPL14" s="239"/>
      <c r="BPM14" s="239"/>
      <c r="BPN14" s="239"/>
      <c r="BPO14" s="239"/>
      <c r="BPP14" s="239"/>
      <c r="BPQ14" s="239"/>
      <c r="BPR14" s="239"/>
      <c r="BPS14" s="239"/>
      <c r="BPT14" s="239"/>
      <c r="BPU14" s="239"/>
      <c r="BPV14" s="239"/>
      <c r="BPW14" s="239"/>
      <c r="BPX14" s="239"/>
      <c r="BPY14" s="239"/>
      <c r="BPZ14" s="239"/>
      <c r="BQA14" s="239"/>
      <c r="BQB14" s="239"/>
      <c r="BQC14" s="239"/>
      <c r="BQD14" s="239"/>
      <c r="BQE14" s="239"/>
      <c r="BQF14" s="239"/>
      <c r="BQG14" s="239"/>
      <c r="BQH14" s="239"/>
      <c r="BQI14" s="239"/>
      <c r="BQJ14" s="239"/>
      <c r="BQK14" s="239"/>
      <c r="BQL14" s="239"/>
      <c r="BQM14" s="239"/>
      <c r="BQN14" s="239"/>
      <c r="BQO14" s="239"/>
      <c r="BQP14" s="239"/>
      <c r="BQQ14" s="239"/>
      <c r="BQR14" s="239"/>
      <c r="BQS14" s="239"/>
      <c r="BQT14" s="239"/>
      <c r="BQU14" s="239"/>
      <c r="BQV14" s="239"/>
      <c r="BQW14" s="239"/>
      <c r="BQX14" s="239"/>
      <c r="BQY14" s="239"/>
      <c r="BQZ14" s="239"/>
      <c r="BRA14" s="239"/>
      <c r="BRB14" s="239"/>
      <c r="BRC14" s="239"/>
      <c r="BRD14" s="239"/>
      <c r="BRE14" s="239"/>
      <c r="BRF14" s="239"/>
      <c r="BRG14" s="239"/>
      <c r="BRH14" s="239"/>
      <c r="BRI14" s="239"/>
      <c r="BRJ14" s="239"/>
      <c r="BRK14" s="239"/>
      <c r="BRL14" s="239"/>
      <c r="BRM14" s="239"/>
      <c r="BRN14" s="239"/>
      <c r="BRO14" s="239"/>
      <c r="BRP14" s="239"/>
      <c r="BRQ14" s="239"/>
      <c r="BRR14" s="239"/>
      <c r="BRS14" s="239"/>
      <c r="BRT14" s="239"/>
      <c r="BRU14" s="239"/>
      <c r="BRV14" s="239"/>
      <c r="BRW14" s="239"/>
      <c r="BRX14" s="239"/>
      <c r="BRY14" s="239"/>
      <c r="BRZ14" s="239"/>
      <c r="BSA14" s="239"/>
      <c r="BSB14" s="239"/>
      <c r="BSC14" s="239"/>
      <c r="BSD14" s="239"/>
      <c r="BSE14" s="239"/>
      <c r="BSF14" s="239"/>
      <c r="BSG14" s="239"/>
      <c r="BSH14" s="239"/>
      <c r="BSI14" s="239"/>
      <c r="BSJ14" s="239"/>
      <c r="BSK14" s="239"/>
      <c r="BSL14" s="239"/>
      <c r="BSM14" s="239"/>
      <c r="BSN14" s="239"/>
      <c r="BSO14" s="239"/>
      <c r="BSP14" s="239"/>
      <c r="BSQ14" s="239"/>
      <c r="BSR14" s="239"/>
      <c r="BSS14" s="239"/>
      <c r="BST14" s="239"/>
      <c r="BSU14" s="239"/>
      <c r="BSV14" s="239"/>
      <c r="BSW14" s="239"/>
      <c r="BSX14" s="239"/>
      <c r="BSY14" s="239"/>
      <c r="BSZ14" s="239"/>
      <c r="BTA14" s="239"/>
      <c r="BTB14" s="239"/>
      <c r="BTC14" s="239"/>
      <c r="BTD14" s="239"/>
      <c r="BTE14" s="239"/>
      <c r="BTF14" s="239"/>
      <c r="BTG14" s="239"/>
      <c r="BTH14" s="239"/>
      <c r="BTI14" s="239"/>
      <c r="BTJ14" s="239"/>
      <c r="BTK14" s="239"/>
      <c r="BTL14" s="239"/>
      <c r="BTM14" s="239"/>
      <c r="BTN14" s="239"/>
      <c r="BTO14" s="239"/>
      <c r="BTP14" s="239"/>
      <c r="BTQ14" s="239"/>
      <c r="BTR14" s="239"/>
      <c r="BTS14" s="239"/>
      <c r="BTT14" s="239"/>
      <c r="BTU14" s="239"/>
      <c r="BTV14" s="239"/>
      <c r="BTW14" s="239"/>
      <c r="BTX14" s="239"/>
      <c r="BTY14" s="239"/>
      <c r="BTZ14" s="239"/>
      <c r="BUA14" s="239"/>
      <c r="BUB14" s="239"/>
      <c r="BUC14" s="239"/>
      <c r="BUD14" s="239"/>
      <c r="BUE14" s="239"/>
      <c r="BUF14" s="239"/>
      <c r="BUG14" s="239"/>
      <c r="BUH14" s="239"/>
      <c r="BUI14" s="239"/>
      <c r="BUJ14" s="239"/>
      <c r="BUK14" s="239"/>
      <c r="BUL14" s="239"/>
      <c r="BUM14" s="239"/>
      <c r="BUN14" s="239"/>
      <c r="BUO14" s="239"/>
      <c r="BUP14" s="239"/>
      <c r="BUQ14" s="239"/>
      <c r="BUR14" s="239"/>
      <c r="BUS14" s="239"/>
      <c r="BUT14" s="239"/>
      <c r="BUU14" s="239"/>
      <c r="BUV14" s="239"/>
      <c r="BUW14" s="239"/>
      <c r="BUX14" s="239"/>
      <c r="BUY14" s="239"/>
      <c r="BUZ14" s="239"/>
      <c r="BVA14" s="239"/>
      <c r="BVB14" s="239"/>
      <c r="BVC14" s="239"/>
      <c r="BVD14" s="239"/>
      <c r="BVE14" s="239"/>
      <c r="BVF14" s="239"/>
      <c r="BVG14" s="239"/>
      <c r="BVH14" s="239"/>
      <c r="BVI14" s="239"/>
      <c r="BVJ14" s="239"/>
      <c r="BVK14" s="239"/>
      <c r="BVL14" s="239"/>
      <c r="BVM14" s="239"/>
      <c r="BVN14" s="239"/>
      <c r="BVO14" s="239"/>
      <c r="BVP14" s="239"/>
      <c r="BVQ14" s="239"/>
      <c r="BVR14" s="239"/>
      <c r="BVS14" s="239"/>
      <c r="BVT14" s="239"/>
      <c r="BVU14" s="239"/>
      <c r="BVV14" s="239"/>
      <c r="BVW14" s="239"/>
      <c r="BVX14" s="239"/>
      <c r="BVY14" s="239"/>
      <c r="BVZ14" s="239"/>
      <c r="BWA14" s="239"/>
      <c r="BWB14" s="239"/>
      <c r="BWC14" s="239"/>
      <c r="BWD14" s="239"/>
      <c r="BWE14" s="239"/>
      <c r="BWF14" s="239"/>
      <c r="BWG14" s="239"/>
      <c r="BWH14" s="239"/>
      <c r="BWI14" s="239"/>
      <c r="BWJ14" s="239"/>
      <c r="BWK14" s="239"/>
      <c r="BWL14" s="239"/>
      <c r="BWM14" s="239"/>
      <c r="BWN14" s="239"/>
      <c r="BWO14" s="239"/>
      <c r="BWP14" s="239"/>
      <c r="BWQ14" s="239"/>
      <c r="BWR14" s="239"/>
      <c r="BWS14" s="239"/>
      <c r="BWT14" s="239"/>
      <c r="BWU14" s="239"/>
      <c r="BWV14" s="239"/>
      <c r="BWW14" s="239"/>
      <c r="BWX14" s="239"/>
      <c r="BWY14" s="239"/>
      <c r="BWZ14" s="239"/>
      <c r="BXA14" s="239"/>
      <c r="BXB14" s="239"/>
      <c r="BXC14" s="239"/>
      <c r="BXD14" s="239"/>
      <c r="BXE14" s="239"/>
      <c r="BXF14" s="239"/>
      <c r="BXG14" s="239"/>
      <c r="BXH14" s="239"/>
      <c r="BXI14" s="239"/>
      <c r="BXJ14" s="239"/>
      <c r="BXK14" s="239"/>
      <c r="BXL14" s="239"/>
      <c r="BXM14" s="239"/>
      <c r="BXN14" s="239"/>
      <c r="BXO14" s="239"/>
      <c r="BXP14" s="239"/>
      <c r="BXQ14" s="239"/>
      <c r="BXR14" s="239"/>
      <c r="BXS14" s="239"/>
      <c r="BXT14" s="239"/>
      <c r="BXU14" s="239"/>
      <c r="BXV14" s="239"/>
      <c r="BXW14" s="239"/>
      <c r="BXX14" s="239"/>
      <c r="BXY14" s="239"/>
      <c r="BXZ14" s="239"/>
      <c r="BYA14" s="239"/>
      <c r="BYB14" s="239"/>
      <c r="BYC14" s="239"/>
      <c r="BYD14" s="239"/>
      <c r="BYE14" s="239"/>
      <c r="BYF14" s="239"/>
      <c r="BYG14" s="239"/>
      <c r="BYH14" s="239"/>
      <c r="BYI14" s="239"/>
      <c r="BYJ14" s="239"/>
      <c r="BYK14" s="239"/>
      <c r="BYL14" s="239"/>
      <c r="BYM14" s="239"/>
      <c r="BYN14" s="239"/>
      <c r="BYO14" s="239"/>
      <c r="BYP14" s="239"/>
      <c r="BYQ14" s="239"/>
      <c r="BYR14" s="239"/>
      <c r="BYS14" s="239"/>
      <c r="BYT14" s="239"/>
      <c r="BYU14" s="239"/>
      <c r="BYV14" s="239"/>
      <c r="BYW14" s="239"/>
      <c r="BYX14" s="239"/>
      <c r="BYY14" s="239"/>
      <c r="BYZ14" s="239"/>
      <c r="BZA14" s="239"/>
      <c r="BZB14" s="239"/>
      <c r="BZC14" s="239"/>
      <c r="BZD14" s="239"/>
      <c r="BZE14" s="239"/>
      <c r="BZF14" s="239"/>
      <c r="BZG14" s="239"/>
      <c r="BZH14" s="239"/>
      <c r="BZI14" s="239"/>
      <c r="BZJ14" s="239"/>
      <c r="BZK14" s="239"/>
      <c r="BZL14" s="239"/>
      <c r="BZM14" s="239"/>
      <c r="BZN14" s="239"/>
      <c r="BZO14" s="239"/>
      <c r="BZP14" s="239"/>
      <c r="BZQ14" s="239"/>
      <c r="BZR14" s="239"/>
      <c r="BZS14" s="239"/>
      <c r="BZT14" s="239"/>
      <c r="BZU14" s="239"/>
      <c r="BZV14" s="239"/>
      <c r="BZW14" s="239"/>
      <c r="BZX14" s="239"/>
      <c r="BZY14" s="239"/>
      <c r="BZZ14" s="239"/>
      <c r="CAA14" s="239"/>
      <c r="CAB14" s="239"/>
      <c r="CAC14" s="239"/>
      <c r="CAD14" s="239"/>
      <c r="CAE14" s="239"/>
      <c r="CAF14" s="239"/>
      <c r="CAG14" s="239"/>
      <c r="CAH14" s="239"/>
      <c r="CAI14" s="239"/>
      <c r="CAJ14" s="239"/>
      <c r="CAK14" s="239"/>
      <c r="CAL14" s="239"/>
      <c r="CAM14" s="239"/>
      <c r="CAN14" s="239"/>
      <c r="CAO14" s="239"/>
      <c r="CAP14" s="239"/>
      <c r="CAQ14" s="239"/>
      <c r="CAR14" s="239"/>
      <c r="CAS14" s="239"/>
      <c r="CAT14" s="239"/>
      <c r="CAU14" s="239"/>
      <c r="CAV14" s="239"/>
      <c r="CAW14" s="239"/>
      <c r="CAX14" s="239"/>
      <c r="CAY14" s="239"/>
      <c r="CAZ14" s="239"/>
      <c r="CBA14" s="239"/>
      <c r="CBB14" s="239"/>
      <c r="CBC14" s="239"/>
      <c r="CBD14" s="239"/>
      <c r="CBE14" s="239"/>
      <c r="CBF14" s="239"/>
      <c r="CBG14" s="239"/>
      <c r="CBH14" s="239"/>
      <c r="CBI14" s="239"/>
      <c r="CBJ14" s="239"/>
      <c r="CBK14" s="239"/>
      <c r="CBL14" s="239"/>
      <c r="CBM14" s="239"/>
      <c r="CBN14" s="239"/>
      <c r="CBO14" s="239"/>
      <c r="CBP14" s="239"/>
      <c r="CBQ14" s="239"/>
      <c r="CBR14" s="239"/>
      <c r="CBS14" s="239"/>
      <c r="CBT14" s="239"/>
      <c r="CBU14" s="239"/>
      <c r="CBV14" s="239"/>
      <c r="CBW14" s="239"/>
      <c r="CBX14" s="239"/>
      <c r="CBY14" s="239"/>
      <c r="CBZ14" s="239"/>
      <c r="CCA14" s="239"/>
      <c r="CCB14" s="239"/>
      <c r="CCC14" s="239"/>
      <c r="CCD14" s="239"/>
      <c r="CCE14" s="239"/>
      <c r="CCF14" s="239"/>
      <c r="CCG14" s="239"/>
      <c r="CCH14" s="239"/>
      <c r="CCI14" s="239"/>
      <c r="CCJ14" s="239"/>
      <c r="CCK14" s="239"/>
      <c r="CCL14" s="239"/>
      <c r="CCM14" s="239"/>
      <c r="CCN14" s="239"/>
      <c r="CCO14" s="239"/>
      <c r="CCP14" s="239"/>
      <c r="CCQ14" s="239"/>
      <c r="CCR14" s="239"/>
      <c r="CCS14" s="239"/>
      <c r="CCT14" s="239"/>
      <c r="CCU14" s="239"/>
      <c r="CCV14" s="239"/>
      <c r="CCW14" s="239"/>
      <c r="CCX14" s="239"/>
      <c r="CCY14" s="239"/>
      <c r="CCZ14" s="239"/>
      <c r="CDA14" s="239"/>
      <c r="CDB14" s="239"/>
      <c r="CDC14" s="239"/>
      <c r="CDD14" s="239"/>
      <c r="CDE14" s="239"/>
      <c r="CDF14" s="239"/>
      <c r="CDG14" s="239"/>
      <c r="CDH14" s="239"/>
      <c r="CDI14" s="239"/>
      <c r="CDJ14" s="239"/>
      <c r="CDK14" s="239"/>
      <c r="CDL14" s="239"/>
      <c r="CDM14" s="239"/>
      <c r="CDN14" s="239"/>
      <c r="CDO14" s="239"/>
      <c r="CDP14" s="239"/>
      <c r="CDQ14" s="239"/>
      <c r="CDR14" s="239"/>
      <c r="CDS14" s="239"/>
      <c r="CDT14" s="239"/>
      <c r="CDU14" s="239"/>
      <c r="CDV14" s="239"/>
      <c r="CDW14" s="239"/>
      <c r="CDX14" s="239"/>
      <c r="CDY14" s="239"/>
      <c r="CDZ14" s="239"/>
      <c r="CEA14" s="239"/>
      <c r="CEB14" s="239"/>
      <c r="CEC14" s="239"/>
      <c r="CED14" s="239"/>
      <c r="CEE14" s="239"/>
      <c r="CEF14" s="239"/>
      <c r="CEG14" s="239"/>
      <c r="CEH14" s="239"/>
      <c r="CEI14" s="239"/>
      <c r="CEJ14" s="239"/>
      <c r="CEK14" s="239"/>
      <c r="CEL14" s="239"/>
      <c r="CEM14" s="239"/>
      <c r="CEN14" s="239"/>
      <c r="CEO14" s="239"/>
      <c r="CEP14" s="239"/>
      <c r="CEQ14" s="239"/>
      <c r="CER14" s="239"/>
      <c r="CES14" s="239"/>
      <c r="CET14" s="239"/>
      <c r="CEU14" s="239"/>
      <c r="CEV14" s="239"/>
      <c r="CEW14" s="239"/>
      <c r="CEX14" s="239"/>
      <c r="CEY14" s="239"/>
      <c r="CEZ14" s="239"/>
      <c r="CFA14" s="239"/>
      <c r="CFB14" s="239"/>
      <c r="CFC14" s="239"/>
      <c r="CFD14" s="239"/>
      <c r="CFE14" s="239"/>
      <c r="CFF14" s="239"/>
      <c r="CFG14" s="239"/>
      <c r="CFH14" s="239"/>
      <c r="CFI14" s="239"/>
      <c r="CFJ14" s="239"/>
      <c r="CFK14" s="239"/>
      <c r="CFL14" s="239"/>
      <c r="CFM14" s="239"/>
      <c r="CFN14" s="239"/>
      <c r="CFO14" s="239"/>
      <c r="CFP14" s="239"/>
      <c r="CFQ14" s="239"/>
      <c r="CFR14" s="239"/>
      <c r="CFS14" s="239"/>
      <c r="CFT14" s="239"/>
      <c r="CFU14" s="239"/>
      <c r="CFV14" s="239"/>
      <c r="CFW14" s="239"/>
      <c r="CFX14" s="239"/>
      <c r="CFY14" s="239"/>
      <c r="CFZ14" s="239"/>
      <c r="CGA14" s="239"/>
      <c r="CGB14" s="239"/>
      <c r="CGC14" s="239"/>
      <c r="CGD14" s="239"/>
      <c r="CGE14" s="239"/>
      <c r="CGF14" s="239"/>
      <c r="CGG14" s="239"/>
      <c r="CGH14" s="239"/>
      <c r="CGI14" s="239"/>
      <c r="CGJ14" s="239"/>
      <c r="CGK14" s="239"/>
      <c r="CGL14" s="239"/>
      <c r="CGM14" s="239"/>
      <c r="CGN14" s="239"/>
      <c r="CGO14" s="239"/>
      <c r="CGP14" s="239"/>
      <c r="CGQ14" s="239"/>
      <c r="CGR14" s="239"/>
      <c r="CGS14" s="239"/>
      <c r="CGT14" s="239"/>
      <c r="CGU14" s="239"/>
      <c r="CGV14" s="239"/>
      <c r="CGW14" s="239"/>
      <c r="CGX14" s="239"/>
      <c r="CGY14" s="239"/>
      <c r="CGZ14" s="239"/>
      <c r="CHA14" s="239"/>
      <c r="CHB14" s="239"/>
      <c r="CHC14" s="239"/>
      <c r="CHD14" s="239"/>
      <c r="CHE14" s="239"/>
      <c r="CHF14" s="239"/>
      <c r="CHG14" s="239"/>
      <c r="CHH14" s="239"/>
      <c r="CHI14" s="239"/>
      <c r="CHJ14" s="239"/>
      <c r="CHK14" s="239"/>
      <c r="CHL14" s="239"/>
      <c r="CHM14" s="239"/>
      <c r="CHN14" s="239"/>
      <c r="CHO14" s="239"/>
      <c r="CHP14" s="239"/>
      <c r="CHQ14" s="239"/>
      <c r="CHR14" s="239"/>
      <c r="CHS14" s="239"/>
      <c r="CHT14" s="239"/>
      <c r="CHU14" s="239"/>
      <c r="CHV14" s="239"/>
      <c r="CHW14" s="239"/>
      <c r="CHX14" s="239"/>
      <c r="CHY14" s="239"/>
      <c r="CHZ14" s="239"/>
      <c r="CIA14" s="239"/>
      <c r="CIB14" s="239"/>
      <c r="CIC14" s="239"/>
      <c r="CID14" s="239"/>
      <c r="CIE14" s="239"/>
      <c r="CIF14" s="239"/>
      <c r="CIG14" s="239"/>
      <c r="CIH14" s="239"/>
      <c r="CII14" s="239"/>
      <c r="CIJ14" s="239"/>
      <c r="CIK14" s="239"/>
      <c r="CIL14" s="239"/>
      <c r="CIM14" s="239"/>
      <c r="CIN14" s="239"/>
      <c r="CIO14" s="239"/>
      <c r="CIP14" s="239"/>
      <c r="CIQ14" s="239"/>
      <c r="CIR14" s="239"/>
      <c r="CIS14" s="239"/>
      <c r="CIT14" s="239"/>
      <c r="CIU14" s="239"/>
      <c r="CIV14" s="239"/>
      <c r="CIW14" s="239"/>
      <c r="CIX14" s="239"/>
      <c r="CIY14" s="239"/>
      <c r="CIZ14" s="239"/>
      <c r="CJA14" s="239"/>
      <c r="CJB14" s="239"/>
      <c r="CJC14" s="239"/>
      <c r="CJD14" s="239"/>
      <c r="CJE14" s="239"/>
      <c r="CJF14" s="239"/>
      <c r="CJG14" s="239"/>
      <c r="CJH14" s="239"/>
      <c r="CJI14" s="239"/>
      <c r="CJJ14" s="239"/>
      <c r="CJK14" s="239"/>
      <c r="CJL14" s="239"/>
      <c r="CJM14" s="239"/>
      <c r="CJN14" s="239"/>
      <c r="CJO14" s="239"/>
      <c r="CJP14" s="239"/>
      <c r="CJQ14" s="239"/>
      <c r="CJR14" s="239"/>
      <c r="CJS14" s="239"/>
      <c r="CJT14" s="239"/>
      <c r="CJU14" s="239"/>
      <c r="CJV14" s="239"/>
      <c r="CJW14" s="239"/>
      <c r="CJX14" s="239"/>
      <c r="CJY14" s="239"/>
      <c r="CJZ14" s="239"/>
      <c r="CKA14" s="239"/>
      <c r="CKB14" s="239"/>
      <c r="CKC14" s="239"/>
      <c r="CKD14" s="239"/>
      <c r="CKE14" s="239"/>
      <c r="CKF14" s="239"/>
      <c r="CKG14" s="239"/>
      <c r="CKH14" s="239"/>
      <c r="CKI14" s="239"/>
      <c r="CKJ14" s="239"/>
      <c r="CKK14" s="239"/>
      <c r="CKL14" s="239"/>
      <c r="CKM14" s="239"/>
      <c r="CKN14" s="239"/>
      <c r="CKO14" s="239"/>
      <c r="CKP14" s="239"/>
      <c r="CKQ14" s="239"/>
      <c r="CKR14" s="239"/>
      <c r="CKS14" s="239"/>
      <c r="CKT14" s="239"/>
      <c r="CKU14" s="239"/>
      <c r="CKV14" s="239"/>
      <c r="CKW14" s="239"/>
      <c r="CKX14" s="239"/>
      <c r="CKY14" s="239"/>
      <c r="CKZ14" s="239"/>
      <c r="CLA14" s="239"/>
      <c r="CLB14" s="239"/>
      <c r="CLC14" s="239"/>
      <c r="CLD14" s="239"/>
      <c r="CLE14" s="239"/>
      <c r="CLF14" s="239"/>
      <c r="CLG14" s="239"/>
      <c r="CLH14" s="239"/>
      <c r="CLI14" s="239"/>
      <c r="CLJ14" s="239"/>
      <c r="CLK14" s="239"/>
      <c r="CLL14" s="239"/>
      <c r="CLM14" s="239"/>
      <c r="CLN14" s="239"/>
      <c r="CLO14" s="239"/>
      <c r="CLP14" s="239"/>
      <c r="CLQ14" s="239"/>
      <c r="CLR14" s="239"/>
      <c r="CLS14" s="239"/>
      <c r="CLT14" s="239"/>
      <c r="CLU14" s="239"/>
      <c r="CLV14" s="239"/>
      <c r="CLW14" s="239"/>
      <c r="CLX14" s="239"/>
      <c r="CLY14" s="239"/>
      <c r="CLZ14" s="239"/>
      <c r="CMA14" s="239"/>
      <c r="CMB14" s="239"/>
      <c r="CMC14" s="239"/>
      <c r="CMD14" s="239"/>
      <c r="CME14" s="239"/>
      <c r="CMF14" s="239"/>
      <c r="CMG14" s="239"/>
      <c r="CMH14" s="239"/>
      <c r="CMI14" s="239"/>
      <c r="CMJ14" s="239"/>
      <c r="CMK14" s="239"/>
      <c r="CML14" s="239"/>
      <c r="CMM14" s="239"/>
      <c r="CMN14" s="239"/>
      <c r="CMO14" s="239"/>
      <c r="CMP14" s="239"/>
      <c r="CMQ14" s="239"/>
      <c r="CMR14" s="239"/>
      <c r="CMS14" s="239"/>
      <c r="CMT14" s="239"/>
      <c r="CMU14" s="239"/>
      <c r="CMV14" s="239"/>
      <c r="CMW14" s="239"/>
      <c r="CMX14" s="239"/>
      <c r="CMY14" s="239"/>
      <c r="CMZ14" s="239"/>
      <c r="CNA14" s="239"/>
      <c r="CNB14" s="239"/>
      <c r="CNC14" s="239"/>
      <c r="CND14" s="239"/>
      <c r="CNE14" s="239"/>
      <c r="CNF14" s="239"/>
      <c r="CNG14" s="239"/>
      <c r="CNH14" s="239"/>
      <c r="CNI14" s="239"/>
      <c r="CNJ14" s="239"/>
      <c r="CNK14" s="239"/>
      <c r="CNL14" s="239"/>
      <c r="CNM14" s="239"/>
      <c r="CNN14" s="239"/>
      <c r="CNO14" s="239"/>
      <c r="CNP14" s="239"/>
      <c r="CNQ14" s="239"/>
      <c r="CNR14" s="239"/>
      <c r="CNS14" s="239"/>
      <c r="CNT14" s="239"/>
      <c r="CNU14" s="239"/>
      <c r="CNV14" s="239"/>
      <c r="CNW14" s="239"/>
      <c r="CNX14" s="239"/>
      <c r="CNY14" s="239"/>
      <c r="CNZ14" s="239"/>
      <c r="COA14" s="239"/>
      <c r="COB14" s="239"/>
      <c r="COC14" s="239"/>
      <c r="COD14" s="239"/>
      <c r="COE14" s="239"/>
      <c r="COF14" s="239"/>
      <c r="COG14" s="239"/>
      <c r="COH14" s="239"/>
      <c r="COI14" s="239"/>
      <c r="COJ14" s="239"/>
      <c r="COK14" s="239"/>
      <c r="COL14" s="239"/>
      <c r="COM14" s="239"/>
      <c r="CON14" s="239"/>
      <c r="COO14" s="239"/>
      <c r="COP14" s="239"/>
      <c r="COQ14" s="239"/>
      <c r="COR14" s="239"/>
      <c r="COS14" s="239"/>
      <c r="COT14" s="239"/>
      <c r="COU14" s="239"/>
      <c r="COV14" s="239"/>
      <c r="COW14" s="239"/>
      <c r="COX14" s="239"/>
      <c r="COY14" s="239"/>
      <c r="COZ14" s="239"/>
      <c r="CPA14" s="239"/>
      <c r="CPB14" s="239"/>
      <c r="CPC14" s="239"/>
      <c r="CPD14" s="239"/>
      <c r="CPE14" s="239"/>
      <c r="CPF14" s="239"/>
      <c r="CPG14" s="239"/>
      <c r="CPH14" s="239"/>
      <c r="CPI14" s="239"/>
      <c r="CPJ14" s="239"/>
      <c r="CPK14" s="239"/>
      <c r="CPL14" s="239"/>
      <c r="CPM14" s="239"/>
      <c r="CPN14" s="239"/>
      <c r="CPO14" s="239"/>
      <c r="CPP14" s="239"/>
      <c r="CPQ14" s="239"/>
      <c r="CPR14" s="239"/>
      <c r="CPS14" s="239"/>
      <c r="CPT14" s="239"/>
      <c r="CPU14" s="239"/>
      <c r="CPV14" s="239"/>
      <c r="CPW14" s="239"/>
      <c r="CPX14" s="239"/>
      <c r="CPY14" s="239"/>
      <c r="CPZ14" s="239"/>
      <c r="CQA14" s="239"/>
      <c r="CQB14" s="239"/>
      <c r="CQC14" s="239"/>
      <c r="CQD14" s="239"/>
      <c r="CQE14" s="239"/>
      <c r="CQF14" s="239"/>
      <c r="CQG14" s="239"/>
      <c r="CQH14" s="239"/>
      <c r="CQI14" s="239"/>
      <c r="CQJ14" s="239"/>
      <c r="CQK14" s="239"/>
      <c r="CQL14" s="239"/>
      <c r="CQM14" s="239"/>
      <c r="CQN14" s="239"/>
      <c r="CQO14" s="239"/>
      <c r="CQP14" s="239"/>
      <c r="CQQ14" s="239"/>
      <c r="CQR14" s="239"/>
      <c r="CQS14" s="239"/>
      <c r="CQT14" s="239"/>
      <c r="CQU14" s="239"/>
      <c r="CQV14" s="239"/>
      <c r="CQW14" s="239"/>
      <c r="CQX14" s="239"/>
      <c r="CQY14" s="239"/>
      <c r="CQZ14" s="239"/>
      <c r="CRA14" s="239"/>
      <c r="CRB14" s="239"/>
      <c r="CRC14" s="239"/>
      <c r="CRD14" s="239"/>
      <c r="CRE14" s="239"/>
      <c r="CRF14" s="239"/>
      <c r="CRG14" s="239"/>
      <c r="CRH14" s="239"/>
      <c r="CRI14" s="239"/>
      <c r="CRJ14" s="239"/>
      <c r="CRK14" s="239"/>
      <c r="CRL14" s="239"/>
      <c r="CRM14" s="239"/>
      <c r="CRN14" s="239"/>
      <c r="CRO14" s="239"/>
      <c r="CRP14" s="239"/>
      <c r="CRQ14" s="239"/>
      <c r="CRR14" s="239"/>
      <c r="CRS14" s="239"/>
      <c r="CRT14" s="239"/>
      <c r="CRU14" s="239"/>
      <c r="CRV14" s="239"/>
      <c r="CRW14" s="239"/>
      <c r="CRX14" s="239"/>
      <c r="CRY14" s="239"/>
      <c r="CRZ14" s="239"/>
      <c r="CSA14" s="239"/>
      <c r="CSB14" s="239"/>
      <c r="CSC14" s="239"/>
      <c r="CSD14" s="239"/>
      <c r="CSE14" s="239"/>
      <c r="CSF14" s="239"/>
      <c r="CSG14" s="239"/>
      <c r="CSH14" s="239"/>
      <c r="CSI14" s="239"/>
      <c r="CSJ14" s="239"/>
      <c r="CSK14" s="239"/>
      <c r="CSL14" s="239"/>
      <c r="CSM14" s="239"/>
      <c r="CSN14" s="239"/>
      <c r="CSO14" s="239"/>
      <c r="CSP14" s="239"/>
      <c r="CSQ14" s="239"/>
      <c r="CSR14" s="239"/>
      <c r="CSS14" s="239"/>
      <c r="CST14" s="239"/>
      <c r="CSU14" s="239"/>
      <c r="CSV14" s="239"/>
      <c r="CSW14" s="239"/>
      <c r="CSX14" s="239"/>
      <c r="CSY14" s="239"/>
      <c r="CSZ14" s="239"/>
      <c r="CTA14" s="239"/>
      <c r="CTB14" s="239"/>
      <c r="CTC14" s="239"/>
      <c r="CTD14" s="239"/>
      <c r="CTE14" s="239"/>
      <c r="CTF14" s="239"/>
      <c r="CTG14" s="239"/>
      <c r="CTH14" s="239"/>
      <c r="CTI14" s="239"/>
      <c r="CTJ14" s="239"/>
      <c r="CTK14" s="239"/>
      <c r="CTL14" s="239"/>
      <c r="CTM14" s="239"/>
      <c r="CTN14" s="239"/>
      <c r="CTO14" s="239"/>
      <c r="CTP14" s="239"/>
      <c r="CTQ14" s="239"/>
      <c r="CTR14" s="239"/>
      <c r="CTS14" s="239"/>
      <c r="CTT14" s="239"/>
      <c r="CTU14" s="239"/>
      <c r="CTV14" s="239"/>
      <c r="CTW14" s="239"/>
      <c r="CTX14" s="239"/>
      <c r="CTY14" s="239"/>
      <c r="CTZ14" s="239"/>
      <c r="CUA14" s="239"/>
      <c r="CUB14" s="239"/>
      <c r="CUC14" s="239"/>
      <c r="CUD14" s="239"/>
      <c r="CUE14" s="239"/>
      <c r="CUF14" s="239"/>
      <c r="CUG14" s="239"/>
      <c r="CUH14" s="239"/>
      <c r="CUI14" s="239"/>
      <c r="CUJ14" s="239"/>
      <c r="CUK14" s="239"/>
      <c r="CUL14" s="239"/>
      <c r="CUM14" s="239"/>
      <c r="CUN14" s="239"/>
      <c r="CUO14" s="239"/>
      <c r="CUP14" s="239"/>
      <c r="CUQ14" s="239"/>
      <c r="CUR14" s="239"/>
      <c r="CUS14" s="239"/>
      <c r="CUT14" s="239"/>
      <c r="CUU14" s="239"/>
      <c r="CUV14" s="239"/>
      <c r="CUW14" s="239"/>
      <c r="CUX14" s="239"/>
      <c r="CUY14" s="239"/>
      <c r="CUZ14" s="239"/>
      <c r="CVA14" s="239"/>
      <c r="CVB14" s="239"/>
      <c r="CVC14" s="239"/>
      <c r="CVD14" s="239"/>
      <c r="CVE14" s="239"/>
      <c r="CVF14" s="239"/>
      <c r="CVG14" s="239"/>
      <c r="CVH14" s="239"/>
      <c r="CVI14" s="239"/>
      <c r="CVJ14" s="239"/>
      <c r="CVK14" s="239"/>
      <c r="CVL14" s="239"/>
      <c r="CVM14" s="239"/>
      <c r="CVN14" s="239"/>
      <c r="CVO14" s="239"/>
      <c r="CVP14" s="239"/>
      <c r="CVQ14" s="239"/>
      <c r="CVR14" s="239"/>
      <c r="CVS14" s="239"/>
      <c r="CVT14" s="239"/>
      <c r="CVU14" s="239"/>
      <c r="CVV14" s="239"/>
      <c r="CVW14" s="239"/>
      <c r="CVX14" s="239"/>
      <c r="CVY14" s="239"/>
      <c r="CVZ14" s="239"/>
      <c r="CWA14" s="239"/>
      <c r="CWB14" s="239"/>
      <c r="CWC14" s="239"/>
      <c r="CWD14" s="239"/>
      <c r="CWE14" s="239"/>
      <c r="CWF14" s="239"/>
      <c r="CWG14" s="239"/>
      <c r="CWH14" s="239"/>
      <c r="CWI14" s="239"/>
      <c r="CWJ14" s="239"/>
      <c r="CWK14" s="239"/>
      <c r="CWL14" s="239"/>
      <c r="CWM14" s="239"/>
      <c r="CWN14" s="239"/>
      <c r="CWO14" s="239"/>
      <c r="CWP14" s="239"/>
      <c r="CWQ14" s="239"/>
      <c r="CWR14" s="239"/>
      <c r="CWS14" s="239"/>
      <c r="CWT14" s="239"/>
      <c r="CWU14" s="239"/>
      <c r="CWV14" s="239"/>
      <c r="CWW14" s="239"/>
      <c r="CWX14" s="239"/>
      <c r="CWY14" s="239"/>
      <c r="CWZ14" s="239"/>
      <c r="CXA14" s="239"/>
      <c r="CXB14" s="239"/>
      <c r="CXC14" s="239"/>
      <c r="CXD14" s="239"/>
      <c r="CXE14" s="239"/>
      <c r="CXF14" s="239"/>
      <c r="CXG14" s="239"/>
      <c r="CXH14" s="239"/>
      <c r="CXI14" s="239"/>
      <c r="CXJ14" s="239"/>
      <c r="CXK14" s="239"/>
      <c r="CXL14" s="239"/>
      <c r="CXM14" s="239"/>
      <c r="CXN14" s="239"/>
      <c r="CXO14" s="239"/>
      <c r="CXP14" s="239"/>
      <c r="CXQ14" s="239"/>
      <c r="CXR14" s="239"/>
      <c r="CXS14" s="239"/>
      <c r="CXT14" s="239"/>
      <c r="CXU14" s="239"/>
      <c r="CXV14" s="239"/>
      <c r="CXW14" s="239"/>
      <c r="CXX14" s="239"/>
      <c r="CXY14" s="239"/>
      <c r="CXZ14" s="239"/>
      <c r="CYA14" s="239"/>
      <c r="CYB14" s="239"/>
      <c r="CYC14" s="239"/>
      <c r="CYD14" s="239"/>
      <c r="CYE14" s="239"/>
      <c r="CYF14" s="239"/>
      <c r="CYG14" s="239"/>
      <c r="CYH14" s="239"/>
      <c r="CYI14" s="239"/>
      <c r="CYJ14" s="239"/>
      <c r="CYK14" s="239"/>
      <c r="CYL14" s="239"/>
      <c r="CYM14" s="239"/>
      <c r="CYN14" s="239"/>
      <c r="CYO14" s="239"/>
      <c r="CYP14" s="239"/>
      <c r="CYQ14" s="239"/>
      <c r="CYR14" s="239"/>
      <c r="CYS14" s="239"/>
      <c r="CYT14" s="239"/>
      <c r="CYU14" s="239"/>
      <c r="CYV14" s="239"/>
      <c r="CYW14" s="239"/>
      <c r="CYX14" s="239"/>
      <c r="CYY14" s="239"/>
      <c r="CYZ14" s="239"/>
      <c r="CZA14" s="239"/>
      <c r="CZB14" s="239"/>
      <c r="CZC14" s="239"/>
      <c r="CZD14" s="239"/>
      <c r="CZE14" s="239"/>
      <c r="CZF14" s="239"/>
      <c r="CZG14" s="239"/>
      <c r="CZH14" s="239"/>
      <c r="CZI14" s="239"/>
      <c r="CZJ14" s="239"/>
      <c r="CZK14" s="239"/>
      <c r="CZL14" s="239"/>
      <c r="CZM14" s="239"/>
      <c r="CZN14" s="239"/>
      <c r="CZO14" s="239"/>
      <c r="CZP14" s="239"/>
      <c r="CZQ14" s="239"/>
      <c r="CZR14" s="239"/>
      <c r="CZS14" s="239"/>
      <c r="CZT14" s="239"/>
      <c r="CZU14" s="239"/>
      <c r="CZV14" s="239"/>
      <c r="CZW14" s="239"/>
      <c r="CZX14" s="239"/>
      <c r="CZY14" s="239"/>
      <c r="CZZ14" s="239"/>
      <c r="DAA14" s="239"/>
      <c r="DAB14" s="239"/>
      <c r="DAC14" s="239"/>
      <c r="DAD14" s="239"/>
      <c r="DAE14" s="239"/>
      <c r="DAF14" s="239"/>
      <c r="DAG14" s="239"/>
      <c r="DAH14" s="239"/>
      <c r="DAI14" s="239"/>
      <c r="DAJ14" s="239"/>
      <c r="DAK14" s="239"/>
      <c r="DAL14" s="239"/>
      <c r="DAM14" s="239"/>
      <c r="DAN14" s="239"/>
      <c r="DAO14" s="239"/>
      <c r="DAP14" s="239"/>
      <c r="DAQ14" s="239"/>
      <c r="DAR14" s="239"/>
      <c r="DAS14" s="239"/>
      <c r="DAT14" s="239"/>
      <c r="DAU14" s="239"/>
      <c r="DAV14" s="239"/>
      <c r="DAW14" s="239"/>
      <c r="DAX14" s="239"/>
      <c r="DAY14" s="239"/>
      <c r="DAZ14" s="239"/>
      <c r="DBA14" s="239"/>
      <c r="DBB14" s="239"/>
      <c r="DBC14" s="239"/>
      <c r="DBD14" s="239"/>
      <c r="DBE14" s="239"/>
      <c r="DBF14" s="239"/>
      <c r="DBG14" s="239"/>
      <c r="DBH14" s="239"/>
      <c r="DBI14" s="239"/>
      <c r="DBJ14" s="239"/>
      <c r="DBK14" s="239"/>
      <c r="DBL14" s="239"/>
      <c r="DBM14" s="239"/>
      <c r="DBN14" s="239"/>
      <c r="DBO14" s="239"/>
      <c r="DBP14" s="239"/>
      <c r="DBQ14" s="239"/>
      <c r="DBR14" s="239"/>
      <c r="DBS14" s="239"/>
      <c r="DBT14" s="239"/>
      <c r="DBU14" s="239"/>
      <c r="DBV14" s="239"/>
      <c r="DBW14" s="239"/>
      <c r="DBX14" s="239"/>
      <c r="DBY14" s="239"/>
      <c r="DBZ14" s="239"/>
      <c r="DCA14" s="239"/>
      <c r="DCB14" s="239"/>
      <c r="DCC14" s="239"/>
      <c r="DCD14" s="239"/>
      <c r="DCE14" s="239"/>
      <c r="DCF14" s="239"/>
      <c r="DCG14" s="239"/>
      <c r="DCH14" s="239"/>
      <c r="DCI14" s="239"/>
      <c r="DCJ14" s="239"/>
      <c r="DCK14" s="239"/>
      <c r="DCL14" s="239"/>
      <c r="DCM14" s="239"/>
      <c r="DCN14" s="239"/>
      <c r="DCO14" s="239"/>
      <c r="DCP14" s="239"/>
      <c r="DCQ14" s="239"/>
      <c r="DCR14" s="239"/>
      <c r="DCS14" s="239"/>
      <c r="DCT14" s="239"/>
      <c r="DCU14" s="239"/>
      <c r="DCV14" s="239"/>
      <c r="DCW14" s="239"/>
      <c r="DCX14" s="239"/>
      <c r="DCY14" s="239"/>
      <c r="DCZ14" s="239"/>
      <c r="DDA14" s="239"/>
      <c r="DDB14" s="239"/>
      <c r="DDC14" s="239"/>
      <c r="DDD14" s="239"/>
      <c r="DDE14" s="239"/>
      <c r="DDF14" s="239"/>
      <c r="DDG14" s="239"/>
      <c r="DDH14" s="239"/>
      <c r="DDI14" s="239"/>
      <c r="DDJ14" s="239"/>
      <c r="DDK14" s="239"/>
      <c r="DDL14" s="239"/>
      <c r="DDM14" s="239"/>
      <c r="DDN14" s="239"/>
      <c r="DDO14" s="239"/>
      <c r="DDP14" s="239"/>
      <c r="DDQ14" s="239"/>
      <c r="DDR14" s="239"/>
      <c r="DDS14" s="239"/>
      <c r="DDT14" s="239"/>
      <c r="DDU14" s="239"/>
      <c r="DDV14" s="239"/>
      <c r="DDW14" s="239"/>
      <c r="DDX14" s="239"/>
      <c r="DDY14" s="239"/>
      <c r="DDZ14" s="239"/>
      <c r="DEA14" s="239"/>
      <c r="DEB14" s="239"/>
      <c r="DEC14" s="239"/>
      <c r="DED14" s="239"/>
      <c r="DEE14" s="239"/>
      <c r="DEF14" s="239"/>
      <c r="DEG14" s="239"/>
      <c r="DEH14" s="239"/>
      <c r="DEI14" s="239"/>
      <c r="DEJ14" s="239"/>
      <c r="DEK14" s="239"/>
      <c r="DEL14" s="239"/>
      <c r="DEM14" s="239"/>
      <c r="DEN14" s="239"/>
      <c r="DEO14" s="239"/>
      <c r="DEP14" s="239"/>
      <c r="DEQ14" s="239"/>
      <c r="DER14" s="239"/>
      <c r="DES14" s="239"/>
      <c r="DET14" s="239"/>
      <c r="DEU14" s="239"/>
      <c r="DEV14" s="239"/>
      <c r="DEW14" s="239"/>
      <c r="DEX14" s="239"/>
      <c r="DEY14" s="239"/>
      <c r="DEZ14" s="239"/>
      <c r="DFA14" s="239"/>
      <c r="DFB14" s="239"/>
      <c r="DFC14" s="239"/>
      <c r="DFD14" s="239"/>
      <c r="DFE14" s="239"/>
      <c r="DFF14" s="239"/>
      <c r="DFG14" s="239"/>
      <c r="DFH14" s="239"/>
      <c r="DFI14" s="239"/>
      <c r="DFJ14" s="239"/>
      <c r="DFK14" s="239"/>
      <c r="DFL14" s="239"/>
      <c r="DFM14" s="239"/>
      <c r="DFN14" s="239"/>
      <c r="DFO14" s="239"/>
      <c r="DFP14" s="239"/>
      <c r="DFQ14" s="239"/>
      <c r="DFR14" s="239"/>
      <c r="DFS14" s="239"/>
      <c r="DFT14" s="239"/>
      <c r="DFU14" s="239"/>
      <c r="DFV14" s="239"/>
      <c r="DFW14" s="239"/>
      <c r="DFX14" s="239"/>
      <c r="DFY14" s="239"/>
      <c r="DFZ14" s="239"/>
      <c r="DGA14" s="239"/>
      <c r="DGB14" s="239"/>
      <c r="DGC14" s="239"/>
      <c r="DGD14" s="239"/>
      <c r="DGE14" s="239"/>
      <c r="DGF14" s="239"/>
      <c r="DGG14" s="239"/>
      <c r="DGH14" s="239"/>
      <c r="DGI14" s="239"/>
      <c r="DGJ14" s="239"/>
      <c r="DGK14" s="239"/>
      <c r="DGL14" s="239"/>
      <c r="DGM14" s="239"/>
      <c r="DGN14" s="239"/>
      <c r="DGO14" s="239"/>
      <c r="DGP14" s="239"/>
      <c r="DGQ14" s="239"/>
      <c r="DGR14" s="239"/>
      <c r="DGS14" s="239"/>
      <c r="DGT14" s="239"/>
      <c r="DGU14" s="239"/>
      <c r="DGV14" s="239"/>
      <c r="DGW14" s="239"/>
      <c r="DGX14" s="239"/>
      <c r="DGY14" s="239"/>
      <c r="DGZ14" s="239"/>
      <c r="DHA14" s="239"/>
      <c r="DHB14" s="239"/>
      <c r="DHC14" s="239"/>
      <c r="DHD14" s="239"/>
      <c r="DHE14" s="239"/>
      <c r="DHF14" s="239"/>
      <c r="DHG14" s="239"/>
      <c r="DHH14" s="239"/>
      <c r="DHI14" s="239"/>
      <c r="DHJ14" s="239"/>
      <c r="DHK14" s="239"/>
      <c r="DHL14" s="239"/>
      <c r="DHM14" s="239"/>
      <c r="DHN14" s="239"/>
      <c r="DHO14" s="239"/>
      <c r="DHP14" s="239"/>
      <c r="DHQ14" s="239"/>
      <c r="DHR14" s="239"/>
      <c r="DHS14" s="239"/>
      <c r="DHT14" s="239"/>
      <c r="DHU14" s="239"/>
      <c r="DHV14" s="239"/>
      <c r="DHW14" s="239"/>
      <c r="DHX14" s="239"/>
      <c r="DHY14" s="239"/>
      <c r="DHZ14" s="239"/>
      <c r="DIA14" s="239"/>
      <c r="DIB14" s="239"/>
      <c r="DIC14" s="239"/>
      <c r="DID14" s="239"/>
      <c r="DIE14" s="239"/>
      <c r="DIF14" s="239"/>
      <c r="DIG14" s="239"/>
      <c r="DIH14" s="239"/>
      <c r="DII14" s="239"/>
      <c r="DIJ14" s="239"/>
      <c r="DIK14" s="239"/>
      <c r="DIL14" s="239"/>
      <c r="DIM14" s="239"/>
      <c r="DIN14" s="239"/>
      <c r="DIO14" s="239"/>
      <c r="DIP14" s="239"/>
      <c r="DIQ14" s="239"/>
      <c r="DIR14" s="239"/>
      <c r="DIS14" s="239"/>
      <c r="DIT14" s="239"/>
      <c r="DIU14" s="239"/>
      <c r="DIV14" s="239"/>
      <c r="DIW14" s="239"/>
      <c r="DIX14" s="239"/>
      <c r="DIY14" s="239"/>
      <c r="DIZ14" s="239"/>
      <c r="DJA14" s="239"/>
      <c r="DJB14" s="239"/>
      <c r="DJC14" s="239"/>
      <c r="DJD14" s="239"/>
      <c r="DJE14" s="239"/>
      <c r="DJF14" s="239"/>
      <c r="DJG14" s="239"/>
      <c r="DJH14" s="239"/>
      <c r="DJI14" s="239"/>
      <c r="DJJ14" s="239"/>
      <c r="DJK14" s="239"/>
      <c r="DJL14" s="239"/>
      <c r="DJM14" s="239"/>
      <c r="DJN14" s="239"/>
      <c r="DJO14" s="239"/>
      <c r="DJP14" s="239"/>
      <c r="DJQ14" s="239"/>
      <c r="DJR14" s="239"/>
      <c r="DJS14" s="239"/>
      <c r="DJT14" s="239"/>
      <c r="DJU14" s="239"/>
      <c r="DJV14" s="239"/>
      <c r="DJW14" s="239"/>
      <c r="DJX14" s="239"/>
      <c r="DJY14" s="239"/>
      <c r="DJZ14" s="239"/>
      <c r="DKA14" s="239"/>
      <c r="DKB14" s="239"/>
      <c r="DKC14" s="239"/>
      <c r="DKD14" s="239"/>
      <c r="DKE14" s="239"/>
      <c r="DKF14" s="239"/>
      <c r="DKG14" s="239"/>
      <c r="DKH14" s="239"/>
      <c r="DKI14" s="239"/>
      <c r="DKJ14" s="239"/>
      <c r="DKK14" s="239"/>
      <c r="DKL14" s="239"/>
      <c r="DKM14" s="239"/>
      <c r="DKN14" s="239"/>
      <c r="DKO14" s="239"/>
      <c r="DKP14" s="239"/>
      <c r="DKQ14" s="239"/>
      <c r="DKR14" s="239"/>
      <c r="DKS14" s="239"/>
      <c r="DKT14" s="239"/>
      <c r="DKU14" s="239"/>
      <c r="DKV14" s="239"/>
      <c r="DKW14" s="239"/>
      <c r="DKX14" s="239"/>
      <c r="DKY14" s="239"/>
      <c r="DKZ14" s="239"/>
      <c r="DLA14" s="239"/>
      <c r="DLB14" s="239"/>
      <c r="DLC14" s="239"/>
      <c r="DLD14" s="239"/>
      <c r="DLE14" s="239"/>
      <c r="DLF14" s="239"/>
      <c r="DLG14" s="239"/>
      <c r="DLH14" s="239"/>
      <c r="DLI14" s="239"/>
      <c r="DLJ14" s="239"/>
      <c r="DLK14" s="239"/>
      <c r="DLL14" s="239"/>
      <c r="DLM14" s="239"/>
      <c r="DLN14" s="239"/>
      <c r="DLO14" s="239"/>
      <c r="DLP14" s="239"/>
      <c r="DLQ14" s="239"/>
      <c r="DLR14" s="239"/>
      <c r="DLS14" s="239"/>
      <c r="DLT14" s="239"/>
      <c r="DLU14" s="239"/>
      <c r="DLV14" s="239"/>
      <c r="DLW14" s="239"/>
      <c r="DLX14" s="239"/>
      <c r="DLY14" s="239"/>
      <c r="DLZ14" s="239"/>
      <c r="DMA14" s="239"/>
      <c r="DMB14" s="239"/>
      <c r="DMC14" s="239"/>
      <c r="DMD14" s="239"/>
      <c r="DME14" s="239"/>
      <c r="DMF14" s="239"/>
      <c r="DMG14" s="239"/>
      <c r="DMH14" s="239"/>
      <c r="DMI14" s="239"/>
      <c r="DMJ14" s="239"/>
      <c r="DMK14" s="239"/>
      <c r="DML14" s="239"/>
      <c r="DMM14" s="239"/>
      <c r="DMN14" s="239"/>
      <c r="DMO14" s="239"/>
      <c r="DMP14" s="239"/>
      <c r="DMQ14" s="239"/>
      <c r="DMR14" s="239"/>
      <c r="DMS14" s="239"/>
      <c r="DMT14" s="239"/>
      <c r="DMU14" s="239"/>
      <c r="DMV14" s="239"/>
      <c r="DMW14" s="239"/>
      <c r="DMX14" s="239"/>
      <c r="DMY14" s="239"/>
      <c r="DMZ14" s="239"/>
      <c r="DNA14" s="239"/>
      <c r="DNB14" s="239"/>
      <c r="DNC14" s="239"/>
      <c r="DND14" s="239"/>
      <c r="DNE14" s="239"/>
      <c r="DNF14" s="239"/>
      <c r="DNG14" s="239"/>
      <c r="DNH14" s="239"/>
      <c r="DNI14" s="239"/>
      <c r="DNJ14" s="239"/>
      <c r="DNK14" s="239"/>
      <c r="DNL14" s="239"/>
      <c r="DNM14" s="239"/>
      <c r="DNN14" s="239"/>
      <c r="DNO14" s="239"/>
      <c r="DNP14" s="239"/>
      <c r="DNQ14" s="239"/>
      <c r="DNR14" s="239"/>
      <c r="DNS14" s="239"/>
      <c r="DNT14" s="239"/>
      <c r="DNU14" s="239"/>
      <c r="DNV14" s="239"/>
      <c r="DNW14" s="239"/>
      <c r="DNX14" s="239"/>
      <c r="DNY14" s="239"/>
      <c r="DNZ14" s="239"/>
      <c r="DOA14" s="239"/>
      <c r="DOB14" s="239"/>
      <c r="DOC14" s="239"/>
      <c r="DOD14" s="239"/>
      <c r="DOE14" s="239"/>
      <c r="DOF14" s="239"/>
      <c r="DOG14" s="239"/>
      <c r="DOH14" s="239"/>
      <c r="DOI14" s="239"/>
      <c r="DOJ14" s="239"/>
      <c r="DOK14" s="239"/>
      <c r="DOL14" s="239"/>
      <c r="DOM14" s="239"/>
      <c r="DON14" s="239"/>
      <c r="DOO14" s="239"/>
      <c r="DOP14" s="239"/>
      <c r="DOQ14" s="239"/>
      <c r="DOR14" s="239"/>
      <c r="DOS14" s="239"/>
      <c r="DOT14" s="239"/>
      <c r="DOU14" s="239"/>
      <c r="DOV14" s="239"/>
      <c r="DOW14" s="239"/>
      <c r="DOX14" s="239"/>
      <c r="DOY14" s="239"/>
      <c r="DOZ14" s="239"/>
      <c r="DPA14" s="239"/>
      <c r="DPB14" s="239"/>
      <c r="DPC14" s="239"/>
      <c r="DPD14" s="239"/>
      <c r="DPE14" s="239"/>
      <c r="DPF14" s="239"/>
      <c r="DPG14" s="239"/>
      <c r="DPH14" s="239"/>
      <c r="DPI14" s="239"/>
      <c r="DPJ14" s="239"/>
      <c r="DPK14" s="239"/>
      <c r="DPL14" s="239"/>
      <c r="DPM14" s="239"/>
      <c r="DPN14" s="239"/>
      <c r="DPO14" s="239"/>
      <c r="DPP14" s="239"/>
      <c r="DPQ14" s="239"/>
      <c r="DPR14" s="239"/>
      <c r="DPS14" s="239"/>
      <c r="DPT14" s="239"/>
      <c r="DPU14" s="239"/>
      <c r="DPV14" s="239"/>
      <c r="DPW14" s="239"/>
      <c r="DPX14" s="239"/>
      <c r="DPY14" s="239"/>
      <c r="DPZ14" s="239"/>
      <c r="DQA14" s="239"/>
      <c r="DQB14" s="239"/>
      <c r="DQC14" s="239"/>
      <c r="DQD14" s="239"/>
      <c r="DQE14" s="239"/>
      <c r="DQF14" s="239"/>
      <c r="DQG14" s="239"/>
      <c r="DQH14" s="239"/>
      <c r="DQI14" s="239"/>
      <c r="DQJ14" s="239"/>
      <c r="DQK14" s="239"/>
      <c r="DQL14" s="239"/>
      <c r="DQM14" s="239"/>
      <c r="DQN14" s="239"/>
      <c r="DQO14" s="239"/>
      <c r="DQP14" s="239"/>
      <c r="DQQ14" s="239"/>
      <c r="DQR14" s="239"/>
      <c r="DQS14" s="239"/>
      <c r="DQT14" s="239"/>
      <c r="DQU14" s="239"/>
      <c r="DQV14" s="239"/>
      <c r="DQW14" s="239"/>
      <c r="DQX14" s="239"/>
      <c r="DQY14" s="239"/>
      <c r="DQZ14" s="239"/>
      <c r="DRA14" s="239"/>
      <c r="DRB14" s="239"/>
      <c r="DRC14" s="239"/>
      <c r="DRD14" s="239"/>
      <c r="DRE14" s="239"/>
      <c r="DRF14" s="239"/>
      <c r="DRG14" s="239"/>
      <c r="DRH14" s="239"/>
      <c r="DRI14" s="239"/>
      <c r="DRJ14" s="239"/>
      <c r="DRK14" s="239"/>
      <c r="DRL14" s="239"/>
      <c r="DRM14" s="239"/>
      <c r="DRN14" s="239"/>
      <c r="DRO14" s="239"/>
      <c r="DRP14" s="239"/>
      <c r="DRQ14" s="239"/>
      <c r="DRR14" s="239"/>
      <c r="DRS14" s="239"/>
      <c r="DRT14" s="239"/>
      <c r="DRU14" s="239"/>
      <c r="DRV14" s="239"/>
      <c r="DRW14" s="239"/>
      <c r="DRX14" s="239"/>
      <c r="DRY14" s="239"/>
      <c r="DRZ14" s="239"/>
      <c r="DSA14" s="239"/>
      <c r="DSB14" s="239"/>
      <c r="DSC14" s="239"/>
      <c r="DSD14" s="239"/>
      <c r="DSE14" s="239"/>
      <c r="DSF14" s="239"/>
      <c r="DSG14" s="239"/>
      <c r="DSH14" s="239"/>
      <c r="DSI14" s="239"/>
      <c r="DSJ14" s="239"/>
      <c r="DSK14" s="239"/>
      <c r="DSL14" s="239"/>
      <c r="DSM14" s="239"/>
      <c r="DSN14" s="239"/>
      <c r="DSO14" s="239"/>
      <c r="DSP14" s="239"/>
      <c r="DSQ14" s="239"/>
      <c r="DSR14" s="239"/>
      <c r="DSS14" s="239"/>
      <c r="DST14" s="239"/>
      <c r="DSU14" s="239"/>
      <c r="DSV14" s="239"/>
      <c r="DSW14" s="239"/>
      <c r="DSX14" s="239"/>
      <c r="DSY14" s="239"/>
      <c r="DSZ14" s="239"/>
      <c r="DTA14" s="239"/>
      <c r="DTB14" s="239"/>
      <c r="DTC14" s="239"/>
      <c r="DTD14" s="239"/>
      <c r="DTE14" s="239"/>
      <c r="DTF14" s="239"/>
      <c r="DTG14" s="239"/>
      <c r="DTH14" s="239"/>
      <c r="DTI14" s="239"/>
      <c r="DTJ14" s="239"/>
      <c r="DTK14" s="239"/>
      <c r="DTL14" s="239"/>
      <c r="DTM14" s="239"/>
      <c r="DTN14" s="239"/>
      <c r="DTO14" s="239"/>
      <c r="DTP14" s="239"/>
      <c r="DTQ14" s="239"/>
      <c r="DTR14" s="239"/>
      <c r="DTS14" s="239"/>
      <c r="DTT14" s="239"/>
      <c r="DTU14" s="239"/>
      <c r="DTV14" s="239"/>
      <c r="DTW14" s="239"/>
      <c r="DTX14" s="239"/>
      <c r="DTY14" s="239"/>
      <c r="DTZ14" s="239"/>
      <c r="DUA14" s="239"/>
      <c r="DUB14" s="239"/>
      <c r="DUC14" s="239"/>
      <c r="DUD14" s="239"/>
      <c r="DUE14" s="239"/>
      <c r="DUF14" s="239"/>
      <c r="DUG14" s="239"/>
      <c r="DUH14" s="239"/>
      <c r="DUI14" s="239"/>
      <c r="DUJ14" s="239"/>
      <c r="DUK14" s="239"/>
      <c r="DUL14" s="239"/>
      <c r="DUM14" s="239"/>
      <c r="DUN14" s="239"/>
      <c r="DUO14" s="239"/>
      <c r="DUP14" s="239"/>
      <c r="DUQ14" s="239"/>
      <c r="DUR14" s="239"/>
      <c r="DUS14" s="239"/>
      <c r="DUT14" s="239"/>
      <c r="DUU14" s="239"/>
      <c r="DUV14" s="239"/>
      <c r="DUW14" s="239"/>
      <c r="DUX14" s="239"/>
      <c r="DUY14" s="239"/>
      <c r="DUZ14" s="239"/>
      <c r="DVA14" s="239"/>
      <c r="DVB14" s="239"/>
      <c r="DVC14" s="239"/>
      <c r="DVD14" s="239"/>
      <c r="DVE14" s="239"/>
      <c r="DVF14" s="239"/>
      <c r="DVG14" s="239"/>
      <c r="DVH14" s="239"/>
      <c r="DVI14" s="239"/>
      <c r="DVJ14" s="239"/>
      <c r="DVK14" s="239"/>
      <c r="DVL14" s="239"/>
      <c r="DVM14" s="239"/>
      <c r="DVN14" s="239"/>
      <c r="DVO14" s="239"/>
      <c r="DVP14" s="239"/>
      <c r="DVQ14" s="239"/>
      <c r="DVR14" s="239"/>
      <c r="DVS14" s="239"/>
      <c r="DVT14" s="239"/>
      <c r="DVU14" s="239"/>
      <c r="DVV14" s="239"/>
      <c r="DVW14" s="239"/>
      <c r="DVX14" s="239"/>
      <c r="DVY14" s="239"/>
      <c r="DVZ14" s="239"/>
      <c r="DWA14" s="239"/>
      <c r="DWB14" s="239"/>
      <c r="DWC14" s="239"/>
      <c r="DWD14" s="239"/>
      <c r="DWE14" s="239"/>
      <c r="DWF14" s="239"/>
      <c r="DWG14" s="239"/>
      <c r="DWH14" s="239"/>
      <c r="DWI14" s="239"/>
      <c r="DWJ14" s="239"/>
      <c r="DWK14" s="239"/>
      <c r="DWL14" s="239"/>
      <c r="DWM14" s="239"/>
      <c r="DWN14" s="239"/>
      <c r="DWO14" s="239"/>
      <c r="DWP14" s="239"/>
      <c r="DWQ14" s="239"/>
      <c r="DWR14" s="239"/>
      <c r="DWS14" s="239"/>
      <c r="DWT14" s="239"/>
      <c r="DWU14" s="239"/>
      <c r="DWV14" s="239"/>
      <c r="DWW14" s="239"/>
      <c r="DWX14" s="239"/>
      <c r="DWY14" s="239"/>
      <c r="DWZ14" s="239"/>
      <c r="DXA14" s="239"/>
      <c r="DXB14" s="239"/>
      <c r="DXC14" s="239"/>
      <c r="DXD14" s="239"/>
      <c r="DXE14" s="239"/>
      <c r="DXF14" s="239"/>
      <c r="DXG14" s="239"/>
      <c r="DXH14" s="239"/>
      <c r="DXI14" s="239"/>
      <c r="DXJ14" s="239"/>
      <c r="DXK14" s="239"/>
      <c r="DXL14" s="239"/>
      <c r="DXM14" s="239"/>
      <c r="DXN14" s="239"/>
      <c r="DXO14" s="239"/>
      <c r="DXP14" s="239"/>
      <c r="DXQ14" s="239"/>
      <c r="DXR14" s="239"/>
      <c r="DXS14" s="239"/>
      <c r="DXT14" s="239"/>
      <c r="DXU14" s="239"/>
      <c r="DXV14" s="239"/>
      <c r="DXW14" s="239"/>
      <c r="DXX14" s="239"/>
      <c r="DXY14" s="239"/>
      <c r="DXZ14" s="239"/>
      <c r="DYA14" s="239"/>
      <c r="DYB14" s="239"/>
      <c r="DYC14" s="239"/>
      <c r="DYD14" s="239"/>
      <c r="DYE14" s="239"/>
      <c r="DYF14" s="239"/>
      <c r="DYG14" s="239"/>
      <c r="DYH14" s="239"/>
      <c r="DYI14" s="239"/>
      <c r="DYJ14" s="239"/>
      <c r="DYK14" s="239"/>
      <c r="DYL14" s="239"/>
      <c r="DYM14" s="239"/>
      <c r="DYN14" s="239"/>
      <c r="DYO14" s="239"/>
      <c r="DYP14" s="239"/>
      <c r="DYQ14" s="239"/>
      <c r="DYR14" s="239"/>
      <c r="DYS14" s="239"/>
      <c r="DYT14" s="239"/>
      <c r="DYU14" s="239"/>
      <c r="DYV14" s="239"/>
      <c r="DYW14" s="239"/>
      <c r="DYX14" s="239"/>
      <c r="DYY14" s="239"/>
      <c r="DYZ14" s="239"/>
      <c r="DZA14" s="239"/>
      <c r="DZB14" s="239"/>
      <c r="DZC14" s="239"/>
      <c r="DZD14" s="239"/>
      <c r="DZE14" s="239"/>
      <c r="DZF14" s="239"/>
      <c r="DZG14" s="239"/>
      <c r="DZH14" s="239"/>
      <c r="DZI14" s="239"/>
      <c r="DZJ14" s="239"/>
      <c r="DZK14" s="239"/>
      <c r="DZL14" s="239"/>
      <c r="DZM14" s="239"/>
      <c r="DZN14" s="239"/>
      <c r="DZO14" s="239"/>
      <c r="DZP14" s="239"/>
      <c r="DZQ14" s="239"/>
      <c r="DZR14" s="239"/>
      <c r="DZS14" s="239"/>
      <c r="DZT14" s="239"/>
      <c r="DZU14" s="239"/>
      <c r="DZV14" s="239"/>
      <c r="DZW14" s="239"/>
      <c r="DZX14" s="239"/>
      <c r="DZY14" s="239"/>
      <c r="DZZ14" s="239"/>
      <c r="EAA14" s="239"/>
      <c r="EAB14" s="239"/>
      <c r="EAC14" s="239"/>
      <c r="EAD14" s="239"/>
      <c r="EAE14" s="239"/>
      <c r="EAF14" s="239"/>
      <c r="EAG14" s="239"/>
      <c r="EAH14" s="239"/>
      <c r="EAI14" s="239"/>
      <c r="EAJ14" s="239"/>
      <c r="EAK14" s="239"/>
      <c r="EAL14" s="239"/>
      <c r="EAM14" s="239"/>
      <c r="EAN14" s="239"/>
      <c r="EAO14" s="239"/>
      <c r="EAP14" s="239"/>
      <c r="EAQ14" s="239"/>
      <c r="EAR14" s="239"/>
      <c r="EAS14" s="239"/>
      <c r="EAT14" s="239"/>
      <c r="EAU14" s="239"/>
      <c r="EAV14" s="239"/>
      <c r="EAW14" s="239"/>
      <c r="EAX14" s="239"/>
      <c r="EAY14" s="239"/>
      <c r="EAZ14" s="239"/>
      <c r="EBA14" s="239"/>
      <c r="EBB14" s="239"/>
      <c r="EBC14" s="239"/>
      <c r="EBD14" s="239"/>
      <c r="EBE14" s="239"/>
      <c r="EBF14" s="239"/>
      <c r="EBG14" s="239"/>
      <c r="EBH14" s="239"/>
      <c r="EBI14" s="239"/>
      <c r="EBJ14" s="239"/>
      <c r="EBK14" s="239"/>
      <c r="EBL14" s="239"/>
      <c r="EBM14" s="239"/>
      <c r="EBN14" s="239"/>
      <c r="EBO14" s="239"/>
      <c r="EBP14" s="239"/>
      <c r="EBQ14" s="239"/>
      <c r="EBR14" s="239"/>
      <c r="EBS14" s="239"/>
      <c r="EBT14" s="239"/>
      <c r="EBU14" s="239"/>
      <c r="EBV14" s="239"/>
      <c r="EBW14" s="239"/>
      <c r="EBX14" s="239"/>
      <c r="EBY14" s="239"/>
      <c r="EBZ14" s="239"/>
      <c r="ECA14" s="239"/>
      <c r="ECB14" s="239"/>
      <c r="ECC14" s="239"/>
      <c r="ECD14" s="239"/>
      <c r="ECE14" s="239"/>
      <c r="ECF14" s="239"/>
      <c r="ECG14" s="239"/>
      <c r="ECH14" s="239"/>
      <c r="ECI14" s="239"/>
      <c r="ECJ14" s="239"/>
      <c r="ECK14" s="239"/>
      <c r="ECL14" s="239"/>
      <c r="ECM14" s="239"/>
      <c r="ECN14" s="239"/>
      <c r="ECO14" s="239"/>
      <c r="ECP14" s="239"/>
      <c r="ECQ14" s="239"/>
      <c r="ECR14" s="239"/>
      <c r="ECS14" s="239"/>
      <c r="ECT14" s="239"/>
      <c r="ECU14" s="239"/>
      <c r="ECV14" s="239"/>
      <c r="ECW14" s="239"/>
      <c r="ECX14" s="239"/>
      <c r="ECY14" s="239"/>
      <c r="ECZ14" s="239"/>
      <c r="EDA14" s="239"/>
      <c r="EDB14" s="239"/>
      <c r="EDC14" s="239"/>
      <c r="EDD14" s="239"/>
      <c r="EDE14" s="239"/>
      <c r="EDF14" s="239"/>
      <c r="EDG14" s="239"/>
      <c r="EDH14" s="239"/>
      <c r="EDI14" s="239"/>
      <c r="EDJ14" s="239"/>
      <c r="EDK14" s="239"/>
      <c r="EDL14" s="239"/>
      <c r="EDM14" s="239"/>
      <c r="EDN14" s="239"/>
      <c r="EDO14" s="239"/>
      <c r="EDP14" s="239"/>
      <c r="EDQ14" s="239"/>
      <c r="EDR14" s="239"/>
      <c r="EDS14" s="239"/>
      <c r="EDT14" s="239"/>
      <c r="EDU14" s="239"/>
      <c r="EDV14" s="239"/>
      <c r="EDW14" s="239"/>
      <c r="EDX14" s="239"/>
      <c r="EDY14" s="239"/>
      <c r="EDZ14" s="239"/>
      <c r="EEA14" s="239"/>
      <c r="EEB14" s="239"/>
      <c r="EEC14" s="239"/>
      <c r="EED14" s="239"/>
      <c r="EEE14" s="239"/>
      <c r="EEF14" s="239"/>
      <c r="EEG14" s="239"/>
      <c r="EEH14" s="239"/>
      <c r="EEI14" s="239"/>
      <c r="EEJ14" s="239"/>
      <c r="EEK14" s="239"/>
      <c r="EEL14" s="239"/>
      <c r="EEM14" s="239"/>
      <c r="EEN14" s="239"/>
      <c r="EEO14" s="239"/>
      <c r="EEP14" s="239"/>
      <c r="EEQ14" s="239"/>
      <c r="EER14" s="239"/>
      <c r="EES14" s="239"/>
      <c r="EET14" s="239"/>
      <c r="EEU14" s="239"/>
      <c r="EEV14" s="239"/>
      <c r="EEW14" s="239"/>
      <c r="EEX14" s="239"/>
      <c r="EEY14" s="239"/>
      <c r="EEZ14" s="239"/>
      <c r="EFA14" s="239"/>
      <c r="EFB14" s="239"/>
      <c r="EFC14" s="239"/>
      <c r="EFD14" s="239"/>
      <c r="EFE14" s="239"/>
      <c r="EFF14" s="239"/>
      <c r="EFG14" s="239"/>
      <c r="EFH14" s="239"/>
      <c r="EFI14" s="239"/>
      <c r="EFJ14" s="239"/>
      <c r="EFK14" s="239"/>
      <c r="EFL14" s="239"/>
      <c r="EFM14" s="239"/>
      <c r="EFN14" s="239"/>
      <c r="EFO14" s="239"/>
      <c r="EFP14" s="239"/>
      <c r="EFQ14" s="239"/>
      <c r="EFR14" s="239"/>
      <c r="EFS14" s="239"/>
      <c r="EFT14" s="239"/>
      <c r="EFU14" s="239"/>
      <c r="EFV14" s="239"/>
      <c r="EFW14" s="239"/>
      <c r="EFX14" s="239"/>
      <c r="EFY14" s="239"/>
      <c r="EFZ14" s="239"/>
      <c r="EGA14" s="239"/>
      <c r="EGB14" s="239"/>
      <c r="EGC14" s="239"/>
      <c r="EGD14" s="239"/>
      <c r="EGE14" s="239"/>
      <c r="EGF14" s="239"/>
      <c r="EGG14" s="239"/>
      <c r="EGH14" s="239"/>
      <c r="EGI14" s="239"/>
      <c r="EGJ14" s="239"/>
      <c r="EGK14" s="239"/>
      <c r="EGL14" s="239"/>
      <c r="EGM14" s="239"/>
      <c r="EGN14" s="239"/>
      <c r="EGO14" s="239"/>
      <c r="EGP14" s="239"/>
      <c r="EGQ14" s="239"/>
      <c r="EGR14" s="239"/>
      <c r="EGS14" s="239"/>
      <c r="EGT14" s="239"/>
      <c r="EGU14" s="239"/>
      <c r="EGV14" s="239"/>
      <c r="EGW14" s="239"/>
      <c r="EGX14" s="239"/>
      <c r="EGY14" s="239"/>
      <c r="EGZ14" s="239"/>
      <c r="EHA14" s="239"/>
      <c r="EHB14" s="239"/>
      <c r="EHC14" s="239"/>
      <c r="EHD14" s="239"/>
      <c r="EHE14" s="239"/>
      <c r="EHF14" s="239"/>
      <c r="EHG14" s="239"/>
      <c r="EHH14" s="239"/>
      <c r="EHI14" s="239"/>
      <c r="EHJ14" s="239"/>
      <c r="EHK14" s="239"/>
      <c r="EHL14" s="239"/>
      <c r="EHM14" s="239"/>
      <c r="EHN14" s="239"/>
      <c r="EHO14" s="239"/>
      <c r="EHP14" s="239"/>
      <c r="EHQ14" s="239"/>
      <c r="EHR14" s="239"/>
      <c r="EHS14" s="239"/>
      <c r="EHT14" s="239"/>
      <c r="EHU14" s="239"/>
      <c r="EHV14" s="239"/>
      <c r="EHW14" s="239"/>
      <c r="EHX14" s="239"/>
      <c r="EHY14" s="239"/>
      <c r="EHZ14" s="239"/>
      <c r="EIA14" s="239"/>
      <c r="EIB14" s="239"/>
      <c r="EIC14" s="239"/>
      <c r="EID14" s="239"/>
      <c r="EIE14" s="239"/>
      <c r="EIF14" s="239"/>
      <c r="EIG14" s="239"/>
      <c r="EIH14" s="239"/>
      <c r="EII14" s="239"/>
      <c r="EIJ14" s="239"/>
      <c r="EIK14" s="239"/>
      <c r="EIL14" s="239"/>
      <c r="EIM14" s="239"/>
      <c r="EIN14" s="239"/>
      <c r="EIO14" s="239"/>
      <c r="EIP14" s="239"/>
      <c r="EIQ14" s="239"/>
      <c r="EIR14" s="239"/>
      <c r="EIS14" s="239"/>
      <c r="EIT14" s="239"/>
      <c r="EIU14" s="239"/>
      <c r="EIV14" s="239"/>
      <c r="EIW14" s="239"/>
      <c r="EIX14" s="239"/>
      <c r="EIY14" s="239"/>
      <c r="EIZ14" s="239"/>
      <c r="EJA14" s="239"/>
      <c r="EJB14" s="239"/>
      <c r="EJC14" s="239"/>
      <c r="EJD14" s="239"/>
      <c r="EJE14" s="239"/>
      <c r="EJF14" s="239"/>
      <c r="EJG14" s="239"/>
      <c r="EJH14" s="239"/>
      <c r="EJI14" s="239"/>
      <c r="EJJ14" s="239"/>
      <c r="EJK14" s="239"/>
      <c r="EJL14" s="239"/>
      <c r="EJM14" s="239"/>
      <c r="EJN14" s="239"/>
      <c r="EJO14" s="239"/>
      <c r="EJP14" s="239"/>
      <c r="EJQ14" s="239"/>
      <c r="EJR14" s="239"/>
      <c r="EJS14" s="239"/>
      <c r="EJT14" s="239"/>
      <c r="EJU14" s="239"/>
      <c r="EJV14" s="239"/>
      <c r="EJW14" s="239"/>
      <c r="EJX14" s="239"/>
      <c r="EJY14" s="239"/>
      <c r="EJZ14" s="239"/>
      <c r="EKA14" s="239"/>
      <c r="EKB14" s="239"/>
      <c r="EKC14" s="239"/>
      <c r="EKD14" s="239"/>
      <c r="EKE14" s="239"/>
      <c r="EKF14" s="239"/>
      <c r="EKG14" s="239"/>
      <c r="EKH14" s="239"/>
      <c r="EKI14" s="239"/>
      <c r="EKJ14" s="239"/>
      <c r="EKK14" s="239"/>
      <c r="EKL14" s="239"/>
      <c r="EKM14" s="239"/>
      <c r="EKN14" s="239"/>
      <c r="EKO14" s="239"/>
      <c r="EKP14" s="239"/>
      <c r="EKQ14" s="239"/>
      <c r="EKR14" s="239"/>
      <c r="EKS14" s="239"/>
      <c r="EKT14" s="239"/>
      <c r="EKU14" s="239"/>
      <c r="EKV14" s="239"/>
      <c r="EKW14" s="239"/>
      <c r="EKX14" s="239"/>
      <c r="EKY14" s="239"/>
      <c r="EKZ14" s="239"/>
      <c r="ELA14" s="239"/>
      <c r="ELB14" s="239"/>
      <c r="ELC14" s="239"/>
      <c r="ELD14" s="239"/>
      <c r="ELE14" s="239"/>
      <c r="ELF14" s="239"/>
      <c r="ELG14" s="239"/>
      <c r="ELH14" s="239"/>
      <c r="ELI14" s="239"/>
      <c r="ELJ14" s="239"/>
      <c r="ELK14" s="239"/>
      <c r="ELL14" s="239"/>
      <c r="ELM14" s="239"/>
      <c r="ELN14" s="239"/>
      <c r="ELO14" s="239"/>
      <c r="ELP14" s="239"/>
      <c r="ELQ14" s="239"/>
      <c r="ELR14" s="239"/>
      <c r="ELS14" s="239"/>
      <c r="ELT14" s="239"/>
      <c r="ELU14" s="239"/>
      <c r="ELV14" s="239"/>
      <c r="ELW14" s="239"/>
      <c r="ELX14" s="239"/>
      <c r="ELY14" s="239"/>
      <c r="ELZ14" s="239"/>
      <c r="EMA14" s="239"/>
      <c r="EMB14" s="239"/>
      <c r="EMC14" s="239"/>
      <c r="EMD14" s="239"/>
      <c r="EME14" s="239"/>
      <c r="EMF14" s="239"/>
      <c r="EMG14" s="239"/>
      <c r="EMH14" s="239"/>
      <c r="EMI14" s="239"/>
      <c r="EMJ14" s="239"/>
      <c r="EMK14" s="239"/>
      <c r="EML14" s="239"/>
      <c r="EMM14" s="239"/>
      <c r="EMN14" s="239"/>
      <c r="EMO14" s="239"/>
      <c r="EMP14" s="239"/>
      <c r="EMQ14" s="239"/>
      <c r="EMR14" s="239"/>
      <c r="EMS14" s="239"/>
      <c r="EMT14" s="239"/>
      <c r="EMU14" s="239"/>
      <c r="EMV14" s="239"/>
      <c r="EMW14" s="239"/>
      <c r="EMX14" s="239"/>
      <c r="EMY14" s="239"/>
      <c r="EMZ14" s="239"/>
      <c r="ENA14" s="239"/>
      <c r="ENB14" s="239"/>
      <c r="ENC14" s="239"/>
      <c r="END14" s="239"/>
      <c r="ENE14" s="239"/>
      <c r="ENF14" s="239"/>
      <c r="ENG14" s="239"/>
      <c r="ENH14" s="239"/>
      <c r="ENI14" s="239"/>
      <c r="ENJ14" s="239"/>
      <c r="ENK14" s="239"/>
      <c r="ENL14" s="239"/>
      <c r="ENM14" s="239"/>
      <c r="ENN14" s="239"/>
      <c r="ENO14" s="239"/>
      <c r="ENP14" s="239"/>
      <c r="ENQ14" s="239"/>
      <c r="ENR14" s="239"/>
      <c r="ENS14" s="239"/>
      <c r="ENT14" s="239"/>
      <c r="ENU14" s="239"/>
      <c r="ENV14" s="239"/>
      <c r="ENW14" s="239"/>
      <c r="ENX14" s="239"/>
      <c r="ENY14" s="239"/>
      <c r="ENZ14" s="239"/>
      <c r="EOA14" s="239"/>
      <c r="EOB14" s="239"/>
      <c r="EOC14" s="239"/>
      <c r="EOD14" s="239"/>
      <c r="EOE14" s="239"/>
      <c r="EOF14" s="239"/>
      <c r="EOG14" s="239"/>
      <c r="EOH14" s="239"/>
      <c r="EOI14" s="239"/>
      <c r="EOJ14" s="239"/>
      <c r="EOK14" s="239"/>
      <c r="EOL14" s="239"/>
      <c r="EOM14" s="239"/>
      <c r="EON14" s="239"/>
      <c r="EOO14" s="239"/>
      <c r="EOP14" s="239"/>
      <c r="EOQ14" s="239"/>
      <c r="EOR14" s="239"/>
      <c r="EOS14" s="239"/>
      <c r="EOT14" s="239"/>
      <c r="EOU14" s="239"/>
      <c r="EOV14" s="239"/>
      <c r="EOW14" s="239"/>
      <c r="EOX14" s="239"/>
      <c r="EOY14" s="239"/>
      <c r="EOZ14" s="239"/>
      <c r="EPA14" s="239"/>
      <c r="EPB14" s="239"/>
      <c r="EPC14" s="239"/>
      <c r="EPD14" s="239"/>
      <c r="EPE14" s="239"/>
      <c r="EPF14" s="239"/>
      <c r="EPG14" s="239"/>
      <c r="EPH14" s="239"/>
      <c r="EPI14" s="239"/>
      <c r="EPJ14" s="239"/>
      <c r="EPK14" s="239"/>
      <c r="EPL14" s="239"/>
      <c r="EPM14" s="239"/>
      <c r="EPN14" s="239"/>
      <c r="EPO14" s="239"/>
      <c r="EPP14" s="239"/>
      <c r="EPQ14" s="239"/>
      <c r="EPR14" s="239"/>
      <c r="EPS14" s="239"/>
      <c r="EPT14" s="239"/>
      <c r="EPU14" s="239"/>
      <c r="EPV14" s="239"/>
      <c r="EPW14" s="239"/>
      <c r="EPX14" s="239"/>
      <c r="EPY14" s="239"/>
      <c r="EPZ14" s="239"/>
      <c r="EQA14" s="239"/>
      <c r="EQB14" s="239"/>
      <c r="EQC14" s="239"/>
      <c r="EQD14" s="239"/>
      <c r="EQE14" s="239"/>
      <c r="EQF14" s="239"/>
      <c r="EQG14" s="239"/>
      <c r="EQH14" s="239"/>
      <c r="EQI14" s="239"/>
      <c r="EQJ14" s="239"/>
      <c r="EQK14" s="239"/>
      <c r="EQL14" s="239"/>
      <c r="EQM14" s="239"/>
      <c r="EQN14" s="239"/>
      <c r="EQO14" s="239"/>
      <c r="EQP14" s="239"/>
      <c r="EQQ14" s="239"/>
      <c r="EQR14" s="239"/>
      <c r="EQS14" s="239"/>
      <c r="EQT14" s="239"/>
      <c r="EQU14" s="239"/>
      <c r="EQV14" s="239"/>
      <c r="EQW14" s="239"/>
      <c r="EQX14" s="239"/>
      <c r="EQY14" s="239"/>
      <c r="EQZ14" s="239"/>
      <c r="ERA14" s="239"/>
      <c r="ERB14" s="239"/>
      <c r="ERC14" s="239"/>
      <c r="ERD14" s="239"/>
      <c r="ERE14" s="239"/>
      <c r="ERF14" s="239"/>
      <c r="ERG14" s="239"/>
      <c r="ERH14" s="239"/>
      <c r="ERI14" s="239"/>
      <c r="ERJ14" s="239"/>
      <c r="ERK14" s="239"/>
      <c r="ERL14" s="239"/>
      <c r="ERM14" s="239"/>
      <c r="ERN14" s="239"/>
      <c r="ERO14" s="239"/>
      <c r="ERP14" s="239"/>
      <c r="ERQ14" s="239"/>
      <c r="ERR14" s="239"/>
      <c r="ERS14" s="239"/>
      <c r="ERT14" s="239"/>
      <c r="ERU14" s="239"/>
      <c r="ERV14" s="239"/>
      <c r="ERW14" s="239"/>
      <c r="ERX14" s="239"/>
      <c r="ERY14" s="239"/>
      <c r="ERZ14" s="239"/>
      <c r="ESA14" s="239"/>
      <c r="ESB14" s="239"/>
      <c r="ESC14" s="239"/>
      <c r="ESD14" s="239"/>
      <c r="ESE14" s="239"/>
      <c r="ESF14" s="239"/>
      <c r="ESG14" s="239"/>
      <c r="ESH14" s="239"/>
      <c r="ESI14" s="239"/>
      <c r="ESJ14" s="239"/>
      <c r="ESK14" s="239"/>
      <c r="ESL14" s="239"/>
      <c r="ESM14" s="239"/>
      <c r="ESN14" s="239"/>
      <c r="ESO14" s="239"/>
      <c r="ESP14" s="239"/>
      <c r="ESQ14" s="239"/>
      <c r="ESR14" s="239"/>
      <c r="ESS14" s="239"/>
      <c r="EST14" s="239"/>
      <c r="ESU14" s="239"/>
      <c r="ESV14" s="239"/>
      <c r="ESW14" s="239"/>
      <c r="ESX14" s="239"/>
      <c r="ESY14" s="239"/>
      <c r="ESZ14" s="239"/>
      <c r="ETA14" s="239"/>
      <c r="ETB14" s="239"/>
      <c r="ETC14" s="239"/>
      <c r="ETD14" s="239"/>
      <c r="ETE14" s="239"/>
      <c r="ETF14" s="239"/>
      <c r="ETG14" s="239"/>
      <c r="ETH14" s="239"/>
      <c r="ETI14" s="239"/>
      <c r="ETJ14" s="239"/>
      <c r="ETK14" s="239"/>
      <c r="ETL14" s="239"/>
      <c r="ETM14" s="239"/>
      <c r="ETN14" s="239"/>
      <c r="ETO14" s="239"/>
      <c r="ETP14" s="239"/>
      <c r="ETQ14" s="239"/>
      <c r="ETR14" s="239"/>
      <c r="ETS14" s="239"/>
      <c r="ETT14" s="239"/>
      <c r="ETU14" s="239"/>
      <c r="ETV14" s="239"/>
      <c r="ETW14" s="239"/>
      <c r="ETX14" s="239"/>
      <c r="ETY14" s="239"/>
      <c r="ETZ14" s="239"/>
      <c r="EUA14" s="239"/>
      <c r="EUB14" s="239"/>
      <c r="EUC14" s="239"/>
      <c r="EUD14" s="239"/>
      <c r="EUE14" s="239"/>
      <c r="EUF14" s="239"/>
      <c r="EUG14" s="239"/>
      <c r="EUH14" s="239"/>
      <c r="EUI14" s="239"/>
      <c r="EUJ14" s="239"/>
      <c r="EUK14" s="239"/>
      <c r="EUL14" s="239"/>
      <c r="EUM14" s="239"/>
      <c r="EUN14" s="239"/>
      <c r="EUO14" s="239"/>
      <c r="EUP14" s="239"/>
      <c r="EUQ14" s="239"/>
      <c r="EUR14" s="239"/>
      <c r="EUS14" s="239"/>
      <c r="EUT14" s="239"/>
      <c r="EUU14" s="239"/>
      <c r="EUV14" s="239"/>
      <c r="EUW14" s="239"/>
      <c r="EUX14" s="239"/>
      <c r="EUY14" s="239"/>
      <c r="EUZ14" s="239"/>
      <c r="EVA14" s="239"/>
      <c r="EVB14" s="239"/>
      <c r="EVC14" s="239"/>
      <c r="EVD14" s="239"/>
      <c r="EVE14" s="239"/>
      <c r="EVF14" s="239"/>
      <c r="EVG14" s="239"/>
      <c r="EVH14" s="239"/>
      <c r="EVI14" s="239"/>
      <c r="EVJ14" s="239"/>
      <c r="EVK14" s="239"/>
      <c r="EVL14" s="239"/>
      <c r="EVM14" s="239"/>
      <c r="EVN14" s="239"/>
      <c r="EVO14" s="239"/>
      <c r="EVP14" s="239"/>
      <c r="EVQ14" s="239"/>
      <c r="EVR14" s="239"/>
      <c r="EVS14" s="239"/>
      <c r="EVT14" s="239"/>
      <c r="EVU14" s="239"/>
      <c r="EVV14" s="239"/>
      <c r="EVW14" s="239"/>
      <c r="EVX14" s="239"/>
      <c r="EVY14" s="239"/>
      <c r="EVZ14" s="239"/>
      <c r="EWA14" s="239"/>
      <c r="EWB14" s="239"/>
      <c r="EWC14" s="239"/>
      <c r="EWD14" s="239"/>
      <c r="EWE14" s="239"/>
      <c r="EWF14" s="239"/>
      <c r="EWG14" s="239"/>
      <c r="EWH14" s="239"/>
      <c r="EWI14" s="239"/>
      <c r="EWJ14" s="239"/>
      <c r="EWK14" s="239"/>
      <c r="EWL14" s="239"/>
      <c r="EWM14" s="239"/>
      <c r="EWN14" s="239"/>
      <c r="EWO14" s="239"/>
      <c r="EWP14" s="239"/>
      <c r="EWQ14" s="239"/>
      <c r="EWR14" s="239"/>
      <c r="EWS14" s="239"/>
      <c r="EWT14" s="239"/>
      <c r="EWU14" s="239"/>
      <c r="EWV14" s="239"/>
      <c r="EWW14" s="239"/>
      <c r="EWX14" s="239"/>
      <c r="EWY14" s="239"/>
      <c r="EWZ14" s="239"/>
      <c r="EXA14" s="239"/>
      <c r="EXB14" s="239"/>
      <c r="EXC14" s="239"/>
      <c r="EXD14" s="239"/>
      <c r="EXE14" s="239"/>
      <c r="EXF14" s="239"/>
      <c r="EXG14" s="239"/>
      <c r="EXH14" s="239"/>
      <c r="EXI14" s="239"/>
      <c r="EXJ14" s="239"/>
      <c r="EXK14" s="239"/>
      <c r="EXL14" s="239"/>
      <c r="EXM14" s="239"/>
      <c r="EXN14" s="239"/>
      <c r="EXO14" s="239"/>
      <c r="EXP14" s="239"/>
      <c r="EXQ14" s="239"/>
      <c r="EXR14" s="239"/>
      <c r="EXS14" s="239"/>
      <c r="EXT14" s="239"/>
      <c r="EXU14" s="239"/>
      <c r="EXV14" s="239"/>
      <c r="EXW14" s="239"/>
      <c r="EXX14" s="239"/>
      <c r="EXY14" s="239"/>
      <c r="EXZ14" s="239"/>
      <c r="EYA14" s="239"/>
      <c r="EYB14" s="239"/>
      <c r="EYC14" s="239"/>
      <c r="EYD14" s="239"/>
      <c r="EYE14" s="239"/>
      <c r="EYF14" s="239"/>
      <c r="EYG14" s="239"/>
      <c r="EYH14" s="239"/>
      <c r="EYI14" s="239"/>
      <c r="EYJ14" s="239"/>
      <c r="EYK14" s="239"/>
      <c r="EYL14" s="239"/>
      <c r="EYM14" s="239"/>
      <c r="EYN14" s="239"/>
      <c r="EYO14" s="239"/>
      <c r="EYP14" s="239"/>
      <c r="EYQ14" s="239"/>
      <c r="EYR14" s="239"/>
      <c r="EYS14" s="239"/>
      <c r="EYT14" s="239"/>
      <c r="EYU14" s="239"/>
      <c r="EYV14" s="239"/>
      <c r="EYW14" s="239"/>
      <c r="EYX14" s="239"/>
      <c r="EYY14" s="239"/>
      <c r="EYZ14" s="239"/>
      <c r="EZA14" s="239"/>
      <c r="EZB14" s="239"/>
      <c r="EZC14" s="239"/>
      <c r="EZD14" s="239"/>
      <c r="EZE14" s="239"/>
      <c r="EZF14" s="239"/>
      <c r="EZG14" s="239"/>
      <c r="EZH14" s="239"/>
      <c r="EZI14" s="239"/>
      <c r="EZJ14" s="239"/>
      <c r="EZK14" s="239"/>
      <c r="EZL14" s="239"/>
      <c r="EZM14" s="239"/>
      <c r="EZN14" s="239"/>
      <c r="EZO14" s="239"/>
      <c r="EZP14" s="239"/>
      <c r="EZQ14" s="239"/>
      <c r="EZR14" s="239"/>
      <c r="EZS14" s="239"/>
      <c r="EZT14" s="239"/>
      <c r="EZU14" s="239"/>
      <c r="EZV14" s="239"/>
      <c r="EZW14" s="239"/>
      <c r="EZX14" s="239"/>
      <c r="EZY14" s="239"/>
      <c r="EZZ14" s="239"/>
      <c r="FAA14" s="239"/>
      <c r="FAB14" s="239"/>
      <c r="FAC14" s="239"/>
      <c r="FAD14" s="239"/>
      <c r="FAE14" s="239"/>
      <c r="FAF14" s="239"/>
      <c r="FAG14" s="239"/>
      <c r="FAH14" s="239"/>
      <c r="FAI14" s="239"/>
      <c r="FAJ14" s="239"/>
      <c r="FAK14" s="239"/>
      <c r="FAL14" s="239"/>
      <c r="FAM14" s="239"/>
      <c r="FAN14" s="239"/>
      <c r="FAO14" s="239"/>
      <c r="FAP14" s="239"/>
      <c r="FAQ14" s="239"/>
      <c r="FAR14" s="239"/>
      <c r="FAS14" s="239"/>
      <c r="FAT14" s="239"/>
      <c r="FAU14" s="239"/>
      <c r="FAV14" s="239"/>
      <c r="FAW14" s="239"/>
      <c r="FAX14" s="239"/>
      <c r="FAY14" s="239"/>
      <c r="FAZ14" s="239"/>
      <c r="FBA14" s="239"/>
      <c r="FBB14" s="239"/>
      <c r="FBC14" s="239"/>
      <c r="FBD14" s="239"/>
      <c r="FBE14" s="239"/>
      <c r="FBF14" s="239"/>
      <c r="FBG14" s="239"/>
      <c r="FBH14" s="239"/>
      <c r="FBI14" s="239"/>
      <c r="FBJ14" s="239"/>
      <c r="FBK14" s="239"/>
      <c r="FBL14" s="239"/>
      <c r="FBM14" s="239"/>
      <c r="FBN14" s="239"/>
      <c r="FBO14" s="239"/>
      <c r="FBP14" s="239"/>
      <c r="FBQ14" s="239"/>
      <c r="FBR14" s="239"/>
      <c r="FBS14" s="239"/>
      <c r="FBT14" s="239"/>
      <c r="FBU14" s="239"/>
      <c r="FBV14" s="239"/>
      <c r="FBW14" s="239"/>
      <c r="FBX14" s="239"/>
      <c r="FBY14" s="239"/>
      <c r="FBZ14" s="239"/>
      <c r="FCA14" s="239"/>
      <c r="FCB14" s="239"/>
      <c r="FCC14" s="239"/>
      <c r="FCD14" s="239"/>
      <c r="FCE14" s="239"/>
      <c r="FCF14" s="239"/>
      <c r="FCG14" s="239"/>
      <c r="FCH14" s="239"/>
      <c r="FCI14" s="239"/>
      <c r="FCJ14" s="239"/>
      <c r="FCK14" s="239"/>
      <c r="FCL14" s="239"/>
      <c r="FCM14" s="239"/>
      <c r="FCN14" s="239"/>
      <c r="FCO14" s="239"/>
      <c r="FCP14" s="239"/>
      <c r="FCQ14" s="239"/>
      <c r="FCR14" s="239"/>
      <c r="FCS14" s="239"/>
      <c r="FCT14" s="239"/>
      <c r="FCU14" s="239"/>
      <c r="FCV14" s="239"/>
      <c r="FCW14" s="239"/>
      <c r="FCX14" s="239"/>
      <c r="FCY14" s="239"/>
      <c r="FCZ14" s="239"/>
      <c r="FDA14" s="239"/>
      <c r="FDB14" s="239"/>
      <c r="FDC14" s="239"/>
      <c r="FDD14" s="239"/>
      <c r="FDE14" s="239"/>
      <c r="FDF14" s="239"/>
      <c r="FDG14" s="239"/>
      <c r="FDH14" s="239"/>
      <c r="FDI14" s="239"/>
      <c r="FDJ14" s="239"/>
      <c r="FDK14" s="239"/>
      <c r="FDL14" s="239"/>
      <c r="FDM14" s="239"/>
      <c r="FDN14" s="239"/>
      <c r="FDO14" s="239"/>
      <c r="FDP14" s="239"/>
      <c r="FDQ14" s="239"/>
      <c r="FDR14" s="239"/>
      <c r="FDS14" s="239"/>
      <c r="FDT14" s="239"/>
      <c r="FDU14" s="239"/>
      <c r="FDV14" s="239"/>
      <c r="FDW14" s="239"/>
      <c r="FDX14" s="239"/>
      <c r="FDY14" s="239"/>
      <c r="FDZ14" s="239"/>
      <c r="FEA14" s="239"/>
      <c r="FEB14" s="239"/>
      <c r="FEC14" s="239"/>
      <c r="FED14" s="239"/>
      <c r="FEE14" s="239"/>
      <c r="FEF14" s="239"/>
      <c r="FEG14" s="239"/>
      <c r="FEH14" s="239"/>
      <c r="FEI14" s="239"/>
      <c r="FEJ14" s="239"/>
      <c r="FEK14" s="239"/>
      <c r="FEL14" s="239"/>
      <c r="FEM14" s="239"/>
      <c r="FEN14" s="239"/>
      <c r="FEO14" s="239"/>
      <c r="FEP14" s="239"/>
      <c r="FEQ14" s="239"/>
      <c r="FER14" s="239"/>
      <c r="FES14" s="239"/>
      <c r="FET14" s="239"/>
      <c r="FEU14" s="239"/>
      <c r="FEV14" s="239"/>
      <c r="FEW14" s="239"/>
      <c r="FEX14" s="239"/>
      <c r="FEY14" s="239"/>
      <c r="FEZ14" s="239"/>
      <c r="FFA14" s="239"/>
      <c r="FFB14" s="239"/>
      <c r="FFC14" s="239"/>
      <c r="FFD14" s="239"/>
      <c r="FFE14" s="239"/>
      <c r="FFF14" s="239"/>
      <c r="FFG14" s="239"/>
      <c r="FFH14" s="239"/>
      <c r="FFI14" s="239"/>
      <c r="FFJ14" s="239"/>
      <c r="FFK14" s="239"/>
      <c r="FFL14" s="239"/>
      <c r="FFM14" s="239"/>
      <c r="FFN14" s="239"/>
      <c r="FFO14" s="239"/>
      <c r="FFP14" s="239"/>
      <c r="FFQ14" s="239"/>
      <c r="FFR14" s="239"/>
      <c r="FFS14" s="239"/>
      <c r="FFT14" s="239"/>
      <c r="FFU14" s="239"/>
      <c r="FFV14" s="239"/>
      <c r="FFW14" s="239"/>
      <c r="FFX14" s="239"/>
      <c r="FFY14" s="239"/>
      <c r="FFZ14" s="239"/>
      <c r="FGA14" s="239"/>
      <c r="FGB14" s="239"/>
      <c r="FGC14" s="239"/>
      <c r="FGD14" s="239"/>
      <c r="FGE14" s="239"/>
      <c r="FGF14" s="239"/>
      <c r="FGG14" s="239"/>
      <c r="FGH14" s="239"/>
      <c r="FGI14" s="239"/>
      <c r="FGJ14" s="239"/>
      <c r="FGK14" s="239"/>
      <c r="FGL14" s="239"/>
      <c r="FGM14" s="239"/>
      <c r="FGN14" s="239"/>
      <c r="FGO14" s="239"/>
      <c r="FGP14" s="239"/>
      <c r="FGQ14" s="239"/>
      <c r="FGR14" s="239"/>
      <c r="FGS14" s="239"/>
      <c r="FGT14" s="239"/>
      <c r="FGU14" s="239"/>
      <c r="FGV14" s="239"/>
      <c r="FGW14" s="239"/>
      <c r="FGX14" s="239"/>
      <c r="FGY14" s="239"/>
      <c r="FGZ14" s="239"/>
      <c r="FHA14" s="239"/>
      <c r="FHB14" s="239"/>
      <c r="FHC14" s="239"/>
      <c r="FHD14" s="239"/>
      <c r="FHE14" s="239"/>
      <c r="FHF14" s="239"/>
      <c r="FHG14" s="239"/>
      <c r="FHH14" s="239"/>
      <c r="FHI14" s="239"/>
      <c r="FHJ14" s="239"/>
      <c r="FHK14" s="239"/>
      <c r="FHL14" s="239"/>
      <c r="FHM14" s="239"/>
      <c r="FHN14" s="239"/>
      <c r="FHO14" s="239"/>
      <c r="FHP14" s="239"/>
      <c r="FHQ14" s="239"/>
      <c r="FHR14" s="239"/>
      <c r="FHS14" s="239"/>
      <c r="FHT14" s="239"/>
      <c r="FHU14" s="239"/>
      <c r="FHV14" s="239"/>
      <c r="FHW14" s="239"/>
      <c r="FHX14" s="239"/>
      <c r="FHY14" s="239"/>
      <c r="FHZ14" s="239"/>
      <c r="FIA14" s="239"/>
      <c r="FIB14" s="239"/>
      <c r="FIC14" s="239"/>
      <c r="FID14" s="239"/>
      <c r="FIE14" s="239"/>
      <c r="FIF14" s="239"/>
      <c r="FIG14" s="239"/>
      <c r="FIH14" s="239"/>
      <c r="FII14" s="239"/>
      <c r="FIJ14" s="239"/>
      <c r="FIK14" s="239"/>
      <c r="FIL14" s="239"/>
      <c r="FIM14" s="239"/>
      <c r="FIN14" s="239"/>
      <c r="FIO14" s="239"/>
      <c r="FIP14" s="239"/>
      <c r="FIQ14" s="239"/>
      <c r="FIR14" s="239"/>
      <c r="FIS14" s="239"/>
      <c r="FIT14" s="239"/>
      <c r="FIU14" s="239"/>
      <c r="FIV14" s="239"/>
      <c r="FIW14" s="239"/>
      <c r="FIX14" s="239"/>
      <c r="FIY14" s="239"/>
      <c r="FIZ14" s="239"/>
      <c r="FJA14" s="239"/>
      <c r="FJB14" s="239"/>
      <c r="FJC14" s="239"/>
      <c r="FJD14" s="239"/>
      <c r="FJE14" s="239"/>
      <c r="FJF14" s="239"/>
      <c r="FJG14" s="239"/>
      <c r="FJH14" s="239"/>
      <c r="FJI14" s="239"/>
      <c r="FJJ14" s="239"/>
      <c r="FJK14" s="239"/>
      <c r="FJL14" s="239"/>
      <c r="FJM14" s="239"/>
      <c r="FJN14" s="239"/>
      <c r="FJO14" s="239"/>
      <c r="FJP14" s="239"/>
      <c r="FJQ14" s="239"/>
      <c r="FJR14" s="239"/>
      <c r="FJS14" s="239"/>
      <c r="FJT14" s="239"/>
      <c r="FJU14" s="239"/>
      <c r="FJV14" s="239"/>
      <c r="FJW14" s="239"/>
      <c r="FJX14" s="239"/>
      <c r="FJY14" s="239"/>
      <c r="FJZ14" s="239"/>
      <c r="FKA14" s="239"/>
      <c r="FKB14" s="239"/>
      <c r="FKC14" s="239"/>
      <c r="FKD14" s="239"/>
      <c r="FKE14" s="239"/>
      <c r="FKF14" s="239"/>
      <c r="FKG14" s="239"/>
      <c r="FKH14" s="239"/>
      <c r="FKI14" s="239"/>
      <c r="FKJ14" s="239"/>
      <c r="FKK14" s="239"/>
      <c r="FKL14" s="239"/>
      <c r="FKM14" s="239"/>
      <c r="FKN14" s="239"/>
      <c r="FKO14" s="239"/>
      <c r="FKP14" s="239"/>
      <c r="FKQ14" s="239"/>
      <c r="FKR14" s="239"/>
      <c r="FKS14" s="239"/>
      <c r="FKT14" s="239"/>
      <c r="FKU14" s="239"/>
      <c r="FKV14" s="239"/>
      <c r="FKW14" s="239"/>
      <c r="FKX14" s="239"/>
      <c r="FKY14" s="239"/>
      <c r="FKZ14" s="239"/>
      <c r="FLA14" s="239"/>
      <c r="FLB14" s="239"/>
      <c r="FLC14" s="239"/>
      <c r="FLD14" s="239"/>
      <c r="FLE14" s="239"/>
      <c r="FLF14" s="239"/>
      <c r="FLG14" s="239"/>
      <c r="FLH14" s="239"/>
      <c r="FLI14" s="239"/>
      <c r="FLJ14" s="239"/>
      <c r="FLK14" s="239"/>
      <c r="FLL14" s="239"/>
      <c r="FLM14" s="239"/>
      <c r="FLN14" s="239"/>
      <c r="FLO14" s="239"/>
      <c r="FLP14" s="239"/>
      <c r="FLQ14" s="239"/>
      <c r="FLR14" s="239"/>
      <c r="FLS14" s="239"/>
      <c r="FLT14" s="239"/>
      <c r="FLU14" s="239"/>
      <c r="FLV14" s="239"/>
      <c r="FLW14" s="239"/>
      <c r="FLX14" s="239"/>
      <c r="FLY14" s="239"/>
      <c r="FLZ14" s="239"/>
      <c r="FMA14" s="239"/>
      <c r="FMB14" s="239"/>
      <c r="FMC14" s="239"/>
      <c r="FMD14" s="239"/>
      <c r="FME14" s="239"/>
      <c r="FMF14" s="239"/>
      <c r="FMG14" s="239"/>
      <c r="FMH14" s="239"/>
      <c r="FMI14" s="239"/>
      <c r="FMJ14" s="239"/>
      <c r="FMK14" s="239"/>
      <c r="FML14" s="239"/>
      <c r="FMM14" s="239"/>
      <c r="FMN14" s="239"/>
      <c r="FMO14" s="239"/>
      <c r="FMP14" s="239"/>
      <c r="FMQ14" s="239"/>
      <c r="FMR14" s="239"/>
      <c r="FMS14" s="239"/>
      <c r="FMT14" s="239"/>
      <c r="FMU14" s="239"/>
      <c r="FMV14" s="239"/>
      <c r="FMW14" s="239"/>
      <c r="FMX14" s="239"/>
      <c r="FMY14" s="239"/>
      <c r="FMZ14" s="239"/>
      <c r="FNA14" s="239"/>
      <c r="FNB14" s="239"/>
      <c r="FNC14" s="239"/>
      <c r="FND14" s="239"/>
      <c r="FNE14" s="239"/>
      <c r="FNF14" s="239"/>
      <c r="FNG14" s="239"/>
      <c r="FNH14" s="239"/>
      <c r="FNI14" s="239"/>
      <c r="FNJ14" s="239"/>
      <c r="FNK14" s="239"/>
      <c r="FNL14" s="239"/>
      <c r="FNM14" s="239"/>
      <c r="FNN14" s="239"/>
      <c r="FNO14" s="239"/>
      <c r="FNP14" s="239"/>
      <c r="FNQ14" s="239"/>
      <c r="FNR14" s="239"/>
      <c r="FNS14" s="239"/>
      <c r="FNT14" s="239"/>
      <c r="FNU14" s="239"/>
      <c r="FNV14" s="239"/>
      <c r="FNW14" s="239"/>
      <c r="FNX14" s="239"/>
      <c r="FNY14" s="239"/>
      <c r="FNZ14" s="239"/>
      <c r="FOA14" s="239"/>
      <c r="FOB14" s="239"/>
      <c r="FOC14" s="239"/>
      <c r="FOD14" s="239"/>
      <c r="FOE14" s="239"/>
      <c r="FOF14" s="239"/>
      <c r="FOG14" s="239"/>
      <c r="FOH14" s="239"/>
      <c r="FOI14" s="239"/>
      <c r="FOJ14" s="239"/>
      <c r="FOK14" s="239"/>
      <c r="FOL14" s="239"/>
      <c r="FOM14" s="239"/>
      <c r="FON14" s="239"/>
      <c r="FOO14" s="239"/>
      <c r="FOP14" s="239"/>
      <c r="FOQ14" s="239"/>
      <c r="FOR14" s="239"/>
      <c r="FOS14" s="239"/>
      <c r="FOT14" s="239"/>
      <c r="FOU14" s="239"/>
      <c r="FOV14" s="239"/>
      <c r="FOW14" s="239"/>
      <c r="FOX14" s="239"/>
      <c r="FOY14" s="239"/>
      <c r="FOZ14" s="239"/>
      <c r="FPA14" s="239"/>
      <c r="FPB14" s="239"/>
      <c r="FPC14" s="239"/>
      <c r="FPD14" s="239"/>
      <c r="FPE14" s="239"/>
      <c r="FPF14" s="239"/>
      <c r="FPG14" s="239"/>
      <c r="FPH14" s="239"/>
      <c r="FPI14" s="239"/>
      <c r="FPJ14" s="239"/>
      <c r="FPK14" s="239"/>
      <c r="FPL14" s="239"/>
      <c r="FPM14" s="239"/>
      <c r="FPN14" s="239"/>
      <c r="FPO14" s="239"/>
      <c r="FPP14" s="239"/>
      <c r="FPQ14" s="239"/>
      <c r="FPR14" s="239"/>
      <c r="FPS14" s="239"/>
      <c r="FPT14" s="239"/>
      <c r="FPU14" s="239"/>
      <c r="FPV14" s="239"/>
      <c r="FPW14" s="239"/>
      <c r="FPX14" s="239"/>
      <c r="FPY14" s="239"/>
      <c r="FPZ14" s="239"/>
      <c r="FQA14" s="239"/>
      <c r="FQB14" s="239"/>
      <c r="FQC14" s="239"/>
      <c r="FQD14" s="239"/>
      <c r="FQE14" s="239"/>
      <c r="FQF14" s="239"/>
      <c r="FQG14" s="239"/>
      <c r="FQH14" s="239"/>
      <c r="FQI14" s="239"/>
      <c r="FQJ14" s="239"/>
      <c r="FQK14" s="239"/>
      <c r="FQL14" s="239"/>
      <c r="FQM14" s="239"/>
      <c r="FQN14" s="239"/>
      <c r="FQO14" s="239"/>
      <c r="FQP14" s="239"/>
      <c r="FQQ14" s="239"/>
      <c r="FQR14" s="239"/>
      <c r="FQS14" s="239"/>
      <c r="FQT14" s="239"/>
      <c r="FQU14" s="239"/>
      <c r="FQV14" s="239"/>
      <c r="FQW14" s="239"/>
      <c r="FQX14" s="239"/>
      <c r="FQY14" s="239"/>
      <c r="FQZ14" s="239"/>
      <c r="FRA14" s="239"/>
      <c r="FRB14" s="239"/>
      <c r="FRC14" s="239"/>
      <c r="FRD14" s="239"/>
      <c r="FRE14" s="239"/>
      <c r="FRF14" s="239"/>
      <c r="FRG14" s="239"/>
      <c r="FRH14" s="239"/>
      <c r="FRI14" s="239"/>
      <c r="FRJ14" s="239"/>
      <c r="FRK14" s="239"/>
      <c r="FRL14" s="239"/>
      <c r="FRM14" s="239"/>
      <c r="FRN14" s="239"/>
      <c r="FRO14" s="239"/>
      <c r="FRP14" s="239"/>
      <c r="FRQ14" s="239"/>
      <c r="FRR14" s="239"/>
      <c r="FRS14" s="239"/>
      <c r="FRT14" s="239"/>
      <c r="FRU14" s="239"/>
      <c r="FRV14" s="239"/>
      <c r="FRW14" s="239"/>
      <c r="FRX14" s="239"/>
      <c r="FRY14" s="239"/>
      <c r="FRZ14" s="239"/>
      <c r="FSA14" s="239"/>
      <c r="FSB14" s="239"/>
      <c r="FSC14" s="239"/>
      <c r="FSD14" s="239"/>
      <c r="FSE14" s="239"/>
      <c r="FSF14" s="239"/>
      <c r="FSG14" s="239"/>
      <c r="FSH14" s="239"/>
      <c r="FSI14" s="239"/>
      <c r="FSJ14" s="239"/>
      <c r="FSK14" s="239"/>
      <c r="FSL14" s="239"/>
      <c r="FSM14" s="239"/>
      <c r="FSN14" s="239"/>
      <c r="FSO14" s="239"/>
      <c r="FSP14" s="239"/>
      <c r="FSQ14" s="239"/>
      <c r="FSR14" s="239"/>
      <c r="FSS14" s="239"/>
      <c r="FST14" s="239"/>
      <c r="FSU14" s="239"/>
      <c r="FSV14" s="239"/>
      <c r="FSW14" s="239"/>
      <c r="FSX14" s="239"/>
      <c r="FSY14" s="239"/>
      <c r="FSZ14" s="239"/>
      <c r="FTA14" s="239"/>
      <c r="FTB14" s="239"/>
      <c r="FTC14" s="239"/>
      <c r="FTD14" s="239"/>
      <c r="FTE14" s="239"/>
      <c r="FTF14" s="239"/>
      <c r="FTG14" s="239"/>
      <c r="FTH14" s="239"/>
      <c r="FTI14" s="239"/>
      <c r="FTJ14" s="239"/>
      <c r="FTK14" s="239"/>
      <c r="FTL14" s="239"/>
      <c r="FTM14" s="239"/>
      <c r="FTN14" s="239"/>
      <c r="FTO14" s="239"/>
      <c r="FTP14" s="239"/>
      <c r="FTQ14" s="239"/>
      <c r="FTR14" s="239"/>
      <c r="FTS14" s="239"/>
      <c r="FTT14" s="239"/>
      <c r="FTU14" s="239"/>
      <c r="FTV14" s="239"/>
      <c r="FTW14" s="239"/>
      <c r="FTX14" s="239"/>
      <c r="FTY14" s="239"/>
      <c r="FTZ14" s="239"/>
      <c r="FUA14" s="239"/>
      <c r="FUB14" s="239"/>
      <c r="FUC14" s="239"/>
      <c r="FUD14" s="239"/>
      <c r="FUE14" s="239"/>
      <c r="FUF14" s="239"/>
      <c r="FUG14" s="239"/>
      <c r="FUH14" s="239"/>
      <c r="FUI14" s="239"/>
      <c r="FUJ14" s="239"/>
      <c r="FUK14" s="239"/>
      <c r="FUL14" s="239"/>
      <c r="FUM14" s="239"/>
      <c r="FUN14" s="239"/>
      <c r="FUO14" s="239"/>
      <c r="FUP14" s="239"/>
      <c r="FUQ14" s="239"/>
      <c r="FUR14" s="239"/>
      <c r="FUS14" s="239"/>
      <c r="FUT14" s="239"/>
      <c r="FUU14" s="239"/>
      <c r="FUV14" s="239"/>
      <c r="FUW14" s="239"/>
      <c r="FUX14" s="239"/>
      <c r="FUY14" s="239"/>
      <c r="FUZ14" s="239"/>
      <c r="FVA14" s="239"/>
      <c r="FVB14" s="239"/>
      <c r="FVC14" s="239"/>
      <c r="FVD14" s="239"/>
      <c r="FVE14" s="239"/>
      <c r="FVF14" s="239"/>
      <c r="FVG14" s="239"/>
      <c r="FVH14" s="239"/>
      <c r="FVI14" s="239"/>
      <c r="FVJ14" s="239"/>
      <c r="FVK14" s="239"/>
      <c r="FVL14" s="239"/>
      <c r="FVM14" s="239"/>
      <c r="FVN14" s="239"/>
      <c r="FVO14" s="239"/>
      <c r="FVP14" s="239"/>
      <c r="FVQ14" s="239"/>
      <c r="FVR14" s="239"/>
      <c r="FVS14" s="239"/>
      <c r="FVT14" s="239"/>
      <c r="FVU14" s="239"/>
      <c r="FVV14" s="239"/>
      <c r="FVW14" s="239"/>
      <c r="FVX14" s="239"/>
      <c r="FVY14" s="239"/>
      <c r="FVZ14" s="239"/>
      <c r="FWA14" s="239"/>
      <c r="FWB14" s="239"/>
      <c r="FWC14" s="239"/>
      <c r="FWD14" s="239"/>
      <c r="FWE14" s="239"/>
      <c r="FWF14" s="239"/>
      <c r="FWG14" s="239"/>
      <c r="FWH14" s="239"/>
      <c r="FWI14" s="239"/>
      <c r="FWJ14" s="239"/>
      <c r="FWK14" s="239"/>
      <c r="FWL14" s="239"/>
      <c r="FWM14" s="239"/>
      <c r="FWN14" s="239"/>
      <c r="FWO14" s="239"/>
      <c r="FWP14" s="239"/>
      <c r="FWQ14" s="239"/>
      <c r="FWR14" s="239"/>
      <c r="FWS14" s="239"/>
      <c r="FWT14" s="239"/>
      <c r="FWU14" s="239"/>
      <c r="FWV14" s="239"/>
      <c r="FWW14" s="239"/>
      <c r="FWX14" s="239"/>
      <c r="FWY14" s="239"/>
      <c r="FWZ14" s="239"/>
      <c r="FXA14" s="239"/>
      <c r="FXB14" s="239"/>
      <c r="FXC14" s="239"/>
      <c r="FXD14" s="239"/>
      <c r="FXE14" s="239"/>
      <c r="FXF14" s="239"/>
      <c r="FXG14" s="239"/>
      <c r="FXH14" s="239"/>
      <c r="FXI14" s="239"/>
      <c r="FXJ14" s="239"/>
      <c r="FXK14" s="239"/>
      <c r="FXL14" s="239"/>
      <c r="FXM14" s="239"/>
      <c r="FXN14" s="239"/>
      <c r="FXO14" s="239"/>
      <c r="FXP14" s="239"/>
      <c r="FXQ14" s="239"/>
      <c r="FXR14" s="239"/>
      <c r="FXS14" s="239"/>
      <c r="FXT14" s="239"/>
      <c r="FXU14" s="239"/>
      <c r="FXV14" s="239"/>
      <c r="FXW14" s="239"/>
      <c r="FXX14" s="239"/>
      <c r="FXY14" s="239"/>
      <c r="FXZ14" s="239"/>
      <c r="FYA14" s="239"/>
      <c r="FYB14" s="239"/>
      <c r="FYC14" s="239"/>
      <c r="FYD14" s="239"/>
      <c r="FYE14" s="239"/>
      <c r="FYF14" s="239"/>
      <c r="FYG14" s="239"/>
      <c r="FYH14" s="239"/>
      <c r="FYI14" s="239"/>
      <c r="FYJ14" s="239"/>
      <c r="FYK14" s="239"/>
      <c r="FYL14" s="239"/>
      <c r="FYM14" s="239"/>
      <c r="FYN14" s="239"/>
      <c r="FYO14" s="239"/>
      <c r="FYP14" s="239"/>
      <c r="FYQ14" s="239"/>
      <c r="FYR14" s="239"/>
      <c r="FYS14" s="239"/>
      <c r="FYT14" s="239"/>
      <c r="FYU14" s="239"/>
      <c r="FYV14" s="239"/>
      <c r="FYW14" s="239"/>
      <c r="FYX14" s="239"/>
      <c r="FYY14" s="239"/>
      <c r="FYZ14" s="239"/>
      <c r="FZA14" s="239"/>
      <c r="FZB14" s="239"/>
      <c r="FZC14" s="239"/>
      <c r="FZD14" s="239"/>
      <c r="FZE14" s="239"/>
      <c r="FZF14" s="239"/>
      <c r="FZG14" s="239"/>
      <c r="FZH14" s="239"/>
      <c r="FZI14" s="239"/>
      <c r="FZJ14" s="239"/>
      <c r="FZK14" s="239"/>
      <c r="FZL14" s="239"/>
      <c r="FZM14" s="239"/>
      <c r="FZN14" s="239"/>
      <c r="FZO14" s="239"/>
      <c r="FZP14" s="239"/>
      <c r="FZQ14" s="239"/>
      <c r="FZR14" s="239"/>
      <c r="FZS14" s="239"/>
      <c r="FZT14" s="239"/>
      <c r="FZU14" s="239"/>
      <c r="FZV14" s="239"/>
      <c r="FZW14" s="239"/>
      <c r="FZX14" s="239"/>
      <c r="FZY14" s="239"/>
      <c r="FZZ14" s="239"/>
      <c r="GAA14" s="239"/>
      <c r="GAB14" s="239"/>
      <c r="GAC14" s="239"/>
      <c r="GAD14" s="239"/>
      <c r="GAE14" s="239"/>
      <c r="GAF14" s="239"/>
      <c r="GAG14" s="239"/>
      <c r="GAH14" s="239"/>
      <c r="GAI14" s="239"/>
      <c r="GAJ14" s="239"/>
      <c r="GAK14" s="239"/>
      <c r="GAL14" s="239"/>
      <c r="GAM14" s="239"/>
      <c r="GAN14" s="239"/>
      <c r="GAO14" s="239"/>
      <c r="GAP14" s="239"/>
      <c r="GAQ14" s="239"/>
      <c r="GAR14" s="239"/>
      <c r="GAS14" s="239"/>
      <c r="GAT14" s="239"/>
      <c r="GAU14" s="239"/>
      <c r="GAV14" s="239"/>
      <c r="GAW14" s="239"/>
      <c r="GAX14" s="239"/>
      <c r="GAY14" s="239"/>
      <c r="GAZ14" s="239"/>
      <c r="GBA14" s="239"/>
      <c r="GBB14" s="239"/>
      <c r="GBC14" s="239"/>
      <c r="GBD14" s="239"/>
      <c r="GBE14" s="239"/>
      <c r="GBF14" s="239"/>
      <c r="GBG14" s="239"/>
      <c r="GBH14" s="239"/>
      <c r="GBI14" s="239"/>
      <c r="GBJ14" s="239"/>
      <c r="GBK14" s="239"/>
      <c r="GBL14" s="239"/>
      <c r="GBM14" s="239"/>
      <c r="GBN14" s="239"/>
      <c r="GBO14" s="239"/>
      <c r="GBP14" s="239"/>
      <c r="GBQ14" s="239"/>
      <c r="GBR14" s="239"/>
      <c r="GBS14" s="239"/>
      <c r="GBT14" s="239"/>
      <c r="GBU14" s="239"/>
      <c r="GBV14" s="239"/>
      <c r="GBW14" s="239"/>
      <c r="GBX14" s="239"/>
      <c r="GBY14" s="239"/>
      <c r="GBZ14" s="239"/>
      <c r="GCA14" s="239"/>
      <c r="GCB14" s="239"/>
      <c r="GCC14" s="239"/>
      <c r="GCD14" s="239"/>
      <c r="GCE14" s="239"/>
      <c r="GCF14" s="239"/>
      <c r="GCG14" s="239"/>
      <c r="GCH14" s="239"/>
      <c r="GCI14" s="239"/>
      <c r="GCJ14" s="239"/>
      <c r="GCK14" s="239"/>
      <c r="GCL14" s="239"/>
      <c r="GCM14" s="239"/>
      <c r="GCN14" s="239"/>
      <c r="GCO14" s="239"/>
      <c r="GCP14" s="239"/>
      <c r="GCQ14" s="239"/>
      <c r="GCR14" s="239"/>
      <c r="GCS14" s="239"/>
      <c r="GCT14" s="239"/>
      <c r="GCU14" s="239"/>
      <c r="GCV14" s="239"/>
      <c r="GCW14" s="239"/>
      <c r="GCX14" s="239"/>
      <c r="GCY14" s="239"/>
      <c r="GCZ14" s="239"/>
      <c r="GDA14" s="239"/>
      <c r="GDB14" s="239"/>
      <c r="GDC14" s="239"/>
      <c r="GDD14" s="239"/>
      <c r="GDE14" s="239"/>
      <c r="GDF14" s="239"/>
      <c r="GDG14" s="239"/>
      <c r="GDH14" s="239"/>
      <c r="GDI14" s="239"/>
      <c r="GDJ14" s="239"/>
      <c r="GDK14" s="239"/>
      <c r="GDL14" s="239"/>
      <c r="GDM14" s="239"/>
      <c r="GDN14" s="239"/>
      <c r="GDO14" s="239"/>
      <c r="GDP14" s="239"/>
      <c r="GDQ14" s="239"/>
      <c r="GDR14" s="239"/>
      <c r="GDS14" s="239"/>
      <c r="GDT14" s="239"/>
      <c r="GDU14" s="239"/>
      <c r="GDV14" s="239"/>
      <c r="GDW14" s="239"/>
      <c r="GDX14" s="239"/>
      <c r="GDY14" s="239"/>
      <c r="GDZ14" s="239"/>
      <c r="GEA14" s="239"/>
      <c r="GEB14" s="239"/>
      <c r="GEC14" s="239"/>
      <c r="GED14" s="239"/>
      <c r="GEE14" s="239"/>
      <c r="GEF14" s="239"/>
      <c r="GEG14" s="239"/>
      <c r="GEH14" s="239"/>
      <c r="GEI14" s="239"/>
      <c r="GEJ14" s="239"/>
      <c r="GEK14" s="239"/>
      <c r="GEL14" s="239"/>
      <c r="GEM14" s="239"/>
      <c r="GEN14" s="239"/>
      <c r="GEO14" s="239"/>
      <c r="GEP14" s="239"/>
      <c r="GEQ14" s="239"/>
      <c r="GER14" s="239"/>
      <c r="GES14" s="239"/>
      <c r="GET14" s="239"/>
      <c r="GEU14" s="239"/>
      <c r="GEV14" s="239"/>
      <c r="GEW14" s="239"/>
      <c r="GEX14" s="239"/>
      <c r="GEY14" s="239"/>
      <c r="GEZ14" s="239"/>
      <c r="GFA14" s="239"/>
      <c r="GFB14" s="239"/>
      <c r="GFC14" s="239"/>
      <c r="GFD14" s="239"/>
      <c r="GFE14" s="239"/>
      <c r="GFF14" s="239"/>
      <c r="GFG14" s="239"/>
      <c r="GFH14" s="239"/>
      <c r="GFI14" s="239"/>
      <c r="GFJ14" s="239"/>
      <c r="GFK14" s="239"/>
      <c r="GFL14" s="239"/>
      <c r="GFM14" s="239"/>
      <c r="GFN14" s="239"/>
      <c r="GFO14" s="239"/>
      <c r="GFP14" s="239"/>
      <c r="GFQ14" s="239"/>
      <c r="GFR14" s="239"/>
      <c r="GFS14" s="239"/>
      <c r="GFT14" s="239"/>
      <c r="GFU14" s="239"/>
      <c r="GFV14" s="239"/>
      <c r="GFW14" s="239"/>
      <c r="GFX14" s="239"/>
      <c r="GFY14" s="239"/>
      <c r="GFZ14" s="239"/>
      <c r="GGA14" s="239"/>
      <c r="GGB14" s="239"/>
      <c r="GGC14" s="239"/>
      <c r="GGD14" s="239"/>
      <c r="GGE14" s="239"/>
      <c r="GGF14" s="239"/>
      <c r="GGG14" s="239"/>
      <c r="GGH14" s="239"/>
      <c r="GGI14" s="239"/>
      <c r="GGJ14" s="239"/>
      <c r="GGK14" s="239"/>
      <c r="GGL14" s="239"/>
      <c r="GGM14" s="239"/>
      <c r="GGN14" s="239"/>
      <c r="GGO14" s="239"/>
      <c r="GGP14" s="239"/>
      <c r="GGQ14" s="239"/>
      <c r="GGR14" s="239"/>
      <c r="GGS14" s="239"/>
      <c r="GGT14" s="239"/>
      <c r="GGU14" s="239"/>
      <c r="GGV14" s="239"/>
      <c r="GGW14" s="239"/>
      <c r="GGX14" s="239"/>
      <c r="GGY14" s="239"/>
      <c r="GGZ14" s="239"/>
      <c r="GHA14" s="239"/>
      <c r="GHB14" s="239"/>
      <c r="GHC14" s="239"/>
      <c r="GHD14" s="239"/>
      <c r="GHE14" s="239"/>
      <c r="GHF14" s="239"/>
      <c r="GHG14" s="239"/>
      <c r="GHH14" s="239"/>
      <c r="GHI14" s="239"/>
      <c r="GHJ14" s="239"/>
      <c r="GHK14" s="239"/>
      <c r="GHL14" s="239"/>
      <c r="GHM14" s="239"/>
      <c r="GHN14" s="239"/>
      <c r="GHO14" s="239"/>
      <c r="GHP14" s="239"/>
      <c r="GHQ14" s="239"/>
      <c r="GHR14" s="239"/>
      <c r="GHS14" s="239"/>
      <c r="GHT14" s="239"/>
      <c r="GHU14" s="239"/>
      <c r="GHV14" s="239"/>
      <c r="GHW14" s="239"/>
      <c r="GHX14" s="239"/>
      <c r="GHY14" s="239"/>
      <c r="GHZ14" s="239"/>
      <c r="GIA14" s="239"/>
      <c r="GIB14" s="239"/>
      <c r="GIC14" s="239"/>
      <c r="GID14" s="239"/>
      <c r="GIE14" s="239"/>
      <c r="GIF14" s="239"/>
      <c r="GIG14" s="239"/>
      <c r="GIH14" s="239"/>
      <c r="GII14" s="239"/>
      <c r="GIJ14" s="239"/>
      <c r="GIK14" s="239"/>
      <c r="GIL14" s="239"/>
      <c r="GIM14" s="239"/>
      <c r="GIN14" s="239"/>
      <c r="GIO14" s="239"/>
      <c r="GIP14" s="239"/>
      <c r="GIQ14" s="239"/>
      <c r="GIR14" s="239"/>
      <c r="GIS14" s="239"/>
      <c r="GIT14" s="239"/>
      <c r="GIU14" s="239"/>
      <c r="GIV14" s="239"/>
      <c r="GIW14" s="239"/>
      <c r="GIX14" s="239"/>
      <c r="GIY14" s="239"/>
      <c r="GIZ14" s="239"/>
      <c r="GJA14" s="239"/>
      <c r="GJB14" s="239"/>
      <c r="GJC14" s="239"/>
      <c r="GJD14" s="239"/>
      <c r="GJE14" s="239"/>
      <c r="GJF14" s="239"/>
      <c r="GJG14" s="239"/>
      <c r="GJH14" s="239"/>
      <c r="GJI14" s="239"/>
      <c r="GJJ14" s="239"/>
      <c r="GJK14" s="239"/>
      <c r="GJL14" s="239"/>
      <c r="GJM14" s="239"/>
      <c r="GJN14" s="239"/>
      <c r="GJO14" s="239"/>
      <c r="GJP14" s="239"/>
      <c r="GJQ14" s="239"/>
      <c r="GJR14" s="239"/>
      <c r="GJS14" s="239"/>
      <c r="GJT14" s="239"/>
      <c r="GJU14" s="239"/>
      <c r="GJV14" s="239"/>
      <c r="GJW14" s="239"/>
      <c r="GJX14" s="239"/>
      <c r="GJY14" s="239"/>
      <c r="GJZ14" s="239"/>
      <c r="GKA14" s="239"/>
      <c r="GKB14" s="239"/>
      <c r="GKC14" s="239"/>
      <c r="GKD14" s="239"/>
      <c r="GKE14" s="239"/>
      <c r="GKF14" s="239"/>
      <c r="GKG14" s="239"/>
      <c r="GKH14" s="239"/>
      <c r="GKI14" s="239"/>
      <c r="GKJ14" s="239"/>
      <c r="GKK14" s="239"/>
      <c r="GKL14" s="239"/>
      <c r="GKM14" s="239"/>
      <c r="GKN14" s="239"/>
      <c r="GKO14" s="239"/>
      <c r="GKP14" s="239"/>
      <c r="GKQ14" s="239"/>
      <c r="GKR14" s="239"/>
      <c r="GKS14" s="239"/>
      <c r="GKT14" s="239"/>
      <c r="GKU14" s="239"/>
      <c r="GKV14" s="239"/>
      <c r="GKW14" s="239"/>
      <c r="GKX14" s="239"/>
      <c r="GKY14" s="239"/>
      <c r="GKZ14" s="239"/>
      <c r="GLA14" s="239"/>
      <c r="GLB14" s="239"/>
      <c r="GLC14" s="239"/>
      <c r="GLD14" s="239"/>
      <c r="GLE14" s="239"/>
      <c r="GLF14" s="239"/>
      <c r="GLG14" s="239"/>
      <c r="GLH14" s="239"/>
      <c r="GLI14" s="239"/>
      <c r="GLJ14" s="239"/>
      <c r="GLK14" s="239"/>
      <c r="GLL14" s="239"/>
      <c r="GLM14" s="239"/>
      <c r="GLN14" s="239"/>
      <c r="GLO14" s="239"/>
      <c r="GLP14" s="239"/>
      <c r="GLQ14" s="239"/>
      <c r="GLR14" s="239"/>
      <c r="GLS14" s="239"/>
      <c r="GLT14" s="239"/>
      <c r="GLU14" s="239"/>
      <c r="GLV14" s="239"/>
      <c r="GLW14" s="239"/>
      <c r="GLX14" s="239"/>
      <c r="GLY14" s="239"/>
      <c r="GLZ14" s="239"/>
      <c r="GMA14" s="239"/>
      <c r="GMB14" s="239"/>
      <c r="GMC14" s="239"/>
      <c r="GMD14" s="239"/>
      <c r="GME14" s="239"/>
      <c r="GMF14" s="239"/>
      <c r="GMG14" s="239"/>
      <c r="GMH14" s="239"/>
      <c r="GMI14" s="239"/>
      <c r="GMJ14" s="239"/>
      <c r="GMK14" s="239"/>
      <c r="GML14" s="239"/>
      <c r="GMM14" s="239"/>
      <c r="GMN14" s="239"/>
      <c r="GMO14" s="239"/>
      <c r="GMP14" s="239"/>
      <c r="GMQ14" s="239"/>
      <c r="GMR14" s="239"/>
      <c r="GMS14" s="239"/>
      <c r="GMT14" s="239"/>
      <c r="GMU14" s="239"/>
      <c r="GMV14" s="239"/>
      <c r="GMW14" s="239"/>
      <c r="GMX14" s="239"/>
      <c r="GMY14" s="239"/>
      <c r="GMZ14" s="239"/>
      <c r="GNA14" s="239"/>
      <c r="GNB14" s="239"/>
      <c r="GNC14" s="239"/>
      <c r="GND14" s="239"/>
      <c r="GNE14" s="239"/>
      <c r="GNF14" s="239"/>
      <c r="GNG14" s="239"/>
      <c r="GNH14" s="239"/>
      <c r="GNI14" s="239"/>
      <c r="GNJ14" s="239"/>
      <c r="GNK14" s="239"/>
      <c r="GNL14" s="239"/>
      <c r="GNM14" s="239"/>
      <c r="GNN14" s="239"/>
      <c r="GNO14" s="239"/>
      <c r="GNP14" s="239"/>
      <c r="GNQ14" s="239"/>
      <c r="GNR14" s="239"/>
      <c r="GNS14" s="239"/>
      <c r="GNT14" s="239"/>
      <c r="GNU14" s="239"/>
      <c r="GNV14" s="239"/>
      <c r="GNW14" s="239"/>
      <c r="GNX14" s="239"/>
      <c r="GNY14" s="239"/>
      <c r="GNZ14" s="239"/>
      <c r="GOA14" s="239"/>
      <c r="GOB14" s="239"/>
      <c r="GOC14" s="239"/>
      <c r="GOD14" s="239"/>
      <c r="GOE14" s="239"/>
      <c r="GOF14" s="239"/>
      <c r="GOG14" s="239"/>
      <c r="GOH14" s="239"/>
      <c r="GOI14" s="239"/>
      <c r="GOJ14" s="239"/>
      <c r="GOK14" s="239"/>
      <c r="GOL14" s="239"/>
      <c r="GOM14" s="239"/>
      <c r="GON14" s="239"/>
      <c r="GOO14" s="239"/>
      <c r="GOP14" s="239"/>
      <c r="GOQ14" s="239"/>
      <c r="GOR14" s="239"/>
      <c r="GOS14" s="239"/>
      <c r="GOT14" s="239"/>
      <c r="GOU14" s="239"/>
      <c r="GOV14" s="239"/>
      <c r="GOW14" s="239"/>
      <c r="GOX14" s="239"/>
      <c r="GOY14" s="239"/>
      <c r="GOZ14" s="239"/>
      <c r="GPA14" s="239"/>
      <c r="GPB14" s="239"/>
      <c r="GPC14" s="239"/>
      <c r="GPD14" s="239"/>
      <c r="GPE14" s="239"/>
      <c r="GPF14" s="239"/>
      <c r="GPG14" s="239"/>
      <c r="GPH14" s="239"/>
      <c r="GPI14" s="239"/>
      <c r="GPJ14" s="239"/>
      <c r="GPK14" s="239"/>
      <c r="GPL14" s="239"/>
      <c r="GPM14" s="239"/>
      <c r="GPN14" s="239"/>
      <c r="GPO14" s="239"/>
      <c r="GPP14" s="239"/>
      <c r="GPQ14" s="239"/>
      <c r="GPR14" s="239"/>
      <c r="GPS14" s="239"/>
      <c r="GPT14" s="239"/>
      <c r="GPU14" s="239"/>
      <c r="GPV14" s="239"/>
      <c r="GPW14" s="239"/>
      <c r="GPX14" s="239"/>
      <c r="GPY14" s="239"/>
      <c r="GPZ14" s="239"/>
      <c r="GQA14" s="239"/>
      <c r="GQB14" s="239"/>
      <c r="GQC14" s="239"/>
      <c r="GQD14" s="239"/>
      <c r="GQE14" s="239"/>
      <c r="GQF14" s="239"/>
      <c r="GQG14" s="239"/>
      <c r="GQH14" s="239"/>
      <c r="GQI14" s="239"/>
      <c r="GQJ14" s="239"/>
      <c r="GQK14" s="239"/>
      <c r="GQL14" s="239"/>
      <c r="GQM14" s="239"/>
      <c r="GQN14" s="239"/>
      <c r="GQO14" s="239"/>
      <c r="GQP14" s="239"/>
      <c r="GQQ14" s="239"/>
      <c r="GQR14" s="239"/>
      <c r="GQS14" s="239"/>
      <c r="GQT14" s="239"/>
      <c r="GQU14" s="239"/>
      <c r="GQV14" s="239"/>
      <c r="GQW14" s="239"/>
      <c r="GQX14" s="239"/>
      <c r="GQY14" s="239"/>
      <c r="GQZ14" s="239"/>
      <c r="GRA14" s="239"/>
      <c r="GRB14" s="239"/>
      <c r="GRC14" s="239"/>
      <c r="GRD14" s="239"/>
      <c r="GRE14" s="239"/>
      <c r="GRF14" s="239"/>
      <c r="GRG14" s="239"/>
      <c r="GRH14" s="239"/>
      <c r="GRI14" s="239"/>
      <c r="GRJ14" s="239"/>
      <c r="GRK14" s="239"/>
      <c r="GRL14" s="239"/>
      <c r="GRM14" s="239"/>
      <c r="GRN14" s="239"/>
      <c r="GRO14" s="239"/>
      <c r="GRP14" s="239"/>
      <c r="GRQ14" s="239"/>
      <c r="GRR14" s="239"/>
      <c r="GRS14" s="239"/>
      <c r="GRT14" s="239"/>
      <c r="GRU14" s="239"/>
      <c r="GRV14" s="239"/>
      <c r="GRW14" s="239"/>
      <c r="GRX14" s="239"/>
      <c r="GRY14" s="239"/>
      <c r="GRZ14" s="239"/>
      <c r="GSA14" s="239"/>
      <c r="GSB14" s="239"/>
      <c r="GSC14" s="239"/>
      <c r="GSD14" s="239"/>
      <c r="GSE14" s="239"/>
      <c r="GSF14" s="239"/>
      <c r="GSG14" s="239"/>
      <c r="GSH14" s="239"/>
      <c r="GSI14" s="239"/>
      <c r="GSJ14" s="239"/>
      <c r="GSK14" s="239"/>
      <c r="GSL14" s="239"/>
      <c r="GSM14" s="239"/>
      <c r="GSN14" s="239"/>
      <c r="GSO14" s="239"/>
      <c r="GSP14" s="239"/>
      <c r="GSQ14" s="239"/>
      <c r="GSR14" s="239"/>
      <c r="GSS14" s="239"/>
      <c r="GST14" s="239"/>
      <c r="GSU14" s="239"/>
      <c r="GSV14" s="239"/>
      <c r="GSW14" s="239"/>
      <c r="GSX14" s="239"/>
      <c r="GSY14" s="239"/>
      <c r="GSZ14" s="239"/>
      <c r="GTA14" s="239"/>
      <c r="GTB14" s="239"/>
      <c r="GTC14" s="239"/>
      <c r="GTD14" s="239"/>
      <c r="GTE14" s="239"/>
      <c r="GTF14" s="239"/>
      <c r="GTG14" s="239"/>
      <c r="GTH14" s="239"/>
      <c r="GTI14" s="239"/>
      <c r="GTJ14" s="239"/>
      <c r="GTK14" s="239"/>
      <c r="GTL14" s="239"/>
      <c r="GTM14" s="239"/>
      <c r="GTN14" s="239"/>
      <c r="GTO14" s="239"/>
      <c r="GTP14" s="239"/>
      <c r="GTQ14" s="239"/>
      <c r="GTR14" s="239"/>
      <c r="GTS14" s="239"/>
      <c r="GTT14" s="239"/>
      <c r="GTU14" s="239"/>
      <c r="GTV14" s="239"/>
      <c r="GTW14" s="239"/>
      <c r="GTX14" s="239"/>
      <c r="GTY14" s="239"/>
      <c r="GTZ14" s="239"/>
      <c r="GUA14" s="239"/>
      <c r="GUB14" s="239"/>
      <c r="GUC14" s="239"/>
      <c r="GUD14" s="239"/>
      <c r="GUE14" s="239"/>
      <c r="GUF14" s="239"/>
      <c r="GUG14" s="239"/>
      <c r="GUH14" s="239"/>
      <c r="GUI14" s="239"/>
      <c r="GUJ14" s="239"/>
      <c r="GUK14" s="239"/>
      <c r="GUL14" s="239"/>
      <c r="GUM14" s="239"/>
      <c r="GUN14" s="239"/>
      <c r="GUO14" s="239"/>
      <c r="GUP14" s="239"/>
      <c r="GUQ14" s="239"/>
      <c r="GUR14" s="239"/>
      <c r="GUS14" s="239"/>
      <c r="GUT14" s="239"/>
      <c r="GUU14" s="239"/>
      <c r="GUV14" s="239"/>
      <c r="GUW14" s="239"/>
      <c r="GUX14" s="239"/>
      <c r="GUY14" s="239"/>
      <c r="GUZ14" s="239"/>
      <c r="GVA14" s="239"/>
      <c r="GVB14" s="239"/>
      <c r="GVC14" s="239"/>
      <c r="GVD14" s="239"/>
      <c r="GVE14" s="239"/>
      <c r="GVF14" s="239"/>
      <c r="GVG14" s="239"/>
      <c r="GVH14" s="239"/>
      <c r="GVI14" s="239"/>
      <c r="GVJ14" s="239"/>
      <c r="GVK14" s="239"/>
      <c r="GVL14" s="239"/>
      <c r="GVM14" s="239"/>
      <c r="GVN14" s="239"/>
      <c r="GVO14" s="239"/>
      <c r="GVP14" s="239"/>
      <c r="GVQ14" s="239"/>
      <c r="GVR14" s="239"/>
      <c r="GVS14" s="239"/>
      <c r="GVT14" s="239"/>
      <c r="GVU14" s="239"/>
      <c r="GVV14" s="239"/>
      <c r="GVW14" s="239"/>
      <c r="GVX14" s="239"/>
      <c r="GVY14" s="239"/>
      <c r="GVZ14" s="239"/>
      <c r="GWA14" s="239"/>
      <c r="GWB14" s="239"/>
      <c r="GWC14" s="239"/>
      <c r="GWD14" s="239"/>
      <c r="GWE14" s="239"/>
      <c r="GWF14" s="239"/>
      <c r="GWG14" s="239"/>
      <c r="GWH14" s="239"/>
      <c r="GWI14" s="239"/>
      <c r="GWJ14" s="239"/>
      <c r="GWK14" s="239"/>
      <c r="GWL14" s="239"/>
      <c r="GWM14" s="239"/>
      <c r="GWN14" s="239"/>
      <c r="GWO14" s="239"/>
      <c r="GWP14" s="239"/>
      <c r="GWQ14" s="239"/>
      <c r="GWR14" s="239"/>
      <c r="GWS14" s="239"/>
      <c r="GWT14" s="239"/>
      <c r="GWU14" s="239"/>
      <c r="GWV14" s="239"/>
      <c r="GWW14" s="239"/>
      <c r="GWX14" s="239"/>
      <c r="GWY14" s="239"/>
      <c r="GWZ14" s="239"/>
      <c r="GXA14" s="239"/>
      <c r="GXB14" s="239"/>
      <c r="GXC14" s="239"/>
      <c r="GXD14" s="239"/>
      <c r="GXE14" s="239"/>
      <c r="GXF14" s="239"/>
      <c r="GXG14" s="239"/>
      <c r="GXH14" s="239"/>
      <c r="GXI14" s="239"/>
      <c r="GXJ14" s="239"/>
      <c r="GXK14" s="239"/>
      <c r="GXL14" s="239"/>
      <c r="GXM14" s="239"/>
      <c r="GXN14" s="239"/>
      <c r="GXO14" s="239"/>
      <c r="GXP14" s="239"/>
      <c r="GXQ14" s="239"/>
      <c r="GXR14" s="239"/>
      <c r="GXS14" s="239"/>
      <c r="GXT14" s="239"/>
      <c r="GXU14" s="239"/>
      <c r="GXV14" s="239"/>
      <c r="GXW14" s="239"/>
      <c r="GXX14" s="239"/>
      <c r="GXY14" s="239"/>
      <c r="GXZ14" s="239"/>
      <c r="GYA14" s="239"/>
      <c r="GYB14" s="239"/>
      <c r="GYC14" s="239"/>
      <c r="GYD14" s="239"/>
      <c r="GYE14" s="239"/>
      <c r="GYF14" s="239"/>
      <c r="GYG14" s="239"/>
      <c r="GYH14" s="239"/>
      <c r="GYI14" s="239"/>
      <c r="GYJ14" s="239"/>
      <c r="GYK14" s="239"/>
      <c r="GYL14" s="239"/>
      <c r="GYM14" s="239"/>
      <c r="GYN14" s="239"/>
      <c r="GYO14" s="239"/>
      <c r="GYP14" s="239"/>
      <c r="GYQ14" s="239"/>
      <c r="GYR14" s="239"/>
      <c r="GYS14" s="239"/>
      <c r="GYT14" s="239"/>
      <c r="GYU14" s="239"/>
      <c r="GYV14" s="239"/>
      <c r="GYW14" s="239"/>
      <c r="GYX14" s="239"/>
      <c r="GYY14" s="239"/>
      <c r="GYZ14" s="239"/>
      <c r="GZA14" s="239"/>
      <c r="GZB14" s="239"/>
      <c r="GZC14" s="239"/>
      <c r="GZD14" s="239"/>
      <c r="GZE14" s="239"/>
      <c r="GZF14" s="239"/>
      <c r="GZG14" s="239"/>
      <c r="GZH14" s="239"/>
      <c r="GZI14" s="239"/>
      <c r="GZJ14" s="239"/>
      <c r="GZK14" s="239"/>
      <c r="GZL14" s="239"/>
      <c r="GZM14" s="239"/>
      <c r="GZN14" s="239"/>
      <c r="GZO14" s="239"/>
      <c r="GZP14" s="239"/>
      <c r="GZQ14" s="239"/>
      <c r="GZR14" s="239"/>
      <c r="GZS14" s="239"/>
      <c r="GZT14" s="239"/>
      <c r="GZU14" s="239"/>
      <c r="GZV14" s="239"/>
      <c r="GZW14" s="239"/>
      <c r="GZX14" s="239"/>
      <c r="GZY14" s="239"/>
      <c r="GZZ14" s="239"/>
      <c r="HAA14" s="239"/>
      <c r="HAB14" s="239"/>
      <c r="HAC14" s="239"/>
      <c r="HAD14" s="239"/>
      <c r="HAE14" s="239"/>
      <c r="HAF14" s="239"/>
      <c r="HAG14" s="239"/>
      <c r="HAH14" s="239"/>
      <c r="HAI14" s="239"/>
      <c r="HAJ14" s="239"/>
      <c r="HAK14" s="239"/>
      <c r="HAL14" s="239"/>
      <c r="HAM14" s="239"/>
      <c r="HAN14" s="239"/>
      <c r="HAO14" s="239"/>
      <c r="HAP14" s="239"/>
      <c r="HAQ14" s="239"/>
      <c r="HAR14" s="239"/>
      <c r="HAS14" s="239"/>
      <c r="HAT14" s="239"/>
      <c r="HAU14" s="239"/>
      <c r="HAV14" s="239"/>
      <c r="HAW14" s="239"/>
      <c r="HAX14" s="239"/>
      <c r="HAY14" s="239"/>
      <c r="HAZ14" s="239"/>
      <c r="HBA14" s="239"/>
      <c r="HBB14" s="239"/>
      <c r="HBC14" s="239"/>
      <c r="HBD14" s="239"/>
      <c r="HBE14" s="239"/>
      <c r="HBF14" s="239"/>
      <c r="HBG14" s="239"/>
      <c r="HBH14" s="239"/>
      <c r="HBI14" s="239"/>
      <c r="HBJ14" s="239"/>
      <c r="HBK14" s="239"/>
      <c r="HBL14" s="239"/>
      <c r="HBM14" s="239"/>
      <c r="HBN14" s="239"/>
      <c r="HBO14" s="239"/>
      <c r="HBP14" s="239"/>
      <c r="HBQ14" s="239"/>
      <c r="HBR14" s="239"/>
      <c r="HBS14" s="239"/>
      <c r="HBT14" s="239"/>
      <c r="HBU14" s="239"/>
      <c r="HBV14" s="239"/>
      <c r="HBW14" s="239"/>
      <c r="HBX14" s="239"/>
      <c r="HBY14" s="239"/>
      <c r="HBZ14" s="239"/>
      <c r="HCA14" s="239"/>
      <c r="HCB14" s="239"/>
      <c r="HCC14" s="239"/>
      <c r="HCD14" s="239"/>
      <c r="HCE14" s="239"/>
      <c r="HCF14" s="239"/>
      <c r="HCG14" s="239"/>
      <c r="HCH14" s="239"/>
      <c r="HCI14" s="239"/>
      <c r="HCJ14" s="239"/>
      <c r="HCK14" s="239"/>
      <c r="HCL14" s="239"/>
      <c r="HCM14" s="239"/>
      <c r="HCN14" s="239"/>
      <c r="HCO14" s="239"/>
      <c r="HCP14" s="239"/>
      <c r="HCQ14" s="239"/>
      <c r="HCR14" s="239"/>
      <c r="HCS14" s="239"/>
      <c r="HCT14" s="239"/>
      <c r="HCU14" s="239"/>
      <c r="HCV14" s="239"/>
      <c r="HCW14" s="239"/>
      <c r="HCX14" s="239"/>
      <c r="HCY14" s="239"/>
      <c r="HCZ14" s="239"/>
      <c r="HDA14" s="239"/>
      <c r="HDB14" s="239"/>
      <c r="HDC14" s="239"/>
      <c r="HDD14" s="239"/>
      <c r="HDE14" s="239"/>
      <c r="HDF14" s="239"/>
      <c r="HDG14" s="239"/>
      <c r="HDH14" s="239"/>
      <c r="HDI14" s="239"/>
      <c r="HDJ14" s="239"/>
      <c r="HDK14" s="239"/>
      <c r="HDL14" s="239"/>
      <c r="HDM14" s="239"/>
      <c r="HDN14" s="239"/>
      <c r="HDO14" s="239"/>
      <c r="HDP14" s="239"/>
      <c r="HDQ14" s="239"/>
      <c r="HDR14" s="239"/>
      <c r="HDS14" s="239"/>
      <c r="HDT14" s="239"/>
      <c r="HDU14" s="239"/>
      <c r="HDV14" s="239"/>
      <c r="HDW14" s="239"/>
      <c r="HDX14" s="239"/>
      <c r="HDY14" s="239"/>
      <c r="HDZ14" s="239"/>
      <c r="HEA14" s="239"/>
      <c r="HEB14" s="239"/>
      <c r="HEC14" s="239"/>
      <c r="HED14" s="239"/>
      <c r="HEE14" s="239"/>
      <c r="HEF14" s="239"/>
      <c r="HEG14" s="239"/>
      <c r="HEH14" s="239"/>
      <c r="HEI14" s="239"/>
      <c r="HEJ14" s="239"/>
      <c r="HEK14" s="239"/>
      <c r="HEL14" s="239"/>
      <c r="HEM14" s="239"/>
      <c r="HEN14" s="239"/>
      <c r="HEO14" s="239"/>
      <c r="HEP14" s="239"/>
      <c r="HEQ14" s="239"/>
      <c r="HER14" s="239"/>
      <c r="HES14" s="239"/>
      <c r="HET14" s="239"/>
      <c r="HEU14" s="239"/>
      <c r="HEV14" s="239"/>
      <c r="HEW14" s="239"/>
      <c r="HEX14" s="239"/>
      <c r="HEY14" s="239"/>
      <c r="HEZ14" s="239"/>
      <c r="HFA14" s="239"/>
      <c r="HFB14" s="239"/>
      <c r="HFC14" s="239"/>
      <c r="HFD14" s="239"/>
      <c r="HFE14" s="239"/>
      <c r="HFF14" s="239"/>
      <c r="HFG14" s="239"/>
      <c r="HFH14" s="239"/>
      <c r="HFI14" s="239"/>
      <c r="HFJ14" s="239"/>
      <c r="HFK14" s="239"/>
      <c r="HFL14" s="239"/>
      <c r="HFM14" s="239"/>
      <c r="HFN14" s="239"/>
      <c r="HFO14" s="239"/>
      <c r="HFP14" s="239"/>
      <c r="HFQ14" s="239"/>
      <c r="HFR14" s="239"/>
      <c r="HFS14" s="239"/>
      <c r="HFT14" s="239"/>
      <c r="HFU14" s="239"/>
      <c r="HFV14" s="239"/>
      <c r="HFW14" s="239"/>
      <c r="HFX14" s="239"/>
      <c r="HFY14" s="239"/>
      <c r="HFZ14" s="239"/>
      <c r="HGA14" s="239"/>
      <c r="HGB14" s="239"/>
      <c r="HGC14" s="239"/>
      <c r="HGD14" s="239"/>
      <c r="HGE14" s="239"/>
      <c r="HGF14" s="239"/>
      <c r="HGG14" s="239"/>
      <c r="HGH14" s="239"/>
      <c r="HGI14" s="239"/>
      <c r="HGJ14" s="239"/>
      <c r="HGK14" s="239"/>
      <c r="HGL14" s="239"/>
      <c r="HGM14" s="239"/>
      <c r="HGN14" s="239"/>
      <c r="HGO14" s="239"/>
      <c r="HGP14" s="239"/>
      <c r="HGQ14" s="239"/>
      <c r="HGR14" s="239"/>
      <c r="HGS14" s="239"/>
      <c r="HGT14" s="239"/>
      <c r="HGU14" s="239"/>
      <c r="HGV14" s="239"/>
      <c r="HGW14" s="239"/>
      <c r="HGX14" s="239"/>
      <c r="HGY14" s="239"/>
      <c r="HGZ14" s="239"/>
      <c r="HHA14" s="239"/>
      <c r="HHB14" s="239"/>
      <c r="HHC14" s="239"/>
      <c r="HHD14" s="239"/>
      <c r="HHE14" s="239"/>
      <c r="HHF14" s="239"/>
      <c r="HHG14" s="239"/>
      <c r="HHH14" s="239"/>
      <c r="HHI14" s="239"/>
      <c r="HHJ14" s="239"/>
      <c r="HHK14" s="239"/>
      <c r="HHL14" s="239"/>
      <c r="HHM14" s="239"/>
      <c r="HHN14" s="239"/>
      <c r="HHO14" s="239"/>
      <c r="HHP14" s="239"/>
      <c r="HHQ14" s="239"/>
      <c r="HHR14" s="239"/>
      <c r="HHS14" s="239"/>
      <c r="HHT14" s="239"/>
      <c r="HHU14" s="239"/>
      <c r="HHV14" s="239"/>
      <c r="HHW14" s="239"/>
      <c r="HHX14" s="239"/>
      <c r="HHY14" s="239"/>
      <c r="HHZ14" s="239"/>
      <c r="HIA14" s="239"/>
      <c r="HIB14" s="239"/>
      <c r="HIC14" s="239"/>
      <c r="HID14" s="239"/>
      <c r="HIE14" s="239"/>
      <c r="HIF14" s="239"/>
      <c r="HIG14" s="239"/>
      <c r="HIH14" s="239"/>
      <c r="HII14" s="239"/>
      <c r="HIJ14" s="239"/>
      <c r="HIK14" s="239"/>
      <c r="HIL14" s="239"/>
      <c r="HIM14" s="239"/>
      <c r="HIN14" s="239"/>
      <c r="HIO14" s="239"/>
      <c r="HIP14" s="239"/>
      <c r="HIQ14" s="239"/>
      <c r="HIR14" s="239"/>
      <c r="HIS14" s="239"/>
      <c r="HIT14" s="239"/>
      <c r="HIU14" s="239"/>
      <c r="HIV14" s="239"/>
      <c r="HIW14" s="239"/>
      <c r="HIX14" s="239"/>
      <c r="HIY14" s="239"/>
      <c r="HIZ14" s="239"/>
      <c r="HJA14" s="239"/>
      <c r="HJB14" s="239"/>
      <c r="HJC14" s="239"/>
      <c r="HJD14" s="239"/>
      <c r="HJE14" s="239"/>
      <c r="HJF14" s="239"/>
      <c r="HJG14" s="239"/>
      <c r="HJH14" s="239"/>
      <c r="HJI14" s="239"/>
      <c r="HJJ14" s="239"/>
      <c r="HJK14" s="239"/>
      <c r="HJL14" s="239"/>
      <c r="HJM14" s="239"/>
      <c r="HJN14" s="239"/>
      <c r="HJO14" s="239"/>
      <c r="HJP14" s="239"/>
      <c r="HJQ14" s="239"/>
      <c r="HJR14" s="239"/>
      <c r="HJS14" s="239"/>
      <c r="HJT14" s="239"/>
      <c r="HJU14" s="239"/>
      <c r="HJV14" s="239"/>
      <c r="HJW14" s="239"/>
      <c r="HJX14" s="239"/>
      <c r="HJY14" s="239"/>
      <c r="HJZ14" s="239"/>
      <c r="HKA14" s="239"/>
      <c r="HKB14" s="239"/>
      <c r="HKC14" s="239"/>
      <c r="HKD14" s="239"/>
      <c r="HKE14" s="239"/>
      <c r="HKF14" s="239"/>
      <c r="HKG14" s="239"/>
      <c r="HKH14" s="239"/>
      <c r="HKI14" s="239"/>
      <c r="HKJ14" s="239"/>
      <c r="HKK14" s="239"/>
      <c r="HKL14" s="239"/>
      <c r="HKM14" s="239"/>
      <c r="HKN14" s="239"/>
      <c r="HKO14" s="239"/>
      <c r="HKP14" s="239"/>
      <c r="HKQ14" s="239"/>
      <c r="HKR14" s="239"/>
      <c r="HKS14" s="239"/>
      <c r="HKT14" s="239"/>
      <c r="HKU14" s="239"/>
      <c r="HKV14" s="239"/>
      <c r="HKW14" s="239"/>
      <c r="HKX14" s="239"/>
      <c r="HKY14" s="239"/>
      <c r="HKZ14" s="239"/>
      <c r="HLA14" s="239"/>
      <c r="HLB14" s="239"/>
      <c r="HLC14" s="239"/>
      <c r="HLD14" s="239"/>
      <c r="HLE14" s="239"/>
      <c r="HLF14" s="239"/>
      <c r="HLG14" s="239"/>
      <c r="HLH14" s="239"/>
      <c r="HLI14" s="239"/>
      <c r="HLJ14" s="239"/>
      <c r="HLK14" s="239"/>
      <c r="HLL14" s="239"/>
      <c r="HLM14" s="239"/>
      <c r="HLN14" s="239"/>
      <c r="HLO14" s="239"/>
      <c r="HLP14" s="239"/>
      <c r="HLQ14" s="239"/>
      <c r="HLR14" s="239"/>
      <c r="HLS14" s="239"/>
      <c r="HLT14" s="239"/>
      <c r="HLU14" s="239"/>
      <c r="HLV14" s="239"/>
      <c r="HLW14" s="239"/>
      <c r="HLX14" s="239"/>
      <c r="HLY14" s="239"/>
      <c r="HLZ14" s="239"/>
      <c r="HMA14" s="239"/>
      <c r="HMB14" s="239"/>
      <c r="HMC14" s="239"/>
      <c r="HMD14" s="239"/>
      <c r="HME14" s="239"/>
      <c r="HMF14" s="239"/>
      <c r="HMG14" s="239"/>
      <c r="HMH14" s="239"/>
      <c r="HMI14" s="239"/>
      <c r="HMJ14" s="239"/>
      <c r="HMK14" s="239"/>
      <c r="HML14" s="239"/>
      <c r="HMM14" s="239"/>
      <c r="HMN14" s="239"/>
      <c r="HMO14" s="239"/>
      <c r="HMP14" s="239"/>
      <c r="HMQ14" s="239"/>
      <c r="HMR14" s="239"/>
      <c r="HMS14" s="239"/>
      <c r="HMT14" s="239"/>
      <c r="HMU14" s="239"/>
      <c r="HMV14" s="239"/>
      <c r="HMW14" s="239"/>
      <c r="HMX14" s="239"/>
      <c r="HMY14" s="239"/>
      <c r="HMZ14" s="239"/>
      <c r="HNA14" s="239"/>
      <c r="HNB14" s="239"/>
      <c r="HNC14" s="239"/>
      <c r="HND14" s="239"/>
      <c r="HNE14" s="239"/>
      <c r="HNF14" s="239"/>
      <c r="HNG14" s="239"/>
      <c r="HNH14" s="239"/>
      <c r="HNI14" s="239"/>
      <c r="HNJ14" s="239"/>
      <c r="HNK14" s="239"/>
      <c r="HNL14" s="239"/>
      <c r="HNM14" s="239"/>
      <c r="HNN14" s="239"/>
      <c r="HNO14" s="239"/>
      <c r="HNP14" s="239"/>
      <c r="HNQ14" s="239"/>
      <c r="HNR14" s="239"/>
      <c r="HNS14" s="239"/>
      <c r="HNT14" s="239"/>
      <c r="HNU14" s="239"/>
      <c r="HNV14" s="239"/>
      <c r="HNW14" s="239"/>
      <c r="HNX14" s="239"/>
      <c r="HNY14" s="239"/>
      <c r="HNZ14" s="239"/>
      <c r="HOA14" s="239"/>
      <c r="HOB14" s="239"/>
      <c r="HOC14" s="239"/>
      <c r="HOD14" s="239"/>
      <c r="HOE14" s="239"/>
      <c r="HOF14" s="239"/>
      <c r="HOG14" s="239"/>
      <c r="HOH14" s="239"/>
      <c r="HOI14" s="239"/>
      <c r="HOJ14" s="239"/>
      <c r="HOK14" s="239"/>
      <c r="HOL14" s="239"/>
      <c r="HOM14" s="239"/>
      <c r="HON14" s="239"/>
      <c r="HOO14" s="239"/>
      <c r="HOP14" s="239"/>
      <c r="HOQ14" s="239"/>
      <c r="HOR14" s="239"/>
      <c r="HOS14" s="239"/>
      <c r="HOT14" s="239"/>
      <c r="HOU14" s="239"/>
      <c r="HOV14" s="239"/>
      <c r="HOW14" s="239"/>
      <c r="HOX14" s="239"/>
      <c r="HOY14" s="239"/>
      <c r="HOZ14" s="239"/>
      <c r="HPA14" s="239"/>
      <c r="HPB14" s="239"/>
      <c r="HPC14" s="239"/>
      <c r="HPD14" s="239"/>
      <c r="HPE14" s="239"/>
      <c r="HPF14" s="239"/>
      <c r="HPG14" s="239"/>
      <c r="HPH14" s="239"/>
      <c r="HPI14" s="239"/>
      <c r="HPJ14" s="239"/>
      <c r="HPK14" s="239"/>
      <c r="HPL14" s="239"/>
      <c r="HPM14" s="239"/>
      <c r="HPN14" s="239"/>
      <c r="HPO14" s="239"/>
      <c r="HPP14" s="239"/>
      <c r="HPQ14" s="239"/>
      <c r="HPR14" s="239"/>
      <c r="HPS14" s="239"/>
      <c r="HPT14" s="239"/>
      <c r="HPU14" s="239"/>
      <c r="HPV14" s="239"/>
      <c r="HPW14" s="239"/>
      <c r="HPX14" s="239"/>
      <c r="HPY14" s="239"/>
      <c r="HPZ14" s="239"/>
      <c r="HQA14" s="239"/>
      <c r="HQB14" s="239"/>
      <c r="HQC14" s="239"/>
      <c r="HQD14" s="239"/>
      <c r="HQE14" s="239"/>
      <c r="HQF14" s="239"/>
      <c r="HQG14" s="239"/>
      <c r="HQH14" s="239"/>
      <c r="HQI14" s="239"/>
      <c r="HQJ14" s="239"/>
      <c r="HQK14" s="239"/>
      <c r="HQL14" s="239"/>
      <c r="HQM14" s="239"/>
      <c r="HQN14" s="239"/>
      <c r="HQO14" s="239"/>
      <c r="HQP14" s="239"/>
      <c r="HQQ14" s="239"/>
      <c r="HQR14" s="239"/>
      <c r="HQS14" s="239"/>
      <c r="HQT14" s="239"/>
      <c r="HQU14" s="239"/>
      <c r="HQV14" s="239"/>
      <c r="HQW14" s="239"/>
      <c r="HQX14" s="239"/>
      <c r="HQY14" s="239"/>
      <c r="HQZ14" s="239"/>
      <c r="HRA14" s="239"/>
      <c r="HRB14" s="239"/>
      <c r="HRC14" s="239"/>
      <c r="HRD14" s="239"/>
      <c r="HRE14" s="239"/>
      <c r="HRF14" s="239"/>
      <c r="HRG14" s="239"/>
      <c r="HRH14" s="239"/>
      <c r="HRI14" s="239"/>
      <c r="HRJ14" s="239"/>
      <c r="HRK14" s="239"/>
      <c r="HRL14" s="239"/>
      <c r="HRM14" s="239"/>
      <c r="HRN14" s="239"/>
      <c r="HRO14" s="239"/>
      <c r="HRP14" s="239"/>
      <c r="HRQ14" s="239"/>
      <c r="HRR14" s="239"/>
      <c r="HRS14" s="239"/>
      <c r="HRT14" s="239"/>
      <c r="HRU14" s="239"/>
      <c r="HRV14" s="239"/>
      <c r="HRW14" s="239"/>
      <c r="HRX14" s="239"/>
      <c r="HRY14" s="239"/>
      <c r="HRZ14" s="239"/>
      <c r="HSA14" s="239"/>
      <c r="HSB14" s="239"/>
      <c r="HSC14" s="239"/>
      <c r="HSD14" s="239"/>
      <c r="HSE14" s="239"/>
      <c r="HSF14" s="239"/>
      <c r="HSG14" s="239"/>
      <c r="HSH14" s="239"/>
      <c r="HSI14" s="239"/>
      <c r="HSJ14" s="239"/>
      <c r="HSK14" s="239"/>
      <c r="HSL14" s="239"/>
      <c r="HSM14" s="239"/>
      <c r="HSN14" s="239"/>
      <c r="HSO14" s="239"/>
      <c r="HSP14" s="239"/>
      <c r="HSQ14" s="239"/>
      <c r="HSR14" s="239"/>
      <c r="HSS14" s="239"/>
      <c r="HST14" s="239"/>
      <c r="HSU14" s="239"/>
      <c r="HSV14" s="239"/>
      <c r="HSW14" s="239"/>
      <c r="HSX14" s="239"/>
      <c r="HSY14" s="239"/>
      <c r="HSZ14" s="239"/>
      <c r="HTA14" s="239"/>
      <c r="HTB14" s="239"/>
      <c r="HTC14" s="239"/>
      <c r="HTD14" s="239"/>
      <c r="HTE14" s="239"/>
      <c r="HTF14" s="239"/>
      <c r="HTG14" s="239"/>
      <c r="HTH14" s="239"/>
      <c r="HTI14" s="239"/>
      <c r="HTJ14" s="239"/>
      <c r="HTK14" s="239"/>
      <c r="HTL14" s="239"/>
      <c r="HTM14" s="239"/>
      <c r="HTN14" s="239"/>
      <c r="HTO14" s="239"/>
      <c r="HTP14" s="239"/>
      <c r="HTQ14" s="239"/>
      <c r="HTR14" s="239"/>
      <c r="HTS14" s="239"/>
      <c r="HTT14" s="239"/>
      <c r="HTU14" s="239"/>
      <c r="HTV14" s="239"/>
      <c r="HTW14" s="239"/>
      <c r="HTX14" s="239"/>
      <c r="HTY14" s="239"/>
      <c r="HTZ14" s="239"/>
      <c r="HUA14" s="239"/>
      <c r="HUB14" s="239"/>
      <c r="HUC14" s="239"/>
      <c r="HUD14" s="239"/>
      <c r="HUE14" s="239"/>
      <c r="HUF14" s="239"/>
      <c r="HUG14" s="239"/>
      <c r="HUH14" s="239"/>
      <c r="HUI14" s="239"/>
      <c r="HUJ14" s="239"/>
      <c r="HUK14" s="239"/>
      <c r="HUL14" s="239"/>
      <c r="HUM14" s="239"/>
      <c r="HUN14" s="239"/>
      <c r="HUO14" s="239"/>
      <c r="HUP14" s="239"/>
      <c r="HUQ14" s="239"/>
      <c r="HUR14" s="239"/>
      <c r="HUS14" s="239"/>
      <c r="HUT14" s="239"/>
      <c r="HUU14" s="239"/>
      <c r="HUV14" s="239"/>
      <c r="HUW14" s="239"/>
      <c r="HUX14" s="239"/>
      <c r="HUY14" s="239"/>
      <c r="HUZ14" s="239"/>
      <c r="HVA14" s="239"/>
      <c r="HVB14" s="239"/>
      <c r="HVC14" s="239"/>
      <c r="HVD14" s="239"/>
      <c r="HVE14" s="239"/>
      <c r="HVF14" s="239"/>
      <c r="HVG14" s="239"/>
      <c r="HVH14" s="239"/>
      <c r="HVI14" s="239"/>
      <c r="HVJ14" s="239"/>
      <c r="HVK14" s="239"/>
      <c r="HVL14" s="239"/>
      <c r="HVM14" s="239"/>
      <c r="HVN14" s="239"/>
      <c r="HVO14" s="239"/>
      <c r="HVP14" s="239"/>
      <c r="HVQ14" s="239"/>
      <c r="HVR14" s="239"/>
      <c r="HVS14" s="239"/>
      <c r="HVT14" s="239"/>
      <c r="HVU14" s="239"/>
      <c r="HVV14" s="239"/>
      <c r="HVW14" s="239"/>
      <c r="HVX14" s="239"/>
      <c r="HVY14" s="239"/>
      <c r="HVZ14" s="239"/>
      <c r="HWA14" s="239"/>
      <c r="HWB14" s="239"/>
      <c r="HWC14" s="239"/>
      <c r="HWD14" s="239"/>
      <c r="HWE14" s="239"/>
      <c r="HWF14" s="239"/>
      <c r="HWG14" s="239"/>
      <c r="HWH14" s="239"/>
      <c r="HWI14" s="239"/>
      <c r="HWJ14" s="239"/>
      <c r="HWK14" s="239"/>
      <c r="HWL14" s="239"/>
      <c r="HWM14" s="239"/>
      <c r="HWN14" s="239"/>
      <c r="HWO14" s="239"/>
      <c r="HWP14" s="239"/>
      <c r="HWQ14" s="239"/>
      <c r="HWR14" s="239"/>
      <c r="HWS14" s="239"/>
      <c r="HWT14" s="239"/>
      <c r="HWU14" s="239"/>
      <c r="HWV14" s="239"/>
      <c r="HWW14" s="239"/>
      <c r="HWX14" s="239"/>
      <c r="HWY14" s="239"/>
      <c r="HWZ14" s="239"/>
      <c r="HXA14" s="239"/>
      <c r="HXB14" s="239"/>
      <c r="HXC14" s="239"/>
      <c r="HXD14" s="239"/>
      <c r="HXE14" s="239"/>
      <c r="HXF14" s="239"/>
      <c r="HXG14" s="239"/>
      <c r="HXH14" s="239"/>
      <c r="HXI14" s="239"/>
      <c r="HXJ14" s="239"/>
      <c r="HXK14" s="239"/>
      <c r="HXL14" s="239"/>
      <c r="HXM14" s="239"/>
      <c r="HXN14" s="239"/>
      <c r="HXO14" s="239"/>
      <c r="HXP14" s="239"/>
      <c r="HXQ14" s="239"/>
      <c r="HXR14" s="239"/>
      <c r="HXS14" s="239"/>
      <c r="HXT14" s="239"/>
      <c r="HXU14" s="239"/>
      <c r="HXV14" s="239"/>
      <c r="HXW14" s="239"/>
      <c r="HXX14" s="239"/>
      <c r="HXY14" s="239"/>
      <c r="HXZ14" s="239"/>
      <c r="HYA14" s="239"/>
      <c r="HYB14" s="239"/>
      <c r="HYC14" s="239"/>
      <c r="HYD14" s="239"/>
      <c r="HYE14" s="239"/>
      <c r="HYF14" s="239"/>
      <c r="HYG14" s="239"/>
      <c r="HYH14" s="239"/>
      <c r="HYI14" s="239"/>
      <c r="HYJ14" s="239"/>
      <c r="HYK14" s="239"/>
      <c r="HYL14" s="239"/>
      <c r="HYM14" s="239"/>
      <c r="HYN14" s="239"/>
      <c r="HYO14" s="239"/>
      <c r="HYP14" s="239"/>
      <c r="HYQ14" s="239"/>
      <c r="HYR14" s="239"/>
      <c r="HYS14" s="239"/>
      <c r="HYT14" s="239"/>
      <c r="HYU14" s="239"/>
      <c r="HYV14" s="239"/>
      <c r="HYW14" s="239"/>
      <c r="HYX14" s="239"/>
      <c r="HYY14" s="239"/>
      <c r="HYZ14" s="239"/>
      <c r="HZA14" s="239"/>
      <c r="HZB14" s="239"/>
      <c r="HZC14" s="239"/>
      <c r="HZD14" s="239"/>
      <c r="HZE14" s="239"/>
      <c r="HZF14" s="239"/>
      <c r="HZG14" s="239"/>
      <c r="HZH14" s="239"/>
      <c r="HZI14" s="239"/>
      <c r="HZJ14" s="239"/>
      <c r="HZK14" s="239"/>
      <c r="HZL14" s="239"/>
      <c r="HZM14" s="239"/>
      <c r="HZN14" s="239"/>
      <c r="HZO14" s="239"/>
      <c r="HZP14" s="239"/>
      <c r="HZQ14" s="239"/>
      <c r="HZR14" s="239"/>
      <c r="HZS14" s="239"/>
      <c r="HZT14" s="239"/>
      <c r="HZU14" s="239"/>
      <c r="HZV14" s="239"/>
      <c r="HZW14" s="239"/>
      <c r="HZX14" s="239"/>
      <c r="HZY14" s="239"/>
      <c r="HZZ14" s="239"/>
      <c r="IAA14" s="239"/>
      <c r="IAB14" s="239"/>
      <c r="IAC14" s="239"/>
      <c r="IAD14" s="239"/>
      <c r="IAE14" s="239"/>
      <c r="IAF14" s="239"/>
      <c r="IAG14" s="239"/>
      <c r="IAH14" s="239"/>
      <c r="IAI14" s="239"/>
      <c r="IAJ14" s="239"/>
      <c r="IAK14" s="239"/>
      <c r="IAL14" s="239"/>
      <c r="IAM14" s="239"/>
      <c r="IAN14" s="239"/>
      <c r="IAO14" s="239"/>
      <c r="IAP14" s="239"/>
      <c r="IAQ14" s="239"/>
      <c r="IAR14" s="239"/>
      <c r="IAS14" s="239"/>
      <c r="IAT14" s="239"/>
      <c r="IAU14" s="239"/>
      <c r="IAV14" s="239"/>
      <c r="IAW14" s="239"/>
      <c r="IAX14" s="239"/>
      <c r="IAY14" s="239"/>
      <c r="IAZ14" s="239"/>
      <c r="IBA14" s="239"/>
      <c r="IBB14" s="239"/>
      <c r="IBC14" s="239"/>
      <c r="IBD14" s="239"/>
      <c r="IBE14" s="239"/>
      <c r="IBF14" s="239"/>
      <c r="IBG14" s="239"/>
      <c r="IBH14" s="239"/>
      <c r="IBI14" s="239"/>
      <c r="IBJ14" s="239"/>
      <c r="IBK14" s="239"/>
      <c r="IBL14" s="239"/>
      <c r="IBM14" s="239"/>
      <c r="IBN14" s="239"/>
      <c r="IBO14" s="239"/>
      <c r="IBP14" s="239"/>
      <c r="IBQ14" s="239"/>
      <c r="IBR14" s="239"/>
      <c r="IBS14" s="239"/>
      <c r="IBT14" s="239"/>
      <c r="IBU14" s="239"/>
      <c r="IBV14" s="239"/>
      <c r="IBW14" s="239"/>
      <c r="IBX14" s="239"/>
      <c r="IBY14" s="239"/>
      <c r="IBZ14" s="239"/>
      <c r="ICA14" s="239"/>
      <c r="ICB14" s="239"/>
      <c r="ICC14" s="239"/>
      <c r="ICD14" s="239"/>
      <c r="ICE14" s="239"/>
      <c r="ICF14" s="239"/>
      <c r="ICG14" s="239"/>
      <c r="ICH14" s="239"/>
      <c r="ICI14" s="239"/>
      <c r="ICJ14" s="239"/>
      <c r="ICK14" s="239"/>
      <c r="ICL14" s="239"/>
      <c r="ICM14" s="239"/>
      <c r="ICN14" s="239"/>
      <c r="ICO14" s="239"/>
      <c r="ICP14" s="239"/>
      <c r="ICQ14" s="239"/>
      <c r="ICR14" s="239"/>
      <c r="ICS14" s="239"/>
      <c r="ICT14" s="239"/>
      <c r="ICU14" s="239"/>
      <c r="ICV14" s="239"/>
      <c r="ICW14" s="239"/>
      <c r="ICX14" s="239"/>
      <c r="ICY14" s="239"/>
      <c r="ICZ14" s="239"/>
      <c r="IDA14" s="239"/>
      <c r="IDB14" s="239"/>
      <c r="IDC14" s="239"/>
      <c r="IDD14" s="239"/>
      <c r="IDE14" s="239"/>
      <c r="IDF14" s="239"/>
      <c r="IDG14" s="239"/>
      <c r="IDH14" s="239"/>
      <c r="IDI14" s="239"/>
      <c r="IDJ14" s="239"/>
      <c r="IDK14" s="239"/>
      <c r="IDL14" s="239"/>
      <c r="IDM14" s="239"/>
      <c r="IDN14" s="239"/>
      <c r="IDO14" s="239"/>
      <c r="IDP14" s="239"/>
      <c r="IDQ14" s="239"/>
      <c r="IDR14" s="239"/>
      <c r="IDS14" s="239"/>
      <c r="IDT14" s="239"/>
      <c r="IDU14" s="239"/>
      <c r="IDV14" s="239"/>
      <c r="IDW14" s="239"/>
      <c r="IDX14" s="239"/>
      <c r="IDY14" s="239"/>
      <c r="IDZ14" s="239"/>
      <c r="IEA14" s="239"/>
      <c r="IEB14" s="239"/>
      <c r="IEC14" s="239"/>
      <c r="IED14" s="239"/>
      <c r="IEE14" s="239"/>
      <c r="IEF14" s="239"/>
      <c r="IEG14" s="239"/>
      <c r="IEH14" s="239"/>
      <c r="IEI14" s="239"/>
      <c r="IEJ14" s="239"/>
      <c r="IEK14" s="239"/>
      <c r="IEL14" s="239"/>
      <c r="IEM14" s="239"/>
      <c r="IEN14" s="239"/>
      <c r="IEO14" s="239"/>
      <c r="IEP14" s="239"/>
      <c r="IEQ14" s="239"/>
      <c r="IER14" s="239"/>
      <c r="IES14" s="239"/>
      <c r="IET14" s="239"/>
      <c r="IEU14" s="239"/>
      <c r="IEV14" s="239"/>
      <c r="IEW14" s="239"/>
      <c r="IEX14" s="239"/>
      <c r="IEY14" s="239"/>
      <c r="IEZ14" s="239"/>
      <c r="IFA14" s="239"/>
      <c r="IFB14" s="239"/>
      <c r="IFC14" s="239"/>
      <c r="IFD14" s="239"/>
      <c r="IFE14" s="239"/>
      <c r="IFF14" s="239"/>
      <c r="IFG14" s="239"/>
      <c r="IFH14" s="239"/>
      <c r="IFI14" s="239"/>
      <c r="IFJ14" s="239"/>
      <c r="IFK14" s="239"/>
      <c r="IFL14" s="239"/>
      <c r="IFM14" s="239"/>
      <c r="IFN14" s="239"/>
      <c r="IFO14" s="239"/>
      <c r="IFP14" s="239"/>
      <c r="IFQ14" s="239"/>
      <c r="IFR14" s="239"/>
      <c r="IFS14" s="239"/>
      <c r="IFT14" s="239"/>
      <c r="IFU14" s="239"/>
      <c r="IFV14" s="239"/>
      <c r="IFW14" s="239"/>
      <c r="IFX14" s="239"/>
      <c r="IFY14" s="239"/>
      <c r="IFZ14" s="239"/>
      <c r="IGA14" s="239"/>
      <c r="IGB14" s="239"/>
      <c r="IGC14" s="239"/>
      <c r="IGD14" s="239"/>
      <c r="IGE14" s="239"/>
      <c r="IGF14" s="239"/>
      <c r="IGG14" s="239"/>
      <c r="IGH14" s="239"/>
      <c r="IGI14" s="239"/>
      <c r="IGJ14" s="239"/>
      <c r="IGK14" s="239"/>
      <c r="IGL14" s="239"/>
      <c r="IGM14" s="239"/>
      <c r="IGN14" s="239"/>
      <c r="IGO14" s="239"/>
      <c r="IGP14" s="239"/>
      <c r="IGQ14" s="239"/>
      <c r="IGR14" s="239"/>
      <c r="IGS14" s="239"/>
      <c r="IGT14" s="239"/>
      <c r="IGU14" s="239"/>
      <c r="IGV14" s="239"/>
      <c r="IGW14" s="239"/>
      <c r="IGX14" s="239"/>
      <c r="IGY14" s="239"/>
      <c r="IGZ14" s="239"/>
      <c r="IHA14" s="239"/>
      <c r="IHB14" s="239"/>
      <c r="IHC14" s="239"/>
      <c r="IHD14" s="239"/>
      <c r="IHE14" s="239"/>
      <c r="IHF14" s="239"/>
      <c r="IHG14" s="239"/>
      <c r="IHH14" s="239"/>
      <c r="IHI14" s="239"/>
      <c r="IHJ14" s="239"/>
      <c r="IHK14" s="239"/>
      <c r="IHL14" s="239"/>
      <c r="IHM14" s="239"/>
      <c r="IHN14" s="239"/>
      <c r="IHO14" s="239"/>
      <c r="IHP14" s="239"/>
      <c r="IHQ14" s="239"/>
      <c r="IHR14" s="239"/>
      <c r="IHS14" s="239"/>
      <c r="IHT14" s="239"/>
      <c r="IHU14" s="239"/>
      <c r="IHV14" s="239"/>
      <c r="IHW14" s="239"/>
      <c r="IHX14" s="239"/>
      <c r="IHY14" s="239"/>
      <c r="IHZ14" s="239"/>
      <c r="IIA14" s="239"/>
      <c r="IIB14" s="239"/>
      <c r="IIC14" s="239"/>
      <c r="IID14" s="239"/>
      <c r="IIE14" s="239"/>
      <c r="IIF14" s="239"/>
      <c r="IIG14" s="239"/>
      <c r="IIH14" s="239"/>
      <c r="III14" s="239"/>
      <c r="IIJ14" s="239"/>
      <c r="IIK14" s="239"/>
      <c r="IIL14" s="239"/>
      <c r="IIM14" s="239"/>
      <c r="IIN14" s="239"/>
      <c r="IIO14" s="239"/>
      <c r="IIP14" s="239"/>
      <c r="IIQ14" s="239"/>
      <c r="IIR14" s="239"/>
      <c r="IIS14" s="239"/>
      <c r="IIT14" s="239"/>
      <c r="IIU14" s="239"/>
      <c r="IIV14" s="239"/>
      <c r="IIW14" s="239"/>
      <c r="IIX14" s="239"/>
      <c r="IIY14" s="239"/>
      <c r="IIZ14" s="239"/>
      <c r="IJA14" s="239"/>
      <c r="IJB14" s="239"/>
      <c r="IJC14" s="239"/>
      <c r="IJD14" s="239"/>
      <c r="IJE14" s="239"/>
      <c r="IJF14" s="239"/>
      <c r="IJG14" s="239"/>
      <c r="IJH14" s="239"/>
      <c r="IJI14" s="239"/>
      <c r="IJJ14" s="239"/>
      <c r="IJK14" s="239"/>
      <c r="IJL14" s="239"/>
      <c r="IJM14" s="239"/>
      <c r="IJN14" s="239"/>
      <c r="IJO14" s="239"/>
      <c r="IJP14" s="239"/>
      <c r="IJQ14" s="239"/>
      <c r="IJR14" s="239"/>
      <c r="IJS14" s="239"/>
      <c r="IJT14" s="239"/>
      <c r="IJU14" s="239"/>
      <c r="IJV14" s="239"/>
      <c r="IJW14" s="239"/>
      <c r="IJX14" s="239"/>
      <c r="IJY14" s="239"/>
      <c r="IJZ14" s="239"/>
      <c r="IKA14" s="239"/>
      <c r="IKB14" s="239"/>
      <c r="IKC14" s="239"/>
      <c r="IKD14" s="239"/>
      <c r="IKE14" s="239"/>
      <c r="IKF14" s="239"/>
      <c r="IKG14" s="239"/>
      <c r="IKH14" s="239"/>
      <c r="IKI14" s="239"/>
      <c r="IKJ14" s="239"/>
      <c r="IKK14" s="239"/>
      <c r="IKL14" s="239"/>
      <c r="IKM14" s="239"/>
      <c r="IKN14" s="239"/>
      <c r="IKO14" s="239"/>
      <c r="IKP14" s="239"/>
      <c r="IKQ14" s="239"/>
      <c r="IKR14" s="239"/>
      <c r="IKS14" s="239"/>
      <c r="IKT14" s="239"/>
      <c r="IKU14" s="239"/>
      <c r="IKV14" s="239"/>
      <c r="IKW14" s="239"/>
      <c r="IKX14" s="239"/>
      <c r="IKY14" s="239"/>
      <c r="IKZ14" s="239"/>
      <c r="ILA14" s="239"/>
      <c r="ILB14" s="239"/>
      <c r="ILC14" s="239"/>
      <c r="ILD14" s="239"/>
      <c r="ILE14" s="239"/>
      <c r="ILF14" s="239"/>
      <c r="ILG14" s="239"/>
      <c r="ILH14" s="239"/>
      <c r="ILI14" s="239"/>
      <c r="ILJ14" s="239"/>
      <c r="ILK14" s="239"/>
      <c r="ILL14" s="239"/>
      <c r="ILM14" s="239"/>
      <c r="ILN14" s="239"/>
      <c r="ILO14" s="239"/>
      <c r="ILP14" s="239"/>
      <c r="ILQ14" s="239"/>
      <c r="ILR14" s="239"/>
      <c r="ILS14" s="239"/>
      <c r="ILT14" s="239"/>
      <c r="ILU14" s="239"/>
      <c r="ILV14" s="239"/>
      <c r="ILW14" s="239"/>
      <c r="ILX14" s="239"/>
      <c r="ILY14" s="239"/>
      <c r="ILZ14" s="239"/>
      <c r="IMA14" s="239"/>
      <c r="IMB14" s="239"/>
      <c r="IMC14" s="239"/>
      <c r="IMD14" s="239"/>
      <c r="IME14" s="239"/>
      <c r="IMF14" s="239"/>
      <c r="IMG14" s="239"/>
      <c r="IMH14" s="239"/>
      <c r="IMI14" s="239"/>
      <c r="IMJ14" s="239"/>
      <c r="IMK14" s="239"/>
      <c r="IML14" s="239"/>
      <c r="IMM14" s="239"/>
      <c r="IMN14" s="239"/>
      <c r="IMO14" s="239"/>
      <c r="IMP14" s="239"/>
      <c r="IMQ14" s="239"/>
      <c r="IMR14" s="239"/>
      <c r="IMS14" s="239"/>
      <c r="IMT14" s="239"/>
      <c r="IMU14" s="239"/>
      <c r="IMV14" s="239"/>
      <c r="IMW14" s="239"/>
      <c r="IMX14" s="239"/>
      <c r="IMY14" s="239"/>
      <c r="IMZ14" s="239"/>
      <c r="INA14" s="239"/>
      <c r="INB14" s="239"/>
      <c r="INC14" s="239"/>
      <c r="IND14" s="239"/>
      <c r="INE14" s="239"/>
      <c r="INF14" s="239"/>
      <c r="ING14" s="239"/>
      <c r="INH14" s="239"/>
      <c r="INI14" s="239"/>
      <c r="INJ14" s="239"/>
      <c r="INK14" s="239"/>
      <c r="INL14" s="239"/>
      <c r="INM14" s="239"/>
      <c r="INN14" s="239"/>
      <c r="INO14" s="239"/>
      <c r="INP14" s="239"/>
      <c r="INQ14" s="239"/>
      <c r="INR14" s="239"/>
      <c r="INS14" s="239"/>
      <c r="INT14" s="239"/>
      <c r="INU14" s="239"/>
      <c r="INV14" s="239"/>
      <c r="INW14" s="239"/>
      <c r="INX14" s="239"/>
      <c r="INY14" s="239"/>
      <c r="INZ14" s="239"/>
      <c r="IOA14" s="239"/>
      <c r="IOB14" s="239"/>
      <c r="IOC14" s="239"/>
      <c r="IOD14" s="239"/>
      <c r="IOE14" s="239"/>
      <c r="IOF14" s="239"/>
      <c r="IOG14" s="239"/>
      <c r="IOH14" s="239"/>
      <c r="IOI14" s="239"/>
      <c r="IOJ14" s="239"/>
      <c r="IOK14" s="239"/>
      <c r="IOL14" s="239"/>
      <c r="IOM14" s="239"/>
      <c r="ION14" s="239"/>
      <c r="IOO14" s="239"/>
      <c r="IOP14" s="239"/>
      <c r="IOQ14" s="239"/>
      <c r="IOR14" s="239"/>
      <c r="IOS14" s="239"/>
      <c r="IOT14" s="239"/>
      <c r="IOU14" s="239"/>
      <c r="IOV14" s="239"/>
      <c r="IOW14" s="239"/>
      <c r="IOX14" s="239"/>
      <c r="IOY14" s="239"/>
      <c r="IOZ14" s="239"/>
      <c r="IPA14" s="239"/>
      <c r="IPB14" s="239"/>
      <c r="IPC14" s="239"/>
      <c r="IPD14" s="239"/>
      <c r="IPE14" s="239"/>
      <c r="IPF14" s="239"/>
      <c r="IPG14" s="239"/>
      <c r="IPH14" s="239"/>
      <c r="IPI14" s="239"/>
      <c r="IPJ14" s="239"/>
      <c r="IPK14" s="239"/>
      <c r="IPL14" s="239"/>
      <c r="IPM14" s="239"/>
      <c r="IPN14" s="239"/>
      <c r="IPO14" s="239"/>
      <c r="IPP14" s="239"/>
      <c r="IPQ14" s="239"/>
      <c r="IPR14" s="239"/>
      <c r="IPS14" s="239"/>
      <c r="IPT14" s="239"/>
      <c r="IPU14" s="239"/>
      <c r="IPV14" s="239"/>
      <c r="IPW14" s="239"/>
      <c r="IPX14" s="239"/>
      <c r="IPY14" s="239"/>
      <c r="IPZ14" s="239"/>
      <c r="IQA14" s="239"/>
      <c r="IQB14" s="239"/>
      <c r="IQC14" s="239"/>
      <c r="IQD14" s="239"/>
      <c r="IQE14" s="239"/>
      <c r="IQF14" s="239"/>
      <c r="IQG14" s="239"/>
      <c r="IQH14" s="239"/>
      <c r="IQI14" s="239"/>
      <c r="IQJ14" s="239"/>
      <c r="IQK14" s="239"/>
      <c r="IQL14" s="239"/>
      <c r="IQM14" s="239"/>
      <c r="IQN14" s="239"/>
      <c r="IQO14" s="239"/>
      <c r="IQP14" s="239"/>
      <c r="IQQ14" s="239"/>
      <c r="IQR14" s="239"/>
      <c r="IQS14" s="239"/>
      <c r="IQT14" s="239"/>
      <c r="IQU14" s="239"/>
      <c r="IQV14" s="239"/>
      <c r="IQW14" s="239"/>
      <c r="IQX14" s="239"/>
      <c r="IQY14" s="239"/>
      <c r="IQZ14" s="239"/>
      <c r="IRA14" s="239"/>
      <c r="IRB14" s="239"/>
      <c r="IRC14" s="239"/>
      <c r="IRD14" s="239"/>
      <c r="IRE14" s="239"/>
      <c r="IRF14" s="239"/>
      <c r="IRG14" s="239"/>
      <c r="IRH14" s="239"/>
      <c r="IRI14" s="239"/>
      <c r="IRJ14" s="239"/>
      <c r="IRK14" s="239"/>
      <c r="IRL14" s="239"/>
      <c r="IRM14" s="239"/>
      <c r="IRN14" s="239"/>
      <c r="IRO14" s="239"/>
      <c r="IRP14" s="239"/>
      <c r="IRQ14" s="239"/>
      <c r="IRR14" s="239"/>
      <c r="IRS14" s="239"/>
      <c r="IRT14" s="239"/>
      <c r="IRU14" s="239"/>
      <c r="IRV14" s="239"/>
      <c r="IRW14" s="239"/>
      <c r="IRX14" s="239"/>
      <c r="IRY14" s="239"/>
      <c r="IRZ14" s="239"/>
      <c r="ISA14" s="239"/>
      <c r="ISB14" s="239"/>
      <c r="ISC14" s="239"/>
      <c r="ISD14" s="239"/>
      <c r="ISE14" s="239"/>
      <c r="ISF14" s="239"/>
      <c r="ISG14" s="239"/>
      <c r="ISH14" s="239"/>
      <c r="ISI14" s="239"/>
      <c r="ISJ14" s="239"/>
      <c r="ISK14" s="239"/>
      <c r="ISL14" s="239"/>
      <c r="ISM14" s="239"/>
      <c r="ISN14" s="239"/>
      <c r="ISO14" s="239"/>
      <c r="ISP14" s="239"/>
      <c r="ISQ14" s="239"/>
      <c r="ISR14" s="239"/>
      <c r="ISS14" s="239"/>
      <c r="IST14" s="239"/>
      <c r="ISU14" s="239"/>
      <c r="ISV14" s="239"/>
      <c r="ISW14" s="239"/>
      <c r="ISX14" s="239"/>
      <c r="ISY14" s="239"/>
      <c r="ISZ14" s="239"/>
      <c r="ITA14" s="239"/>
      <c r="ITB14" s="239"/>
      <c r="ITC14" s="239"/>
      <c r="ITD14" s="239"/>
      <c r="ITE14" s="239"/>
      <c r="ITF14" s="239"/>
      <c r="ITG14" s="239"/>
      <c r="ITH14" s="239"/>
      <c r="ITI14" s="239"/>
      <c r="ITJ14" s="239"/>
      <c r="ITK14" s="239"/>
      <c r="ITL14" s="239"/>
      <c r="ITM14" s="239"/>
      <c r="ITN14" s="239"/>
      <c r="ITO14" s="239"/>
      <c r="ITP14" s="239"/>
      <c r="ITQ14" s="239"/>
      <c r="ITR14" s="239"/>
      <c r="ITS14" s="239"/>
      <c r="ITT14" s="239"/>
      <c r="ITU14" s="239"/>
      <c r="ITV14" s="239"/>
      <c r="ITW14" s="239"/>
      <c r="ITX14" s="239"/>
      <c r="ITY14" s="239"/>
      <c r="ITZ14" s="239"/>
      <c r="IUA14" s="239"/>
      <c r="IUB14" s="239"/>
      <c r="IUC14" s="239"/>
      <c r="IUD14" s="239"/>
      <c r="IUE14" s="239"/>
      <c r="IUF14" s="239"/>
      <c r="IUG14" s="239"/>
      <c r="IUH14" s="239"/>
      <c r="IUI14" s="239"/>
      <c r="IUJ14" s="239"/>
      <c r="IUK14" s="239"/>
      <c r="IUL14" s="239"/>
      <c r="IUM14" s="239"/>
      <c r="IUN14" s="239"/>
      <c r="IUO14" s="239"/>
      <c r="IUP14" s="239"/>
      <c r="IUQ14" s="239"/>
      <c r="IUR14" s="239"/>
      <c r="IUS14" s="239"/>
      <c r="IUT14" s="239"/>
      <c r="IUU14" s="239"/>
      <c r="IUV14" s="239"/>
      <c r="IUW14" s="239"/>
      <c r="IUX14" s="239"/>
      <c r="IUY14" s="239"/>
      <c r="IUZ14" s="239"/>
      <c r="IVA14" s="239"/>
      <c r="IVB14" s="239"/>
      <c r="IVC14" s="239"/>
      <c r="IVD14" s="239"/>
      <c r="IVE14" s="239"/>
      <c r="IVF14" s="239"/>
      <c r="IVG14" s="239"/>
      <c r="IVH14" s="239"/>
      <c r="IVI14" s="239"/>
      <c r="IVJ14" s="239"/>
      <c r="IVK14" s="239"/>
      <c r="IVL14" s="239"/>
      <c r="IVM14" s="239"/>
      <c r="IVN14" s="239"/>
      <c r="IVO14" s="239"/>
      <c r="IVP14" s="239"/>
      <c r="IVQ14" s="239"/>
      <c r="IVR14" s="239"/>
      <c r="IVS14" s="239"/>
      <c r="IVT14" s="239"/>
      <c r="IVU14" s="239"/>
      <c r="IVV14" s="239"/>
      <c r="IVW14" s="239"/>
      <c r="IVX14" s="239"/>
      <c r="IVY14" s="239"/>
      <c r="IVZ14" s="239"/>
      <c r="IWA14" s="239"/>
      <c r="IWB14" s="239"/>
      <c r="IWC14" s="239"/>
      <c r="IWD14" s="239"/>
      <c r="IWE14" s="239"/>
      <c r="IWF14" s="239"/>
      <c r="IWG14" s="239"/>
      <c r="IWH14" s="239"/>
      <c r="IWI14" s="239"/>
      <c r="IWJ14" s="239"/>
      <c r="IWK14" s="239"/>
      <c r="IWL14" s="239"/>
      <c r="IWM14" s="239"/>
      <c r="IWN14" s="239"/>
      <c r="IWO14" s="239"/>
      <c r="IWP14" s="239"/>
      <c r="IWQ14" s="239"/>
      <c r="IWR14" s="239"/>
      <c r="IWS14" s="239"/>
      <c r="IWT14" s="239"/>
      <c r="IWU14" s="239"/>
      <c r="IWV14" s="239"/>
      <c r="IWW14" s="239"/>
      <c r="IWX14" s="239"/>
      <c r="IWY14" s="239"/>
      <c r="IWZ14" s="239"/>
      <c r="IXA14" s="239"/>
      <c r="IXB14" s="239"/>
      <c r="IXC14" s="239"/>
      <c r="IXD14" s="239"/>
      <c r="IXE14" s="239"/>
      <c r="IXF14" s="239"/>
      <c r="IXG14" s="239"/>
      <c r="IXH14" s="239"/>
      <c r="IXI14" s="239"/>
      <c r="IXJ14" s="239"/>
      <c r="IXK14" s="239"/>
      <c r="IXL14" s="239"/>
      <c r="IXM14" s="239"/>
      <c r="IXN14" s="239"/>
      <c r="IXO14" s="239"/>
      <c r="IXP14" s="239"/>
      <c r="IXQ14" s="239"/>
      <c r="IXR14" s="239"/>
      <c r="IXS14" s="239"/>
      <c r="IXT14" s="239"/>
      <c r="IXU14" s="239"/>
      <c r="IXV14" s="239"/>
      <c r="IXW14" s="239"/>
      <c r="IXX14" s="239"/>
      <c r="IXY14" s="239"/>
      <c r="IXZ14" s="239"/>
      <c r="IYA14" s="239"/>
      <c r="IYB14" s="239"/>
      <c r="IYC14" s="239"/>
      <c r="IYD14" s="239"/>
      <c r="IYE14" s="239"/>
      <c r="IYF14" s="239"/>
      <c r="IYG14" s="239"/>
      <c r="IYH14" s="239"/>
      <c r="IYI14" s="239"/>
      <c r="IYJ14" s="239"/>
      <c r="IYK14" s="239"/>
      <c r="IYL14" s="239"/>
      <c r="IYM14" s="239"/>
      <c r="IYN14" s="239"/>
      <c r="IYO14" s="239"/>
      <c r="IYP14" s="239"/>
      <c r="IYQ14" s="239"/>
      <c r="IYR14" s="239"/>
      <c r="IYS14" s="239"/>
      <c r="IYT14" s="239"/>
      <c r="IYU14" s="239"/>
      <c r="IYV14" s="239"/>
      <c r="IYW14" s="239"/>
      <c r="IYX14" s="239"/>
      <c r="IYY14" s="239"/>
      <c r="IYZ14" s="239"/>
      <c r="IZA14" s="239"/>
      <c r="IZB14" s="239"/>
      <c r="IZC14" s="239"/>
      <c r="IZD14" s="239"/>
      <c r="IZE14" s="239"/>
      <c r="IZF14" s="239"/>
      <c r="IZG14" s="239"/>
      <c r="IZH14" s="239"/>
      <c r="IZI14" s="239"/>
      <c r="IZJ14" s="239"/>
      <c r="IZK14" s="239"/>
      <c r="IZL14" s="239"/>
      <c r="IZM14" s="239"/>
      <c r="IZN14" s="239"/>
      <c r="IZO14" s="239"/>
      <c r="IZP14" s="239"/>
      <c r="IZQ14" s="239"/>
      <c r="IZR14" s="239"/>
      <c r="IZS14" s="239"/>
      <c r="IZT14" s="239"/>
      <c r="IZU14" s="239"/>
      <c r="IZV14" s="239"/>
      <c r="IZW14" s="239"/>
      <c r="IZX14" s="239"/>
      <c r="IZY14" s="239"/>
      <c r="IZZ14" s="239"/>
      <c r="JAA14" s="239"/>
      <c r="JAB14" s="239"/>
      <c r="JAC14" s="239"/>
      <c r="JAD14" s="239"/>
      <c r="JAE14" s="239"/>
      <c r="JAF14" s="239"/>
      <c r="JAG14" s="239"/>
      <c r="JAH14" s="239"/>
      <c r="JAI14" s="239"/>
      <c r="JAJ14" s="239"/>
      <c r="JAK14" s="239"/>
      <c r="JAL14" s="239"/>
      <c r="JAM14" s="239"/>
      <c r="JAN14" s="239"/>
      <c r="JAO14" s="239"/>
      <c r="JAP14" s="239"/>
      <c r="JAQ14" s="239"/>
      <c r="JAR14" s="239"/>
      <c r="JAS14" s="239"/>
      <c r="JAT14" s="239"/>
      <c r="JAU14" s="239"/>
      <c r="JAV14" s="239"/>
      <c r="JAW14" s="239"/>
      <c r="JAX14" s="239"/>
      <c r="JAY14" s="239"/>
      <c r="JAZ14" s="239"/>
      <c r="JBA14" s="239"/>
      <c r="JBB14" s="239"/>
      <c r="JBC14" s="239"/>
      <c r="JBD14" s="239"/>
      <c r="JBE14" s="239"/>
      <c r="JBF14" s="239"/>
      <c r="JBG14" s="239"/>
      <c r="JBH14" s="239"/>
      <c r="JBI14" s="239"/>
      <c r="JBJ14" s="239"/>
      <c r="JBK14" s="239"/>
      <c r="JBL14" s="239"/>
      <c r="JBM14" s="239"/>
      <c r="JBN14" s="239"/>
      <c r="JBO14" s="239"/>
      <c r="JBP14" s="239"/>
      <c r="JBQ14" s="239"/>
      <c r="JBR14" s="239"/>
      <c r="JBS14" s="239"/>
      <c r="JBT14" s="239"/>
      <c r="JBU14" s="239"/>
      <c r="JBV14" s="239"/>
      <c r="JBW14" s="239"/>
      <c r="JBX14" s="239"/>
      <c r="JBY14" s="239"/>
      <c r="JBZ14" s="239"/>
      <c r="JCA14" s="239"/>
      <c r="JCB14" s="239"/>
      <c r="JCC14" s="239"/>
      <c r="JCD14" s="239"/>
      <c r="JCE14" s="239"/>
      <c r="JCF14" s="239"/>
      <c r="JCG14" s="239"/>
      <c r="JCH14" s="239"/>
      <c r="JCI14" s="239"/>
      <c r="JCJ14" s="239"/>
      <c r="JCK14" s="239"/>
      <c r="JCL14" s="239"/>
      <c r="JCM14" s="239"/>
      <c r="JCN14" s="239"/>
      <c r="JCO14" s="239"/>
      <c r="JCP14" s="239"/>
      <c r="JCQ14" s="239"/>
      <c r="JCR14" s="239"/>
      <c r="JCS14" s="239"/>
      <c r="JCT14" s="239"/>
      <c r="JCU14" s="239"/>
      <c r="JCV14" s="239"/>
      <c r="JCW14" s="239"/>
      <c r="JCX14" s="239"/>
      <c r="JCY14" s="239"/>
      <c r="JCZ14" s="239"/>
      <c r="JDA14" s="239"/>
      <c r="JDB14" s="239"/>
      <c r="JDC14" s="239"/>
      <c r="JDD14" s="239"/>
      <c r="JDE14" s="239"/>
      <c r="JDF14" s="239"/>
      <c r="JDG14" s="239"/>
      <c r="JDH14" s="239"/>
      <c r="JDI14" s="239"/>
      <c r="JDJ14" s="239"/>
      <c r="JDK14" s="239"/>
      <c r="JDL14" s="239"/>
      <c r="JDM14" s="239"/>
      <c r="JDN14" s="239"/>
      <c r="JDO14" s="239"/>
      <c r="JDP14" s="239"/>
      <c r="JDQ14" s="239"/>
      <c r="JDR14" s="239"/>
      <c r="JDS14" s="239"/>
      <c r="JDT14" s="239"/>
      <c r="JDU14" s="239"/>
      <c r="JDV14" s="239"/>
      <c r="JDW14" s="239"/>
      <c r="JDX14" s="239"/>
      <c r="JDY14" s="239"/>
      <c r="JDZ14" s="239"/>
      <c r="JEA14" s="239"/>
      <c r="JEB14" s="239"/>
      <c r="JEC14" s="239"/>
      <c r="JED14" s="239"/>
      <c r="JEE14" s="239"/>
      <c r="JEF14" s="239"/>
      <c r="JEG14" s="239"/>
      <c r="JEH14" s="239"/>
      <c r="JEI14" s="239"/>
      <c r="JEJ14" s="239"/>
      <c r="JEK14" s="239"/>
      <c r="JEL14" s="239"/>
      <c r="JEM14" s="239"/>
      <c r="JEN14" s="239"/>
      <c r="JEO14" s="239"/>
      <c r="JEP14" s="239"/>
      <c r="JEQ14" s="239"/>
      <c r="JER14" s="239"/>
      <c r="JES14" s="239"/>
      <c r="JET14" s="239"/>
      <c r="JEU14" s="239"/>
      <c r="JEV14" s="239"/>
      <c r="JEW14" s="239"/>
      <c r="JEX14" s="239"/>
      <c r="JEY14" s="239"/>
      <c r="JEZ14" s="239"/>
      <c r="JFA14" s="239"/>
      <c r="JFB14" s="239"/>
      <c r="JFC14" s="239"/>
      <c r="JFD14" s="239"/>
      <c r="JFE14" s="239"/>
      <c r="JFF14" s="239"/>
      <c r="JFG14" s="239"/>
      <c r="JFH14" s="239"/>
      <c r="JFI14" s="239"/>
      <c r="JFJ14" s="239"/>
      <c r="JFK14" s="239"/>
      <c r="JFL14" s="239"/>
      <c r="JFM14" s="239"/>
      <c r="JFN14" s="239"/>
      <c r="JFO14" s="239"/>
      <c r="JFP14" s="239"/>
      <c r="JFQ14" s="239"/>
      <c r="JFR14" s="239"/>
      <c r="JFS14" s="239"/>
      <c r="JFT14" s="239"/>
      <c r="JFU14" s="239"/>
      <c r="JFV14" s="239"/>
      <c r="JFW14" s="239"/>
      <c r="JFX14" s="239"/>
      <c r="JFY14" s="239"/>
      <c r="JFZ14" s="239"/>
      <c r="JGA14" s="239"/>
      <c r="JGB14" s="239"/>
      <c r="JGC14" s="239"/>
      <c r="JGD14" s="239"/>
      <c r="JGE14" s="239"/>
      <c r="JGF14" s="239"/>
      <c r="JGG14" s="239"/>
      <c r="JGH14" s="239"/>
      <c r="JGI14" s="239"/>
      <c r="JGJ14" s="239"/>
      <c r="JGK14" s="239"/>
      <c r="JGL14" s="239"/>
      <c r="JGM14" s="239"/>
      <c r="JGN14" s="239"/>
      <c r="JGO14" s="239"/>
      <c r="JGP14" s="239"/>
      <c r="JGQ14" s="239"/>
      <c r="JGR14" s="239"/>
      <c r="JGS14" s="239"/>
      <c r="JGT14" s="239"/>
      <c r="JGU14" s="239"/>
      <c r="JGV14" s="239"/>
      <c r="JGW14" s="239"/>
      <c r="JGX14" s="239"/>
      <c r="JGY14" s="239"/>
      <c r="JGZ14" s="239"/>
      <c r="JHA14" s="239"/>
      <c r="JHB14" s="239"/>
      <c r="JHC14" s="239"/>
      <c r="JHD14" s="239"/>
      <c r="JHE14" s="239"/>
      <c r="JHF14" s="239"/>
      <c r="JHG14" s="239"/>
      <c r="JHH14" s="239"/>
      <c r="JHI14" s="239"/>
      <c r="JHJ14" s="239"/>
      <c r="JHK14" s="239"/>
      <c r="JHL14" s="239"/>
      <c r="JHM14" s="239"/>
      <c r="JHN14" s="239"/>
      <c r="JHO14" s="239"/>
      <c r="JHP14" s="239"/>
      <c r="JHQ14" s="239"/>
      <c r="JHR14" s="239"/>
      <c r="JHS14" s="239"/>
      <c r="JHT14" s="239"/>
      <c r="JHU14" s="239"/>
      <c r="JHV14" s="239"/>
      <c r="JHW14" s="239"/>
      <c r="JHX14" s="239"/>
      <c r="JHY14" s="239"/>
      <c r="JHZ14" s="239"/>
      <c r="JIA14" s="239"/>
      <c r="JIB14" s="239"/>
      <c r="JIC14" s="239"/>
      <c r="JID14" s="239"/>
      <c r="JIE14" s="239"/>
      <c r="JIF14" s="239"/>
      <c r="JIG14" s="239"/>
      <c r="JIH14" s="239"/>
      <c r="JII14" s="239"/>
      <c r="JIJ14" s="239"/>
      <c r="JIK14" s="239"/>
      <c r="JIL14" s="239"/>
      <c r="JIM14" s="239"/>
      <c r="JIN14" s="239"/>
      <c r="JIO14" s="239"/>
      <c r="JIP14" s="239"/>
      <c r="JIQ14" s="239"/>
      <c r="JIR14" s="239"/>
      <c r="JIS14" s="239"/>
      <c r="JIT14" s="239"/>
      <c r="JIU14" s="239"/>
      <c r="JIV14" s="239"/>
      <c r="JIW14" s="239"/>
      <c r="JIX14" s="239"/>
      <c r="JIY14" s="239"/>
      <c r="JIZ14" s="239"/>
      <c r="JJA14" s="239"/>
      <c r="JJB14" s="239"/>
      <c r="JJC14" s="239"/>
      <c r="JJD14" s="239"/>
      <c r="JJE14" s="239"/>
      <c r="JJF14" s="239"/>
      <c r="JJG14" s="239"/>
      <c r="JJH14" s="239"/>
      <c r="JJI14" s="239"/>
      <c r="JJJ14" s="239"/>
      <c r="JJK14" s="239"/>
      <c r="JJL14" s="239"/>
      <c r="JJM14" s="239"/>
      <c r="JJN14" s="239"/>
      <c r="JJO14" s="239"/>
      <c r="JJP14" s="239"/>
      <c r="JJQ14" s="239"/>
      <c r="JJR14" s="239"/>
      <c r="JJS14" s="239"/>
      <c r="JJT14" s="239"/>
      <c r="JJU14" s="239"/>
      <c r="JJV14" s="239"/>
      <c r="JJW14" s="239"/>
      <c r="JJX14" s="239"/>
      <c r="JJY14" s="239"/>
      <c r="JJZ14" s="239"/>
      <c r="JKA14" s="239"/>
      <c r="JKB14" s="239"/>
      <c r="JKC14" s="239"/>
      <c r="JKD14" s="239"/>
      <c r="JKE14" s="239"/>
      <c r="JKF14" s="239"/>
      <c r="JKG14" s="239"/>
      <c r="JKH14" s="239"/>
      <c r="JKI14" s="239"/>
      <c r="JKJ14" s="239"/>
      <c r="JKK14" s="239"/>
      <c r="JKL14" s="239"/>
      <c r="JKM14" s="239"/>
      <c r="JKN14" s="239"/>
      <c r="JKO14" s="239"/>
      <c r="JKP14" s="239"/>
      <c r="JKQ14" s="239"/>
      <c r="JKR14" s="239"/>
      <c r="JKS14" s="239"/>
      <c r="JKT14" s="239"/>
      <c r="JKU14" s="239"/>
      <c r="JKV14" s="239"/>
      <c r="JKW14" s="239"/>
      <c r="JKX14" s="239"/>
      <c r="JKY14" s="239"/>
      <c r="JKZ14" s="239"/>
      <c r="JLA14" s="239"/>
      <c r="JLB14" s="239"/>
      <c r="JLC14" s="239"/>
      <c r="JLD14" s="239"/>
      <c r="JLE14" s="239"/>
      <c r="JLF14" s="239"/>
      <c r="JLG14" s="239"/>
      <c r="JLH14" s="239"/>
      <c r="JLI14" s="239"/>
      <c r="JLJ14" s="239"/>
      <c r="JLK14" s="239"/>
      <c r="JLL14" s="239"/>
      <c r="JLM14" s="239"/>
      <c r="JLN14" s="239"/>
      <c r="JLO14" s="239"/>
      <c r="JLP14" s="239"/>
      <c r="JLQ14" s="239"/>
      <c r="JLR14" s="239"/>
      <c r="JLS14" s="239"/>
      <c r="JLT14" s="239"/>
      <c r="JLU14" s="239"/>
      <c r="JLV14" s="239"/>
      <c r="JLW14" s="239"/>
      <c r="JLX14" s="239"/>
      <c r="JLY14" s="239"/>
      <c r="JLZ14" s="239"/>
      <c r="JMA14" s="239"/>
      <c r="JMB14" s="239"/>
      <c r="JMC14" s="239"/>
      <c r="JMD14" s="239"/>
      <c r="JME14" s="239"/>
      <c r="JMF14" s="239"/>
      <c r="JMG14" s="239"/>
      <c r="JMH14" s="239"/>
      <c r="JMI14" s="239"/>
      <c r="JMJ14" s="239"/>
      <c r="JMK14" s="239"/>
      <c r="JML14" s="239"/>
      <c r="JMM14" s="239"/>
      <c r="JMN14" s="239"/>
      <c r="JMO14" s="239"/>
      <c r="JMP14" s="239"/>
      <c r="JMQ14" s="239"/>
      <c r="JMR14" s="239"/>
      <c r="JMS14" s="239"/>
      <c r="JMT14" s="239"/>
      <c r="JMU14" s="239"/>
      <c r="JMV14" s="239"/>
      <c r="JMW14" s="239"/>
      <c r="JMX14" s="239"/>
      <c r="JMY14" s="239"/>
      <c r="JMZ14" s="239"/>
      <c r="JNA14" s="239"/>
      <c r="JNB14" s="239"/>
      <c r="JNC14" s="239"/>
      <c r="JND14" s="239"/>
      <c r="JNE14" s="239"/>
      <c r="JNF14" s="239"/>
      <c r="JNG14" s="239"/>
      <c r="JNH14" s="239"/>
      <c r="JNI14" s="239"/>
      <c r="JNJ14" s="239"/>
      <c r="JNK14" s="239"/>
      <c r="JNL14" s="239"/>
      <c r="JNM14" s="239"/>
      <c r="JNN14" s="239"/>
      <c r="JNO14" s="239"/>
      <c r="JNP14" s="239"/>
      <c r="JNQ14" s="239"/>
      <c r="JNR14" s="239"/>
      <c r="JNS14" s="239"/>
      <c r="JNT14" s="239"/>
      <c r="JNU14" s="239"/>
      <c r="JNV14" s="239"/>
      <c r="JNW14" s="239"/>
      <c r="JNX14" s="239"/>
      <c r="JNY14" s="239"/>
      <c r="JNZ14" s="239"/>
      <c r="JOA14" s="239"/>
      <c r="JOB14" s="239"/>
      <c r="JOC14" s="239"/>
      <c r="JOD14" s="239"/>
      <c r="JOE14" s="239"/>
      <c r="JOF14" s="239"/>
      <c r="JOG14" s="239"/>
      <c r="JOH14" s="239"/>
      <c r="JOI14" s="239"/>
      <c r="JOJ14" s="239"/>
      <c r="JOK14" s="239"/>
      <c r="JOL14" s="239"/>
      <c r="JOM14" s="239"/>
      <c r="JON14" s="239"/>
      <c r="JOO14" s="239"/>
      <c r="JOP14" s="239"/>
      <c r="JOQ14" s="239"/>
      <c r="JOR14" s="239"/>
      <c r="JOS14" s="239"/>
      <c r="JOT14" s="239"/>
      <c r="JOU14" s="239"/>
      <c r="JOV14" s="239"/>
      <c r="JOW14" s="239"/>
      <c r="JOX14" s="239"/>
      <c r="JOY14" s="239"/>
      <c r="JOZ14" s="239"/>
      <c r="JPA14" s="239"/>
      <c r="JPB14" s="239"/>
      <c r="JPC14" s="239"/>
      <c r="JPD14" s="239"/>
      <c r="JPE14" s="239"/>
      <c r="JPF14" s="239"/>
      <c r="JPG14" s="239"/>
      <c r="JPH14" s="239"/>
      <c r="JPI14" s="239"/>
      <c r="JPJ14" s="239"/>
      <c r="JPK14" s="239"/>
      <c r="JPL14" s="239"/>
      <c r="JPM14" s="239"/>
      <c r="JPN14" s="239"/>
      <c r="JPO14" s="239"/>
      <c r="JPP14" s="239"/>
      <c r="JPQ14" s="239"/>
      <c r="JPR14" s="239"/>
      <c r="JPS14" s="239"/>
      <c r="JPT14" s="239"/>
      <c r="JPU14" s="239"/>
      <c r="JPV14" s="239"/>
      <c r="JPW14" s="239"/>
      <c r="JPX14" s="239"/>
      <c r="JPY14" s="239"/>
      <c r="JPZ14" s="239"/>
      <c r="JQA14" s="239"/>
      <c r="JQB14" s="239"/>
      <c r="JQC14" s="239"/>
      <c r="JQD14" s="239"/>
      <c r="JQE14" s="239"/>
      <c r="JQF14" s="239"/>
      <c r="JQG14" s="239"/>
      <c r="JQH14" s="239"/>
      <c r="JQI14" s="239"/>
      <c r="JQJ14" s="239"/>
      <c r="JQK14" s="239"/>
      <c r="JQL14" s="239"/>
      <c r="JQM14" s="239"/>
      <c r="JQN14" s="239"/>
      <c r="JQO14" s="239"/>
      <c r="JQP14" s="239"/>
      <c r="JQQ14" s="239"/>
      <c r="JQR14" s="239"/>
      <c r="JQS14" s="239"/>
      <c r="JQT14" s="239"/>
      <c r="JQU14" s="239"/>
      <c r="JQV14" s="239"/>
      <c r="JQW14" s="239"/>
      <c r="JQX14" s="239"/>
      <c r="JQY14" s="239"/>
      <c r="JQZ14" s="239"/>
      <c r="JRA14" s="239"/>
      <c r="JRB14" s="239"/>
      <c r="JRC14" s="239"/>
      <c r="JRD14" s="239"/>
      <c r="JRE14" s="239"/>
      <c r="JRF14" s="239"/>
      <c r="JRG14" s="239"/>
      <c r="JRH14" s="239"/>
      <c r="JRI14" s="239"/>
      <c r="JRJ14" s="239"/>
      <c r="JRK14" s="239"/>
      <c r="JRL14" s="239"/>
      <c r="JRM14" s="239"/>
      <c r="JRN14" s="239"/>
      <c r="JRO14" s="239"/>
      <c r="JRP14" s="239"/>
      <c r="JRQ14" s="239"/>
      <c r="JRR14" s="239"/>
      <c r="JRS14" s="239"/>
      <c r="JRT14" s="239"/>
      <c r="JRU14" s="239"/>
      <c r="JRV14" s="239"/>
      <c r="JRW14" s="239"/>
      <c r="JRX14" s="239"/>
      <c r="JRY14" s="239"/>
      <c r="JRZ14" s="239"/>
      <c r="JSA14" s="239"/>
      <c r="JSB14" s="239"/>
      <c r="JSC14" s="239"/>
      <c r="JSD14" s="239"/>
      <c r="JSE14" s="239"/>
      <c r="JSF14" s="239"/>
      <c r="JSG14" s="239"/>
      <c r="JSH14" s="239"/>
      <c r="JSI14" s="239"/>
      <c r="JSJ14" s="239"/>
      <c r="JSK14" s="239"/>
      <c r="JSL14" s="239"/>
      <c r="JSM14" s="239"/>
      <c r="JSN14" s="239"/>
      <c r="JSO14" s="239"/>
      <c r="JSP14" s="239"/>
      <c r="JSQ14" s="239"/>
      <c r="JSR14" s="239"/>
      <c r="JSS14" s="239"/>
      <c r="JST14" s="239"/>
      <c r="JSU14" s="239"/>
      <c r="JSV14" s="239"/>
      <c r="JSW14" s="239"/>
      <c r="JSX14" s="239"/>
      <c r="JSY14" s="239"/>
      <c r="JSZ14" s="239"/>
      <c r="JTA14" s="239"/>
      <c r="JTB14" s="239"/>
      <c r="JTC14" s="239"/>
      <c r="JTD14" s="239"/>
      <c r="JTE14" s="239"/>
      <c r="JTF14" s="239"/>
      <c r="JTG14" s="239"/>
      <c r="JTH14" s="239"/>
      <c r="JTI14" s="239"/>
      <c r="JTJ14" s="239"/>
      <c r="JTK14" s="239"/>
      <c r="JTL14" s="239"/>
      <c r="JTM14" s="239"/>
      <c r="JTN14" s="239"/>
      <c r="JTO14" s="239"/>
      <c r="JTP14" s="239"/>
      <c r="JTQ14" s="239"/>
      <c r="JTR14" s="239"/>
      <c r="JTS14" s="239"/>
      <c r="JTT14" s="239"/>
      <c r="JTU14" s="239"/>
      <c r="JTV14" s="239"/>
      <c r="JTW14" s="239"/>
      <c r="JTX14" s="239"/>
      <c r="JTY14" s="239"/>
      <c r="JTZ14" s="239"/>
      <c r="JUA14" s="239"/>
      <c r="JUB14" s="239"/>
      <c r="JUC14" s="239"/>
      <c r="JUD14" s="239"/>
      <c r="JUE14" s="239"/>
      <c r="JUF14" s="239"/>
      <c r="JUG14" s="239"/>
      <c r="JUH14" s="239"/>
      <c r="JUI14" s="239"/>
      <c r="JUJ14" s="239"/>
      <c r="JUK14" s="239"/>
      <c r="JUL14" s="239"/>
      <c r="JUM14" s="239"/>
      <c r="JUN14" s="239"/>
      <c r="JUO14" s="239"/>
      <c r="JUP14" s="239"/>
      <c r="JUQ14" s="239"/>
      <c r="JUR14" s="239"/>
      <c r="JUS14" s="239"/>
      <c r="JUT14" s="239"/>
      <c r="JUU14" s="239"/>
      <c r="JUV14" s="239"/>
      <c r="JUW14" s="239"/>
      <c r="JUX14" s="239"/>
      <c r="JUY14" s="239"/>
      <c r="JUZ14" s="239"/>
      <c r="JVA14" s="239"/>
      <c r="JVB14" s="239"/>
      <c r="JVC14" s="239"/>
      <c r="JVD14" s="239"/>
      <c r="JVE14" s="239"/>
      <c r="JVF14" s="239"/>
      <c r="JVG14" s="239"/>
      <c r="JVH14" s="239"/>
      <c r="JVI14" s="239"/>
      <c r="JVJ14" s="239"/>
      <c r="JVK14" s="239"/>
      <c r="JVL14" s="239"/>
      <c r="JVM14" s="239"/>
      <c r="JVN14" s="239"/>
      <c r="JVO14" s="239"/>
      <c r="JVP14" s="239"/>
      <c r="JVQ14" s="239"/>
      <c r="JVR14" s="239"/>
      <c r="JVS14" s="239"/>
      <c r="JVT14" s="239"/>
      <c r="JVU14" s="239"/>
      <c r="JVV14" s="239"/>
      <c r="JVW14" s="239"/>
      <c r="JVX14" s="239"/>
      <c r="JVY14" s="239"/>
      <c r="JVZ14" s="239"/>
      <c r="JWA14" s="239"/>
      <c r="JWB14" s="239"/>
      <c r="JWC14" s="239"/>
      <c r="JWD14" s="239"/>
      <c r="JWE14" s="239"/>
      <c r="JWF14" s="239"/>
      <c r="JWG14" s="239"/>
      <c r="JWH14" s="239"/>
      <c r="JWI14" s="239"/>
      <c r="JWJ14" s="239"/>
      <c r="JWK14" s="239"/>
      <c r="JWL14" s="239"/>
      <c r="JWM14" s="239"/>
      <c r="JWN14" s="239"/>
      <c r="JWO14" s="239"/>
      <c r="JWP14" s="239"/>
      <c r="JWQ14" s="239"/>
      <c r="JWR14" s="239"/>
      <c r="JWS14" s="239"/>
      <c r="JWT14" s="239"/>
      <c r="JWU14" s="239"/>
      <c r="JWV14" s="239"/>
      <c r="JWW14" s="239"/>
      <c r="JWX14" s="239"/>
      <c r="JWY14" s="239"/>
      <c r="JWZ14" s="239"/>
      <c r="JXA14" s="239"/>
      <c r="JXB14" s="239"/>
      <c r="JXC14" s="239"/>
      <c r="JXD14" s="239"/>
      <c r="JXE14" s="239"/>
      <c r="JXF14" s="239"/>
      <c r="JXG14" s="239"/>
      <c r="JXH14" s="239"/>
      <c r="JXI14" s="239"/>
      <c r="JXJ14" s="239"/>
      <c r="JXK14" s="239"/>
      <c r="JXL14" s="239"/>
      <c r="JXM14" s="239"/>
      <c r="JXN14" s="239"/>
      <c r="JXO14" s="239"/>
      <c r="JXP14" s="239"/>
      <c r="JXQ14" s="239"/>
      <c r="JXR14" s="239"/>
      <c r="JXS14" s="239"/>
      <c r="JXT14" s="239"/>
      <c r="JXU14" s="239"/>
      <c r="JXV14" s="239"/>
      <c r="JXW14" s="239"/>
      <c r="JXX14" s="239"/>
      <c r="JXY14" s="239"/>
      <c r="JXZ14" s="239"/>
      <c r="JYA14" s="239"/>
      <c r="JYB14" s="239"/>
      <c r="JYC14" s="239"/>
      <c r="JYD14" s="239"/>
      <c r="JYE14" s="239"/>
      <c r="JYF14" s="239"/>
      <c r="JYG14" s="239"/>
      <c r="JYH14" s="239"/>
      <c r="JYI14" s="239"/>
      <c r="JYJ14" s="239"/>
      <c r="JYK14" s="239"/>
      <c r="JYL14" s="239"/>
      <c r="JYM14" s="239"/>
      <c r="JYN14" s="239"/>
      <c r="JYO14" s="239"/>
      <c r="JYP14" s="239"/>
      <c r="JYQ14" s="239"/>
      <c r="JYR14" s="239"/>
      <c r="JYS14" s="239"/>
      <c r="JYT14" s="239"/>
      <c r="JYU14" s="239"/>
      <c r="JYV14" s="239"/>
      <c r="JYW14" s="239"/>
      <c r="JYX14" s="239"/>
      <c r="JYY14" s="239"/>
      <c r="JYZ14" s="239"/>
      <c r="JZA14" s="239"/>
      <c r="JZB14" s="239"/>
      <c r="JZC14" s="239"/>
      <c r="JZD14" s="239"/>
      <c r="JZE14" s="239"/>
      <c r="JZF14" s="239"/>
      <c r="JZG14" s="239"/>
      <c r="JZH14" s="239"/>
      <c r="JZI14" s="239"/>
      <c r="JZJ14" s="239"/>
      <c r="JZK14" s="239"/>
      <c r="JZL14" s="239"/>
      <c r="JZM14" s="239"/>
      <c r="JZN14" s="239"/>
      <c r="JZO14" s="239"/>
      <c r="JZP14" s="239"/>
      <c r="JZQ14" s="239"/>
      <c r="JZR14" s="239"/>
      <c r="JZS14" s="239"/>
      <c r="JZT14" s="239"/>
      <c r="JZU14" s="239"/>
      <c r="JZV14" s="239"/>
      <c r="JZW14" s="239"/>
      <c r="JZX14" s="239"/>
      <c r="JZY14" s="239"/>
      <c r="JZZ14" s="239"/>
      <c r="KAA14" s="239"/>
      <c r="KAB14" s="239"/>
      <c r="KAC14" s="239"/>
      <c r="KAD14" s="239"/>
      <c r="KAE14" s="239"/>
      <c r="KAF14" s="239"/>
      <c r="KAG14" s="239"/>
      <c r="KAH14" s="239"/>
      <c r="KAI14" s="239"/>
      <c r="KAJ14" s="239"/>
      <c r="KAK14" s="239"/>
      <c r="KAL14" s="239"/>
      <c r="KAM14" s="239"/>
      <c r="KAN14" s="239"/>
      <c r="KAO14" s="239"/>
      <c r="KAP14" s="239"/>
      <c r="KAQ14" s="239"/>
      <c r="KAR14" s="239"/>
      <c r="KAS14" s="239"/>
      <c r="KAT14" s="239"/>
      <c r="KAU14" s="239"/>
      <c r="KAV14" s="239"/>
      <c r="KAW14" s="239"/>
      <c r="KAX14" s="239"/>
      <c r="KAY14" s="239"/>
      <c r="KAZ14" s="239"/>
      <c r="KBA14" s="239"/>
      <c r="KBB14" s="239"/>
      <c r="KBC14" s="239"/>
      <c r="KBD14" s="239"/>
      <c r="KBE14" s="239"/>
      <c r="KBF14" s="239"/>
      <c r="KBG14" s="239"/>
      <c r="KBH14" s="239"/>
      <c r="KBI14" s="239"/>
      <c r="KBJ14" s="239"/>
      <c r="KBK14" s="239"/>
      <c r="KBL14" s="239"/>
      <c r="KBM14" s="239"/>
      <c r="KBN14" s="239"/>
      <c r="KBO14" s="239"/>
      <c r="KBP14" s="239"/>
      <c r="KBQ14" s="239"/>
      <c r="KBR14" s="239"/>
      <c r="KBS14" s="239"/>
      <c r="KBT14" s="239"/>
      <c r="KBU14" s="239"/>
      <c r="KBV14" s="239"/>
      <c r="KBW14" s="239"/>
      <c r="KBX14" s="239"/>
      <c r="KBY14" s="239"/>
      <c r="KBZ14" s="239"/>
      <c r="KCA14" s="239"/>
      <c r="KCB14" s="239"/>
      <c r="KCC14" s="239"/>
      <c r="KCD14" s="239"/>
      <c r="KCE14" s="239"/>
      <c r="KCF14" s="239"/>
      <c r="KCG14" s="239"/>
      <c r="KCH14" s="239"/>
      <c r="KCI14" s="239"/>
      <c r="KCJ14" s="239"/>
      <c r="KCK14" s="239"/>
      <c r="KCL14" s="239"/>
      <c r="KCM14" s="239"/>
      <c r="KCN14" s="239"/>
      <c r="KCO14" s="239"/>
      <c r="KCP14" s="239"/>
      <c r="KCQ14" s="239"/>
      <c r="KCR14" s="239"/>
      <c r="KCS14" s="239"/>
      <c r="KCT14" s="239"/>
      <c r="KCU14" s="239"/>
      <c r="KCV14" s="239"/>
      <c r="KCW14" s="239"/>
      <c r="KCX14" s="239"/>
      <c r="KCY14" s="239"/>
      <c r="KCZ14" s="239"/>
      <c r="KDA14" s="239"/>
      <c r="KDB14" s="239"/>
      <c r="KDC14" s="239"/>
      <c r="KDD14" s="239"/>
      <c r="KDE14" s="239"/>
      <c r="KDF14" s="239"/>
      <c r="KDG14" s="239"/>
      <c r="KDH14" s="239"/>
      <c r="KDI14" s="239"/>
      <c r="KDJ14" s="239"/>
      <c r="KDK14" s="239"/>
      <c r="KDL14" s="239"/>
      <c r="KDM14" s="239"/>
      <c r="KDN14" s="239"/>
      <c r="KDO14" s="239"/>
      <c r="KDP14" s="239"/>
      <c r="KDQ14" s="239"/>
      <c r="KDR14" s="239"/>
      <c r="KDS14" s="239"/>
      <c r="KDT14" s="239"/>
      <c r="KDU14" s="239"/>
      <c r="KDV14" s="239"/>
      <c r="KDW14" s="239"/>
      <c r="KDX14" s="239"/>
      <c r="KDY14" s="239"/>
      <c r="KDZ14" s="239"/>
      <c r="KEA14" s="239"/>
      <c r="KEB14" s="239"/>
      <c r="KEC14" s="239"/>
      <c r="KED14" s="239"/>
      <c r="KEE14" s="239"/>
      <c r="KEF14" s="239"/>
      <c r="KEG14" s="239"/>
      <c r="KEH14" s="239"/>
      <c r="KEI14" s="239"/>
      <c r="KEJ14" s="239"/>
      <c r="KEK14" s="239"/>
      <c r="KEL14" s="239"/>
      <c r="KEM14" s="239"/>
      <c r="KEN14" s="239"/>
      <c r="KEO14" s="239"/>
      <c r="KEP14" s="239"/>
      <c r="KEQ14" s="239"/>
      <c r="KER14" s="239"/>
      <c r="KES14" s="239"/>
      <c r="KET14" s="239"/>
      <c r="KEU14" s="239"/>
      <c r="KEV14" s="239"/>
      <c r="KEW14" s="239"/>
      <c r="KEX14" s="239"/>
      <c r="KEY14" s="239"/>
      <c r="KEZ14" s="239"/>
      <c r="KFA14" s="239"/>
      <c r="KFB14" s="239"/>
      <c r="KFC14" s="239"/>
      <c r="KFD14" s="239"/>
      <c r="KFE14" s="239"/>
      <c r="KFF14" s="239"/>
      <c r="KFG14" s="239"/>
      <c r="KFH14" s="239"/>
      <c r="KFI14" s="239"/>
      <c r="KFJ14" s="239"/>
      <c r="KFK14" s="239"/>
      <c r="KFL14" s="239"/>
      <c r="KFM14" s="239"/>
      <c r="KFN14" s="239"/>
      <c r="KFO14" s="239"/>
      <c r="KFP14" s="239"/>
      <c r="KFQ14" s="239"/>
      <c r="KFR14" s="239"/>
      <c r="KFS14" s="239"/>
      <c r="KFT14" s="239"/>
      <c r="KFU14" s="239"/>
      <c r="KFV14" s="239"/>
      <c r="KFW14" s="239"/>
      <c r="KFX14" s="239"/>
      <c r="KFY14" s="239"/>
      <c r="KFZ14" s="239"/>
      <c r="KGA14" s="239"/>
      <c r="KGB14" s="239"/>
      <c r="KGC14" s="239"/>
      <c r="KGD14" s="239"/>
      <c r="KGE14" s="239"/>
      <c r="KGF14" s="239"/>
      <c r="KGG14" s="239"/>
      <c r="KGH14" s="239"/>
      <c r="KGI14" s="239"/>
      <c r="KGJ14" s="239"/>
      <c r="KGK14" s="239"/>
      <c r="KGL14" s="239"/>
      <c r="KGM14" s="239"/>
      <c r="KGN14" s="239"/>
      <c r="KGO14" s="239"/>
      <c r="KGP14" s="239"/>
      <c r="KGQ14" s="239"/>
      <c r="KGR14" s="239"/>
      <c r="KGS14" s="239"/>
      <c r="KGT14" s="239"/>
      <c r="KGU14" s="239"/>
      <c r="KGV14" s="239"/>
      <c r="KGW14" s="239"/>
      <c r="KGX14" s="239"/>
      <c r="KGY14" s="239"/>
      <c r="KGZ14" s="239"/>
      <c r="KHA14" s="239"/>
      <c r="KHB14" s="239"/>
      <c r="KHC14" s="239"/>
      <c r="KHD14" s="239"/>
      <c r="KHE14" s="239"/>
      <c r="KHF14" s="239"/>
      <c r="KHG14" s="239"/>
      <c r="KHH14" s="239"/>
      <c r="KHI14" s="239"/>
      <c r="KHJ14" s="239"/>
      <c r="KHK14" s="239"/>
      <c r="KHL14" s="239"/>
      <c r="KHM14" s="239"/>
      <c r="KHN14" s="239"/>
      <c r="KHO14" s="239"/>
      <c r="KHP14" s="239"/>
      <c r="KHQ14" s="239"/>
      <c r="KHR14" s="239"/>
      <c r="KHS14" s="239"/>
      <c r="KHT14" s="239"/>
      <c r="KHU14" s="239"/>
      <c r="KHV14" s="239"/>
      <c r="KHW14" s="239"/>
      <c r="KHX14" s="239"/>
      <c r="KHY14" s="239"/>
      <c r="KHZ14" s="239"/>
      <c r="KIA14" s="239"/>
      <c r="KIB14" s="239"/>
      <c r="KIC14" s="239"/>
      <c r="KID14" s="239"/>
      <c r="KIE14" s="239"/>
      <c r="KIF14" s="239"/>
      <c r="KIG14" s="239"/>
      <c r="KIH14" s="239"/>
      <c r="KII14" s="239"/>
      <c r="KIJ14" s="239"/>
      <c r="KIK14" s="239"/>
      <c r="KIL14" s="239"/>
      <c r="KIM14" s="239"/>
      <c r="KIN14" s="239"/>
      <c r="KIO14" s="239"/>
      <c r="KIP14" s="239"/>
      <c r="KIQ14" s="239"/>
      <c r="KIR14" s="239"/>
      <c r="KIS14" s="239"/>
      <c r="KIT14" s="239"/>
      <c r="KIU14" s="239"/>
      <c r="KIV14" s="239"/>
      <c r="KIW14" s="239"/>
      <c r="KIX14" s="239"/>
      <c r="KIY14" s="239"/>
      <c r="KIZ14" s="239"/>
      <c r="KJA14" s="239"/>
      <c r="KJB14" s="239"/>
      <c r="KJC14" s="239"/>
      <c r="KJD14" s="239"/>
      <c r="KJE14" s="239"/>
      <c r="KJF14" s="239"/>
      <c r="KJG14" s="239"/>
      <c r="KJH14" s="239"/>
      <c r="KJI14" s="239"/>
      <c r="KJJ14" s="239"/>
      <c r="KJK14" s="239"/>
      <c r="KJL14" s="239"/>
      <c r="KJM14" s="239"/>
      <c r="KJN14" s="239"/>
      <c r="KJO14" s="239"/>
      <c r="KJP14" s="239"/>
      <c r="KJQ14" s="239"/>
      <c r="KJR14" s="239"/>
      <c r="KJS14" s="239"/>
      <c r="KJT14" s="239"/>
      <c r="KJU14" s="239"/>
      <c r="KJV14" s="239"/>
      <c r="KJW14" s="239"/>
      <c r="KJX14" s="239"/>
      <c r="KJY14" s="239"/>
      <c r="KJZ14" s="239"/>
      <c r="KKA14" s="239"/>
      <c r="KKB14" s="239"/>
      <c r="KKC14" s="239"/>
      <c r="KKD14" s="239"/>
      <c r="KKE14" s="239"/>
      <c r="KKF14" s="239"/>
      <c r="KKG14" s="239"/>
      <c r="KKH14" s="239"/>
      <c r="KKI14" s="239"/>
      <c r="KKJ14" s="239"/>
      <c r="KKK14" s="239"/>
      <c r="KKL14" s="239"/>
      <c r="KKM14" s="239"/>
      <c r="KKN14" s="239"/>
      <c r="KKO14" s="239"/>
      <c r="KKP14" s="239"/>
      <c r="KKQ14" s="239"/>
      <c r="KKR14" s="239"/>
      <c r="KKS14" s="239"/>
      <c r="KKT14" s="239"/>
      <c r="KKU14" s="239"/>
      <c r="KKV14" s="239"/>
      <c r="KKW14" s="239"/>
      <c r="KKX14" s="239"/>
      <c r="KKY14" s="239"/>
      <c r="KKZ14" s="239"/>
      <c r="KLA14" s="239"/>
      <c r="KLB14" s="239"/>
      <c r="KLC14" s="239"/>
      <c r="KLD14" s="239"/>
      <c r="KLE14" s="239"/>
      <c r="KLF14" s="239"/>
      <c r="KLG14" s="239"/>
      <c r="KLH14" s="239"/>
      <c r="KLI14" s="239"/>
      <c r="KLJ14" s="239"/>
      <c r="KLK14" s="239"/>
      <c r="KLL14" s="239"/>
      <c r="KLM14" s="239"/>
      <c r="KLN14" s="239"/>
      <c r="KLO14" s="239"/>
      <c r="KLP14" s="239"/>
      <c r="KLQ14" s="239"/>
      <c r="KLR14" s="239"/>
      <c r="KLS14" s="239"/>
      <c r="KLT14" s="239"/>
      <c r="KLU14" s="239"/>
      <c r="KLV14" s="239"/>
      <c r="KLW14" s="239"/>
      <c r="KLX14" s="239"/>
      <c r="KLY14" s="239"/>
      <c r="KLZ14" s="239"/>
      <c r="KMA14" s="239"/>
      <c r="KMB14" s="239"/>
      <c r="KMC14" s="239"/>
      <c r="KMD14" s="239"/>
      <c r="KME14" s="239"/>
      <c r="KMF14" s="239"/>
      <c r="KMG14" s="239"/>
      <c r="KMH14" s="239"/>
      <c r="KMI14" s="239"/>
      <c r="KMJ14" s="239"/>
      <c r="KMK14" s="239"/>
      <c r="KML14" s="239"/>
      <c r="KMM14" s="239"/>
      <c r="KMN14" s="239"/>
      <c r="KMO14" s="239"/>
      <c r="KMP14" s="239"/>
      <c r="KMQ14" s="239"/>
      <c r="KMR14" s="239"/>
      <c r="KMS14" s="239"/>
      <c r="KMT14" s="239"/>
      <c r="KMU14" s="239"/>
      <c r="KMV14" s="239"/>
      <c r="KMW14" s="239"/>
      <c r="KMX14" s="239"/>
      <c r="KMY14" s="239"/>
      <c r="KMZ14" s="239"/>
      <c r="KNA14" s="239"/>
      <c r="KNB14" s="239"/>
      <c r="KNC14" s="239"/>
      <c r="KND14" s="239"/>
      <c r="KNE14" s="239"/>
      <c r="KNF14" s="239"/>
      <c r="KNG14" s="239"/>
      <c r="KNH14" s="239"/>
      <c r="KNI14" s="239"/>
      <c r="KNJ14" s="239"/>
      <c r="KNK14" s="239"/>
      <c r="KNL14" s="239"/>
      <c r="KNM14" s="239"/>
      <c r="KNN14" s="239"/>
      <c r="KNO14" s="239"/>
      <c r="KNP14" s="239"/>
      <c r="KNQ14" s="239"/>
      <c r="KNR14" s="239"/>
      <c r="KNS14" s="239"/>
      <c r="KNT14" s="239"/>
      <c r="KNU14" s="239"/>
      <c r="KNV14" s="239"/>
      <c r="KNW14" s="239"/>
      <c r="KNX14" s="239"/>
      <c r="KNY14" s="239"/>
      <c r="KNZ14" s="239"/>
      <c r="KOA14" s="239"/>
      <c r="KOB14" s="239"/>
      <c r="KOC14" s="239"/>
      <c r="KOD14" s="239"/>
      <c r="KOE14" s="239"/>
      <c r="KOF14" s="239"/>
      <c r="KOG14" s="239"/>
      <c r="KOH14" s="239"/>
      <c r="KOI14" s="239"/>
      <c r="KOJ14" s="239"/>
      <c r="KOK14" s="239"/>
      <c r="KOL14" s="239"/>
      <c r="KOM14" s="239"/>
      <c r="KON14" s="239"/>
      <c r="KOO14" s="239"/>
      <c r="KOP14" s="239"/>
      <c r="KOQ14" s="239"/>
      <c r="KOR14" s="239"/>
      <c r="KOS14" s="239"/>
      <c r="KOT14" s="239"/>
      <c r="KOU14" s="239"/>
      <c r="KOV14" s="239"/>
      <c r="KOW14" s="239"/>
      <c r="KOX14" s="239"/>
      <c r="KOY14" s="239"/>
      <c r="KOZ14" s="239"/>
      <c r="KPA14" s="239"/>
      <c r="KPB14" s="239"/>
      <c r="KPC14" s="239"/>
      <c r="KPD14" s="239"/>
      <c r="KPE14" s="239"/>
      <c r="KPF14" s="239"/>
      <c r="KPG14" s="239"/>
      <c r="KPH14" s="239"/>
      <c r="KPI14" s="239"/>
      <c r="KPJ14" s="239"/>
      <c r="KPK14" s="239"/>
      <c r="KPL14" s="239"/>
      <c r="KPM14" s="239"/>
      <c r="KPN14" s="239"/>
      <c r="KPO14" s="239"/>
      <c r="KPP14" s="239"/>
      <c r="KPQ14" s="239"/>
      <c r="KPR14" s="239"/>
      <c r="KPS14" s="239"/>
      <c r="KPT14" s="239"/>
      <c r="KPU14" s="239"/>
      <c r="KPV14" s="239"/>
      <c r="KPW14" s="239"/>
      <c r="KPX14" s="239"/>
      <c r="KPY14" s="239"/>
      <c r="KPZ14" s="239"/>
      <c r="KQA14" s="239"/>
      <c r="KQB14" s="239"/>
      <c r="KQC14" s="239"/>
      <c r="KQD14" s="239"/>
      <c r="KQE14" s="239"/>
      <c r="KQF14" s="239"/>
      <c r="KQG14" s="239"/>
      <c r="KQH14" s="239"/>
      <c r="KQI14" s="239"/>
      <c r="KQJ14" s="239"/>
      <c r="KQK14" s="239"/>
      <c r="KQL14" s="239"/>
      <c r="KQM14" s="239"/>
      <c r="KQN14" s="239"/>
      <c r="KQO14" s="239"/>
      <c r="KQP14" s="239"/>
      <c r="KQQ14" s="239"/>
      <c r="KQR14" s="239"/>
      <c r="KQS14" s="239"/>
      <c r="KQT14" s="239"/>
      <c r="KQU14" s="239"/>
      <c r="KQV14" s="239"/>
      <c r="KQW14" s="239"/>
      <c r="KQX14" s="239"/>
      <c r="KQY14" s="239"/>
      <c r="KQZ14" s="239"/>
      <c r="KRA14" s="239"/>
      <c r="KRB14" s="239"/>
      <c r="KRC14" s="239"/>
      <c r="KRD14" s="239"/>
      <c r="KRE14" s="239"/>
      <c r="KRF14" s="239"/>
      <c r="KRG14" s="239"/>
      <c r="KRH14" s="239"/>
      <c r="KRI14" s="239"/>
      <c r="KRJ14" s="239"/>
      <c r="KRK14" s="239"/>
      <c r="KRL14" s="239"/>
      <c r="KRM14" s="239"/>
      <c r="KRN14" s="239"/>
      <c r="KRO14" s="239"/>
      <c r="KRP14" s="239"/>
      <c r="KRQ14" s="239"/>
      <c r="KRR14" s="239"/>
      <c r="KRS14" s="239"/>
      <c r="KRT14" s="239"/>
      <c r="KRU14" s="239"/>
      <c r="KRV14" s="239"/>
      <c r="KRW14" s="239"/>
      <c r="KRX14" s="239"/>
      <c r="KRY14" s="239"/>
      <c r="KRZ14" s="239"/>
      <c r="KSA14" s="239"/>
      <c r="KSB14" s="239"/>
      <c r="KSC14" s="239"/>
      <c r="KSD14" s="239"/>
      <c r="KSE14" s="239"/>
      <c r="KSF14" s="239"/>
      <c r="KSG14" s="239"/>
      <c r="KSH14" s="239"/>
      <c r="KSI14" s="239"/>
      <c r="KSJ14" s="239"/>
      <c r="KSK14" s="239"/>
      <c r="KSL14" s="239"/>
      <c r="KSM14" s="239"/>
      <c r="KSN14" s="239"/>
      <c r="KSO14" s="239"/>
      <c r="KSP14" s="239"/>
      <c r="KSQ14" s="239"/>
      <c r="KSR14" s="239"/>
      <c r="KSS14" s="239"/>
      <c r="KST14" s="239"/>
      <c r="KSU14" s="239"/>
      <c r="KSV14" s="239"/>
      <c r="KSW14" s="239"/>
      <c r="KSX14" s="239"/>
      <c r="KSY14" s="239"/>
      <c r="KSZ14" s="239"/>
      <c r="KTA14" s="239"/>
      <c r="KTB14" s="239"/>
      <c r="KTC14" s="239"/>
      <c r="KTD14" s="239"/>
      <c r="KTE14" s="239"/>
      <c r="KTF14" s="239"/>
      <c r="KTG14" s="239"/>
      <c r="KTH14" s="239"/>
      <c r="KTI14" s="239"/>
      <c r="KTJ14" s="239"/>
      <c r="KTK14" s="239"/>
      <c r="KTL14" s="239"/>
      <c r="KTM14" s="239"/>
      <c r="KTN14" s="239"/>
      <c r="KTO14" s="239"/>
      <c r="KTP14" s="239"/>
      <c r="KTQ14" s="239"/>
      <c r="KTR14" s="239"/>
      <c r="KTS14" s="239"/>
      <c r="KTT14" s="239"/>
      <c r="KTU14" s="239"/>
      <c r="KTV14" s="239"/>
      <c r="KTW14" s="239"/>
      <c r="KTX14" s="239"/>
      <c r="KTY14" s="239"/>
      <c r="KTZ14" s="239"/>
      <c r="KUA14" s="239"/>
      <c r="KUB14" s="239"/>
      <c r="KUC14" s="239"/>
      <c r="KUD14" s="239"/>
      <c r="KUE14" s="239"/>
      <c r="KUF14" s="239"/>
      <c r="KUG14" s="239"/>
      <c r="KUH14" s="239"/>
      <c r="KUI14" s="239"/>
      <c r="KUJ14" s="239"/>
      <c r="KUK14" s="239"/>
      <c r="KUL14" s="239"/>
      <c r="KUM14" s="239"/>
      <c r="KUN14" s="239"/>
      <c r="KUO14" s="239"/>
      <c r="KUP14" s="239"/>
      <c r="KUQ14" s="239"/>
      <c r="KUR14" s="239"/>
      <c r="KUS14" s="239"/>
      <c r="KUT14" s="239"/>
      <c r="KUU14" s="239"/>
      <c r="KUV14" s="239"/>
      <c r="KUW14" s="239"/>
      <c r="KUX14" s="239"/>
      <c r="KUY14" s="239"/>
      <c r="KUZ14" s="239"/>
      <c r="KVA14" s="239"/>
      <c r="KVB14" s="239"/>
      <c r="KVC14" s="239"/>
      <c r="KVD14" s="239"/>
      <c r="KVE14" s="239"/>
      <c r="KVF14" s="239"/>
      <c r="KVG14" s="239"/>
      <c r="KVH14" s="239"/>
      <c r="KVI14" s="239"/>
      <c r="KVJ14" s="239"/>
      <c r="KVK14" s="239"/>
      <c r="KVL14" s="239"/>
      <c r="KVM14" s="239"/>
      <c r="KVN14" s="239"/>
      <c r="KVO14" s="239"/>
      <c r="KVP14" s="239"/>
      <c r="KVQ14" s="239"/>
      <c r="KVR14" s="239"/>
      <c r="KVS14" s="239"/>
      <c r="KVT14" s="239"/>
      <c r="KVU14" s="239"/>
      <c r="KVV14" s="239"/>
      <c r="KVW14" s="239"/>
      <c r="KVX14" s="239"/>
      <c r="KVY14" s="239"/>
      <c r="KVZ14" s="239"/>
      <c r="KWA14" s="239"/>
      <c r="KWB14" s="239"/>
      <c r="KWC14" s="239"/>
      <c r="KWD14" s="239"/>
      <c r="KWE14" s="239"/>
      <c r="KWF14" s="239"/>
      <c r="KWG14" s="239"/>
      <c r="KWH14" s="239"/>
      <c r="KWI14" s="239"/>
      <c r="KWJ14" s="239"/>
      <c r="KWK14" s="239"/>
      <c r="KWL14" s="239"/>
      <c r="KWM14" s="239"/>
      <c r="KWN14" s="239"/>
      <c r="KWO14" s="239"/>
      <c r="KWP14" s="239"/>
      <c r="KWQ14" s="239"/>
      <c r="KWR14" s="239"/>
      <c r="KWS14" s="239"/>
      <c r="KWT14" s="239"/>
      <c r="KWU14" s="239"/>
      <c r="KWV14" s="239"/>
      <c r="KWW14" s="239"/>
      <c r="KWX14" s="239"/>
      <c r="KWY14" s="239"/>
      <c r="KWZ14" s="239"/>
      <c r="KXA14" s="239"/>
      <c r="KXB14" s="239"/>
      <c r="KXC14" s="239"/>
      <c r="KXD14" s="239"/>
      <c r="KXE14" s="239"/>
      <c r="KXF14" s="239"/>
      <c r="KXG14" s="239"/>
      <c r="KXH14" s="239"/>
      <c r="KXI14" s="239"/>
      <c r="KXJ14" s="239"/>
      <c r="KXK14" s="239"/>
      <c r="KXL14" s="239"/>
      <c r="KXM14" s="239"/>
      <c r="KXN14" s="239"/>
      <c r="KXO14" s="239"/>
      <c r="KXP14" s="239"/>
      <c r="KXQ14" s="239"/>
      <c r="KXR14" s="239"/>
      <c r="KXS14" s="239"/>
      <c r="KXT14" s="239"/>
      <c r="KXU14" s="239"/>
      <c r="KXV14" s="239"/>
      <c r="KXW14" s="239"/>
      <c r="KXX14" s="239"/>
      <c r="KXY14" s="239"/>
      <c r="KXZ14" s="239"/>
      <c r="KYA14" s="239"/>
      <c r="KYB14" s="239"/>
      <c r="KYC14" s="239"/>
      <c r="KYD14" s="239"/>
      <c r="KYE14" s="239"/>
      <c r="KYF14" s="239"/>
      <c r="KYG14" s="239"/>
      <c r="KYH14" s="239"/>
      <c r="KYI14" s="239"/>
      <c r="KYJ14" s="239"/>
      <c r="KYK14" s="239"/>
      <c r="KYL14" s="239"/>
      <c r="KYM14" s="239"/>
      <c r="KYN14" s="239"/>
      <c r="KYO14" s="239"/>
      <c r="KYP14" s="239"/>
      <c r="KYQ14" s="239"/>
      <c r="KYR14" s="239"/>
      <c r="KYS14" s="239"/>
      <c r="KYT14" s="239"/>
      <c r="KYU14" s="239"/>
      <c r="KYV14" s="239"/>
      <c r="KYW14" s="239"/>
      <c r="KYX14" s="239"/>
      <c r="KYY14" s="239"/>
      <c r="KYZ14" s="239"/>
      <c r="KZA14" s="239"/>
      <c r="KZB14" s="239"/>
      <c r="KZC14" s="239"/>
      <c r="KZD14" s="239"/>
      <c r="KZE14" s="239"/>
      <c r="KZF14" s="239"/>
      <c r="KZG14" s="239"/>
      <c r="KZH14" s="239"/>
      <c r="KZI14" s="239"/>
      <c r="KZJ14" s="239"/>
      <c r="KZK14" s="239"/>
      <c r="KZL14" s="239"/>
      <c r="KZM14" s="239"/>
      <c r="KZN14" s="239"/>
      <c r="KZO14" s="239"/>
      <c r="KZP14" s="239"/>
      <c r="KZQ14" s="239"/>
      <c r="KZR14" s="239"/>
      <c r="KZS14" s="239"/>
      <c r="KZT14" s="239"/>
      <c r="KZU14" s="239"/>
      <c r="KZV14" s="239"/>
      <c r="KZW14" s="239"/>
      <c r="KZX14" s="239"/>
      <c r="KZY14" s="239"/>
      <c r="KZZ14" s="239"/>
      <c r="LAA14" s="239"/>
      <c r="LAB14" s="239"/>
      <c r="LAC14" s="239"/>
      <c r="LAD14" s="239"/>
      <c r="LAE14" s="239"/>
      <c r="LAF14" s="239"/>
      <c r="LAG14" s="239"/>
      <c r="LAH14" s="239"/>
      <c r="LAI14" s="239"/>
      <c r="LAJ14" s="239"/>
      <c r="LAK14" s="239"/>
      <c r="LAL14" s="239"/>
      <c r="LAM14" s="239"/>
      <c r="LAN14" s="239"/>
      <c r="LAO14" s="239"/>
      <c r="LAP14" s="239"/>
      <c r="LAQ14" s="239"/>
      <c r="LAR14" s="239"/>
      <c r="LAS14" s="239"/>
      <c r="LAT14" s="239"/>
      <c r="LAU14" s="239"/>
      <c r="LAV14" s="239"/>
      <c r="LAW14" s="239"/>
      <c r="LAX14" s="239"/>
      <c r="LAY14" s="239"/>
      <c r="LAZ14" s="239"/>
      <c r="LBA14" s="239"/>
      <c r="LBB14" s="239"/>
      <c r="LBC14" s="239"/>
      <c r="LBD14" s="239"/>
      <c r="LBE14" s="239"/>
      <c r="LBF14" s="239"/>
      <c r="LBG14" s="239"/>
      <c r="LBH14" s="239"/>
      <c r="LBI14" s="239"/>
      <c r="LBJ14" s="239"/>
      <c r="LBK14" s="239"/>
      <c r="LBL14" s="239"/>
      <c r="LBM14" s="239"/>
      <c r="LBN14" s="239"/>
      <c r="LBO14" s="239"/>
      <c r="LBP14" s="239"/>
      <c r="LBQ14" s="239"/>
      <c r="LBR14" s="239"/>
      <c r="LBS14" s="239"/>
      <c r="LBT14" s="239"/>
      <c r="LBU14" s="239"/>
      <c r="LBV14" s="239"/>
      <c r="LBW14" s="239"/>
      <c r="LBX14" s="239"/>
      <c r="LBY14" s="239"/>
      <c r="LBZ14" s="239"/>
      <c r="LCA14" s="239"/>
      <c r="LCB14" s="239"/>
      <c r="LCC14" s="239"/>
      <c r="LCD14" s="239"/>
      <c r="LCE14" s="239"/>
      <c r="LCF14" s="239"/>
      <c r="LCG14" s="239"/>
      <c r="LCH14" s="239"/>
      <c r="LCI14" s="239"/>
      <c r="LCJ14" s="239"/>
      <c r="LCK14" s="239"/>
      <c r="LCL14" s="239"/>
      <c r="LCM14" s="239"/>
      <c r="LCN14" s="239"/>
      <c r="LCO14" s="239"/>
      <c r="LCP14" s="239"/>
      <c r="LCQ14" s="239"/>
      <c r="LCR14" s="239"/>
      <c r="LCS14" s="239"/>
      <c r="LCT14" s="239"/>
      <c r="LCU14" s="239"/>
      <c r="LCV14" s="239"/>
      <c r="LCW14" s="239"/>
      <c r="LCX14" s="239"/>
      <c r="LCY14" s="239"/>
      <c r="LCZ14" s="239"/>
      <c r="LDA14" s="239"/>
      <c r="LDB14" s="239"/>
      <c r="LDC14" s="239"/>
      <c r="LDD14" s="239"/>
      <c r="LDE14" s="239"/>
      <c r="LDF14" s="239"/>
      <c r="LDG14" s="239"/>
      <c r="LDH14" s="239"/>
      <c r="LDI14" s="239"/>
      <c r="LDJ14" s="239"/>
      <c r="LDK14" s="239"/>
      <c r="LDL14" s="239"/>
      <c r="LDM14" s="239"/>
      <c r="LDN14" s="239"/>
      <c r="LDO14" s="239"/>
      <c r="LDP14" s="239"/>
      <c r="LDQ14" s="239"/>
      <c r="LDR14" s="239"/>
      <c r="LDS14" s="239"/>
      <c r="LDT14" s="239"/>
      <c r="LDU14" s="239"/>
      <c r="LDV14" s="239"/>
      <c r="LDW14" s="239"/>
      <c r="LDX14" s="239"/>
      <c r="LDY14" s="239"/>
      <c r="LDZ14" s="239"/>
      <c r="LEA14" s="239"/>
      <c r="LEB14" s="239"/>
      <c r="LEC14" s="239"/>
      <c r="LED14" s="239"/>
      <c r="LEE14" s="239"/>
      <c r="LEF14" s="239"/>
      <c r="LEG14" s="239"/>
      <c r="LEH14" s="239"/>
      <c r="LEI14" s="239"/>
      <c r="LEJ14" s="239"/>
      <c r="LEK14" s="239"/>
      <c r="LEL14" s="239"/>
      <c r="LEM14" s="239"/>
      <c r="LEN14" s="239"/>
      <c r="LEO14" s="239"/>
      <c r="LEP14" s="239"/>
      <c r="LEQ14" s="239"/>
      <c r="LER14" s="239"/>
      <c r="LES14" s="239"/>
      <c r="LET14" s="239"/>
      <c r="LEU14" s="239"/>
      <c r="LEV14" s="239"/>
      <c r="LEW14" s="239"/>
      <c r="LEX14" s="239"/>
      <c r="LEY14" s="239"/>
      <c r="LEZ14" s="239"/>
      <c r="LFA14" s="239"/>
      <c r="LFB14" s="239"/>
      <c r="LFC14" s="239"/>
      <c r="LFD14" s="239"/>
      <c r="LFE14" s="239"/>
      <c r="LFF14" s="239"/>
      <c r="LFG14" s="239"/>
      <c r="LFH14" s="239"/>
      <c r="LFI14" s="239"/>
      <c r="LFJ14" s="239"/>
      <c r="LFK14" s="239"/>
      <c r="LFL14" s="239"/>
      <c r="LFM14" s="239"/>
      <c r="LFN14" s="239"/>
      <c r="LFO14" s="239"/>
      <c r="LFP14" s="239"/>
      <c r="LFQ14" s="239"/>
      <c r="LFR14" s="239"/>
      <c r="LFS14" s="239"/>
      <c r="LFT14" s="239"/>
      <c r="LFU14" s="239"/>
      <c r="LFV14" s="239"/>
      <c r="LFW14" s="239"/>
      <c r="LFX14" s="239"/>
      <c r="LFY14" s="239"/>
      <c r="LFZ14" s="239"/>
      <c r="LGA14" s="239"/>
      <c r="LGB14" s="239"/>
      <c r="LGC14" s="239"/>
      <c r="LGD14" s="239"/>
      <c r="LGE14" s="239"/>
      <c r="LGF14" s="239"/>
      <c r="LGG14" s="239"/>
      <c r="LGH14" s="239"/>
      <c r="LGI14" s="239"/>
      <c r="LGJ14" s="239"/>
      <c r="LGK14" s="239"/>
      <c r="LGL14" s="239"/>
      <c r="LGM14" s="239"/>
      <c r="LGN14" s="239"/>
      <c r="LGO14" s="239"/>
      <c r="LGP14" s="239"/>
      <c r="LGQ14" s="239"/>
      <c r="LGR14" s="239"/>
      <c r="LGS14" s="239"/>
      <c r="LGT14" s="239"/>
      <c r="LGU14" s="239"/>
      <c r="LGV14" s="239"/>
      <c r="LGW14" s="239"/>
      <c r="LGX14" s="239"/>
      <c r="LGY14" s="239"/>
      <c r="LGZ14" s="239"/>
      <c r="LHA14" s="239"/>
      <c r="LHB14" s="239"/>
      <c r="LHC14" s="239"/>
      <c r="LHD14" s="239"/>
      <c r="LHE14" s="239"/>
      <c r="LHF14" s="239"/>
      <c r="LHG14" s="239"/>
      <c r="LHH14" s="239"/>
      <c r="LHI14" s="239"/>
      <c r="LHJ14" s="239"/>
      <c r="LHK14" s="239"/>
      <c r="LHL14" s="239"/>
      <c r="LHM14" s="239"/>
      <c r="LHN14" s="239"/>
      <c r="LHO14" s="239"/>
      <c r="LHP14" s="239"/>
      <c r="LHQ14" s="239"/>
      <c r="LHR14" s="239"/>
      <c r="LHS14" s="239"/>
      <c r="LHT14" s="239"/>
      <c r="LHU14" s="239"/>
      <c r="LHV14" s="239"/>
      <c r="LHW14" s="239"/>
      <c r="LHX14" s="239"/>
      <c r="LHY14" s="239"/>
      <c r="LHZ14" s="239"/>
      <c r="LIA14" s="239"/>
      <c r="LIB14" s="239"/>
      <c r="LIC14" s="239"/>
      <c r="LID14" s="239"/>
      <c r="LIE14" s="239"/>
      <c r="LIF14" s="239"/>
      <c r="LIG14" s="239"/>
      <c r="LIH14" s="239"/>
      <c r="LII14" s="239"/>
      <c r="LIJ14" s="239"/>
      <c r="LIK14" s="239"/>
      <c r="LIL14" s="239"/>
      <c r="LIM14" s="239"/>
      <c r="LIN14" s="239"/>
      <c r="LIO14" s="239"/>
      <c r="LIP14" s="239"/>
      <c r="LIQ14" s="239"/>
      <c r="LIR14" s="239"/>
      <c r="LIS14" s="239"/>
      <c r="LIT14" s="239"/>
      <c r="LIU14" s="239"/>
      <c r="LIV14" s="239"/>
      <c r="LIW14" s="239"/>
      <c r="LIX14" s="239"/>
      <c r="LIY14" s="239"/>
      <c r="LIZ14" s="239"/>
      <c r="LJA14" s="239"/>
      <c r="LJB14" s="239"/>
      <c r="LJC14" s="239"/>
      <c r="LJD14" s="239"/>
      <c r="LJE14" s="239"/>
      <c r="LJF14" s="239"/>
      <c r="LJG14" s="239"/>
      <c r="LJH14" s="239"/>
      <c r="LJI14" s="239"/>
      <c r="LJJ14" s="239"/>
      <c r="LJK14" s="239"/>
      <c r="LJL14" s="239"/>
      <c r="LJM14" s="239"/>
      <c r="LJN14" s="239"/>
      <c r="LJO14" s="239"/>
      <c r="LJP14" s="239"/>
      <c r="LJQ14" s="239"/>
      <c r="LJR14" s="239"/>
      <c r="LJS14" s="239"/>
      <c r="LJT14" s="239"/>
      <c r="LJU14" s="239"/>
      <c r="LJV14" s="239"/>
      <c r="LJW14" s="239"/>
      <c r="LJX14" s="239"/>
      <c r="LJY14" s="239"/>
      <c r="LJZ14" s="239"/>
      <c r="LKA14" s="239"/>
      <c r="LKB14" s="239"/>
      <c r="LKC14" s="239"/>
      <c r="LKD14" s="239"/>
      <c r="LKE14" s="239"/>
      <c r="LKF14" s="239"/>
      <c r="LKG14" s="239"/>
      <c r="LKH14" s="239"/>
      <c r="LKI14" s="239"/>
      <c r="LKJ14" s="239"/>
      <c r="LKK14" s="239"/>
      <c r="LKL14" s="239"/>
      <c r="LKM14" s="239"/>
      <c r="LKN14" s="239"/>
      <c r="LKO14" s="239"/>
      <c r="LKP14" s="239"/>
      <c r="LKQ14" s="239"/>
      <c r="LKR14" s="239"/>
      <c r="LKS14" s="239"/>
      <c r="LKT14" s="239"/>
      <c r="LKU14" s="239"/>
      <c r="LKV14" s="239"/>
      <c r="LKW14" s="239"/>
      <c r="LKX14" s="239"/>
      <c r="LKY14" s="239"/>
      <c r="LKZ14" s="239"/>
      <c r="LLA14" s="239"/>
      <c r="LLB14" s="239"/>
      <c r="LLC14" s="239"/>
      <c r="LLD14" s="239"/>
      <c r="LLE14" s="239"/>
      <c r="LLF14" s="239"/>
      <c r="LLG14" s="239"/>
      <c r="LLH14" s="239"/>
      <c r="LLI14" s="239"/>
      <c r="LLJ14" s="239"/>
      <c r="LLK14" s="239"/>
      <c r="LLL14" s="239"/>
      <c r="LLM14" s="239"/>
      <c r="LLN14" s="239"/>
      <c r="LLO14" s="239"/>
      <c r="LLP14" s="239"/>
      <c r="LLQ14" s="239"/>
      <c r="LLR14" s="239"/>
      <c r="LLS14" s="239"/>
      <c r="LLT14" s="239"/>
      <c r="LLU14" s="239"/>
      <c r="LLV14" s="239"/>
      <c r="LLW14" s="239"/>
      <c r="LLX14" s="239"/>
      <c r="LLY14" s="239"/>
      <c r="LLZ14" s="239"/>
      <c r="LMA14" s="239"/>
      <c r="LMB14" s="239"/>
      <c r="LMC14" s="239"/>
      <c r="LMD14" s="239"/>
      <c r="LME14" s="239"/>
      <c r="LMF14" s="239"/>
      <c r="LMG14" s="239"/>
      <c r="LMH14" s="239"/>
      <c r="LMI14" s="239"/>
      <c r="LMJ14" s="239"/>
      <c r="LMK14" s="239"/>
      <c r="LML14" s="239"/>
      <c r="LMM14" s="239"/>
      <c r="LMN14" s="239"/>
      <c r="LMO14" s="239"/>
      <c r="LMP14" s="239"/>
      <c r="LMQ14" s="239"/>
      <c r="LMR14" s="239"/>
      <c r="LMS14" s="239"/>
      <c r="LMT14" s="239"/>
      <c r="LMU14" s="239"/>
      <c r="LMV14" s="239"/>
      <c r="LMW14" s="239"/>
      <c r="LMX14" s="239"/>
      <c r="LMY14" s="239"/>
      <c r="LMZ14" s="239"/>
      <c r="LNA14" s="239"/>
      <c r="LNB14" s="239"/>
      <c r="LNC14" s="239"/>
      <c r="LND14" s="239"/>
      <c r="LNE14" s="239"/>
      <c r="LNF14" s="239"/>
      <c r="LNG14" s="239"/>
      <c r="LNH14" s="239"/>
      <c r="LNI14" s="239"/>
      <c r="LNJ14" s="239"/>
      <c r="LNK14" s="239"/>
      <c r="LNL14" s="239"/>
      <c r="LNM14" s="239"/>
      <c r="LNN14" s="239"/>
      <c r="LNO14" s="239"/>
      <c r="LNP14" s="239"/>
      <c r="LNQ14" s="239"/>
      <c r="LNR14" s="239"/>
      <c r="LNS14" s="239"/>
      <c r="LNT14" s="239"/>
      <c r="LNU14" s="239"/>
      <c r="LNV14" s="239"/>
      <c r="LNW14" s="239"/>
      <c r="LNX14" s="239"/>
      <c r="LNY14" s="239"/>
      <c r="LNZ14" s="239"/>
      <c r="LOA14" s="239"/>
      <c r="LOB14" s="239"/>
      <c r="LOC14" s="239"/>
      <c r="LOD14" s="239"/>
      <c r="LOE14" s="239"/>
      <c r="LOF14" s="239"/>
      <c r="LOG14" s="239"/>
      <c r="LOH14" s="239"/>
      <c r="LOI14" s="239"/>
      <c r="LOJ14" s="239"/>
      <c r="LOK14" s="239"/>
      <c r="LOL14" s="239"/>
      <c r="LOM14" s="239"/>
      <c r="LON14" s="239"/>
      <c r="LOO14" s="239"/>
      <c r="LOP14" s="239"/>
      <c r="LOQ14" s="239"/>
      <c r="LOR14" s="239"/>
      <c r="LOS14" s="239"/>
      <c r="LOT14" s="239"/>
      <c r="LOU14" s="239"/>
      <c r="LOV14" s="239"/>
      <c r="LOW14" s="239"/>
      <c r="LOX14" s="239"/>
      <c r="LOY14" s="239"/>
      <c r="LOZ14" s="239"/>
      <c r="LPA14" s="239"/>
      <c r="LPB14" s="239"/>
      <c r="LPC14" s="239"/>
      <c r="LPD14" s="239"/>
      <c r="LPE14" s="239"/>
      <c r="LPF14" s="239"/>
      <c r="LPG14" s="239"/>
      <c r="LPH14" s="239"/>
      <c r="LPI14" s="239"/>
      <c r="LPJ14" s="239"/>
      <c r="LPK14" s="239"/>
      <c r="LPL14" s="239"/>
      <c r="LPM14" s="239"/>
      <c r="LPN14" s="239"/>
      <c r="LPO14" s="239"/>
      <c r="LPP14" s="239"/>
      <c r="LPQ14" s="239"/>
      <c r="LPR14" s="239"/>
      <c r="LPS14" s="239"/>
      <c r="LPT14" s="239"/>
      <c r="LPU14" s="239"/>
      <c r="LPV14" s="239"/>
      <c r="LPW14" s="239"/>
      <c r="LPX14" s="239"/>
      <c r="LPY14" s="239"/>
      <c r="LPZ14" s="239"/>
      <c r="LQA14" s="239"/>
      <c r="LQB14" s="239"/>
      <c r="LQC14" s="239"/>
      <c r="LQD14" s="239"/>
      <c r="LQE14" s="239"/>
      <c r="LQF14" s="239"/>
      <c r="LQG14" s="239"/>
      <c r="LQH14" s="239"/>
      <c r="LQI14" s="239"/>
      <c r="LQJ14" s="239"/>
      <c r="LQK14" s="239"/>
      <c r="LQL14" s="239"/>
      <c r="LQM14" s="239"/>
      <c r="LQN14" s="239"/>
      <c r="LQO14" s="239"/>
      <c r="LQP14" s="239"/>
      <c r="LQQ14" s="239"/>
      <c r="LQR14" s="239"/>
      <c r="LQS14" s="239"/>
      <c r="LQT14" s="239"/>
      <c r="LQU14" s="239"/>
      <c r="LQV14" s="239"/>
      <c r="LQW14" s="239"/>
      <c r="LQX14" s="239"/>
      <c r="LQY14" s="239"/>
      <c r="LQZ14" s="239"/>
      <c r="LRA14" s="239"/>
      <c r="LRB14" s="239"/>
      <c r="LRC14" s="239"/>
      <c r="LRD14" s="239"/>
      <c r="LRE14" s="239"/>
      <c r="LRF14" s="239"/>
      <c r="LRG14" s="239"/>
      <c r="LRH14" s="239"/>
      <c r="LRI14" s="239"/>
      <c r="LRJ14" s="239"/>
      <c r="LRK14" s="239"/>
      <c r="LRL14" s="239"/>
      <c r="LRM14" s="239"/>
      <c r="LRN14" s="239"/>
      <c r="LRO14" s="239"/>
      <c r="LRP14" s="239"/>
      <c r="LRQ14" s="239"/>
      <c r="LRR14" s="239"/>
      <c r="LRS14" s="239"/>
      <c r="LRT14" s="239"/>
      <c r="LRU14" s="239"/>
      <c r="LRV14" s="239"/>
      <c r="LRW14" s="239"/>
      <c r="LRX14" s="239"/>
      <c r="LRY14" s="239"/>
      <c r="LRZ14" s="239"/>
      <c r="LSA14" s="239"/>
      <c r="LSB14" s="239"/>
      <c r="LSC14" s="239"/>
      <c r="LSD14" s="239"/>
      <c r="LSE14" s="239"/>
      <c r="LSF14" s="239"/>
      <c r="LSG14" s="239"/>
      <c r="LSH14" s="239"/>
      <c r="LSI14" s="239"/>
      <c r="LSJ14" s="239"/>
      <c r="LSK14" s="239"/>
      <c r="LSL14" s="239"/>
      <c r="LSM14" s="239"/>
      <c r="LSN14" s="239"/>
      <c r="LSO14" s="239"/>
      <c r="LSP14" s="239"/>
      <c r="LSQ14" s="239"/>
      <c r="LSR14" s="239"/>
      <c r="LSS14" s="239"/>
      <c r="LST14" s="239"/>
      <c r="LSU14" s="239"/>
      <c r="LSV14" s="239"/>
      <c r="LSW14" s="239"/>
      <c r="LSX14" s="239"/>
      <c r="LSY14" s="239"/>
      <c r="LSZ14" s="239"/>
      <c r="LTA14" s="239"/>
      <c r="LTB14" s="239"/>
      <c r="LTC14" s="239"/>
      <c r="LTD14" s="239"/>
      <c r="LTE14" s="239"/>
      <c r="LTF14" s="239"/>
      <c r="LTG14" s="239"/>
      <c r="LTH14" s="239"/>
      <c r="LTI14" s="239"/>
      <c r="LTJ14" s="239"/>
      <c r="LTK14" s="239"/>
      <c r="LTL14" s="239"/>
      <c r="LTM14" s="239"/>
      <c r="LTN14" s="239"/>
      <c r="LTO14" s="239"/>
      <c r="LTP14" s="239"/>
      <c r="LTQ14" s="239"/>
      <c r="LTR14" s="239"/>
      <c r="LTS14" s="239"/>
      <c r="LTT14" s="239"/>
      <c r="LTU14" s="239"/>
      <c r="LTV14" s="239"/>
      <c r="LTW14" s="239"/>
      <c r="LTX14" s="239"/>
      <c r="LTY14" s="239"/>
      <c r="LTZ14" s="239"/>
      <c r="LUA14" s="239"/>
      <c r="LUB14" s="239"/>
      <c r="LUC14" s="239"/>
      <c r="LUD14" s="239"/>
      <c r="LUE14" s="239"/>
      <c r="LUF14" s="239"/>
      <c r="LUG14" s="239"/>
      <c r="LUH14" s="239"/>
      <c r="LUI14" s="239"/>
      <c r="LUJ14" s="239"/>
      <c r="LUK14" s="239"/>
      <c r="LUL14" s="239"/>
      <c r="LUM14" s="239"/>
      <c r="LUN14" s="239"/>
      <c r="LUO14" s="239"/>
      <c r="LUP14" s="239"/>
      <c r="LUQ14" s="239"/>
      <c r="LUR14" s="239"/>
      <c r="LUS14" s="239"/>
      <c r="LUT14" s="239"/>
      <c r="LUU14" s="239"/>
      <c r="LUV14" s="239"/>
      <c r="LUW14" s="239"/>
      <c r="LUX14" s="239"/>
      <c r="LUY14" s="239"/>
      <c r="LUZ14" s="239"/>
      <c r="LVA14" s="239"/>
      <c r="LVB14" s="239"/>
      <c r="LVC14" s="239"/>
      <c r="LVD14" s="239"/>
      <c r="LVE14" s="239"/>
      <c r="LVF14" s="239"/>
      <c r="LVG14" s="239"/>
      <c r="LVH14" s="239"/>
      <c r="LVI14" s="239"/>
      <c r="LVJ14" s="239"/>
      <c r="LVK14" s="239"/>
      <c r="LVL14" s="239"/>
      <c r="LVM14" s="239"/>
      <c r="LVN14" s="239"/>
      <c r="LVO14" s="239"/>
      <c r="LVP14" s="239"/>
      <c r="LVQ14" s="239"/>
      <c r="LVR14" s="239"/>
      <c r="LVS14" s="239"/>
      <c r="LVT14" s="239"/>
      <c r="LVU14" s="239"/>
      <c r="LVV14" s="239"/>
      <c r="LVW14" s="239"/>
      <c r="LVX14" s="239"/>
      <c r="LVY14" s="239"/>
      <c r="LVZ14" s="239"/>
      <c r="LWA14" s="239"/>
      <c r="LWB14" s="239"/>
      <c r="LWC14" s="239"/>
      <c r="LWD14" s="239"/>
      <c r="LWE14" s="239"/>
      <c r="LWF14" s="239"/>
      <c r="LWG14" s="239"/>
      <c r="LWH14" s="239"/>
      <c r="LWI14" s="239"/>
      <c r="LWJ14" s="239"/>
      <c r="LWK14" s="239"/>
      <c r="LWL14" s="239"/>
      <c r="LWM14" s="239"/>
      <c r="LWN14" s="239"/>
      <c r="LWO14" s="239"/>
      <c r="LWP14" s="239"/>
      <c r="LWQ14" s="239"/>
      <c r="LWR14" s="239"/>
      <c r="LWS14" s="239"/>
      <c r="LWT14" s="239"/>
      <c r="LWU14" s="239"/>
      <c r="LWV14" s="239"/>
      <c r="LWW14" s="239"/>
      <c r="LWX14" s="239"/>
      <c r="LWY14" s="239"/>
      <c r="LWZ14" s="239"/>
      <c r="LXA14" s="239"/>
      <c r="LXB14" s="239"/>
      <c r="LXC14" s="239"/>
      <c r="LXD14" s="239"/>
      <c r="LXE14" s="239"/>
      <c r="LXF14" s="239"/>
      <c r="LXG14" s="239"/>
      <c r="LXH14" s="239"/>
      <c r="LXI14" s="239"/>
      <c r="LXJ14" s="239"/>
      <c r="LXK14" s="239"/>
      <c r="LXL14" s="239"/>
      <c r="LXM14" s="239"/>
      <c r="LXN14" s="239"/>
      <c r="LXO14" s="239"/>
      <c r="LXP14" s="239"/>
      <c r="LXQ14" s="239"/>
      <c r="LXR14" s="239"/>
      <c r="LXS14" s="239"/>
      <c r="LXT14" s="239"/>
      <c r="LXU14" s="239"/>
      <c r="LXV14" s="239"/>
      <c r="LXW14" s="239"/>
      <c r="LXX14" s="239"/>
      <c r="LXY14" s="239"/>
      <c r="LXZ14" s="239"/>
      <c r="LYA14" s="239"/>
      <c r="LYB14" s="239"/>
      <c r="LYC14" s="239"/>
      <c r="LYD14" s="239"/>
      <c r="LYE14" s="239"/>
      <c r="LYF14" s="239"/>
      <c r="LYG14" s="239"/>
      <c r="LYH14" s="239"/>
      <c r="LYI14" s="239"/>
      <c r="LYJ14" s="239"/>
      <c r="LYK14" s="239"/>
      <c r="LYL14" s="239"/>
      <c r="LYM14" s="239"/>
      <c r="LYN14" s="239"/>
      <c r="LYO14" s="239"/>
      <c r="LYP14" s="239"/>
      <c r="LYQ14" s="239"/>
      <c r="LYR14" s="239"/>
      <c r="LYS14" s="239"/>
      <c r="LYT14" s="239"/>
      <c r="LYU14" s="239"/>
      <c r="LYV14" s="239"/>
      <c r="LYW14" s="239"/>
      <c r="LYX14" s="239"/>
      <c r="LYY14" s="239"/>
      <c r="LYZ14" s="239"/>
      <c r="LZA14" s="239"/>
      <c r="LZB14" s="239"/>
      <c r="LZC14" s="239"/>
      <c r="LZD14" s="239"/>
      <c r="LZE14" s="239"/>
      <c r="LZF14" s="239"/>
      <c r="LZG14" s="239"/>
      <c r="LZH14" s="239"/>
      <c r="LZI14" s="239"/>
      <c r="LZJ14" s="239"/>
      <c r="LZK14" s="239"/>
      <c r="LZL14" s="239"/>
      <c r="LZM14" s="239"/>
      <c r="LZN14" s="239"/>
      <c r="LZO14" s="239"/>
      <c r="LZP14" s="239"/>
      <c r="LZQ14" s="239"/>
      <c r="LZR14" s="239"/>
      <c r="LZS14" s="239"/>
      <c r="LZT14" s="239"/>
      <c r="LZU14" s="239"/>
      <c r="LZV14" s="239"/>
      <c r="LZW14" s="239"/>
      <c r="LZX14" s="239"/>
      <c r="LZY14" s="239"/>
      <c r="LZZ14" s="239"/>
      <c r="MAA14" s="239"/>
      <c r="MAB14" s="239"/>
      <c r="MAC14" s="239"/>
      <c r="MAD14" s="239"/>
      <c r="MAE14" s="239"/>
      <c r="MAF14" s="239"/>
      <c r="MAG14" s="239"/>
      <c r="MAH14" s="239"/>
      <c r="MAI14" s="239"/>
      <c r="MAJ14" s="239"/>
      <c r="MAK14" s="239"/>
      <c r="MAL14" s="239"/>
      <c r="MAM14" s="239"/>
      <c r="MAN14" s="239"/>
      <c r="MAO14" s="239"/>
      <c r="MAP14" s="239"/>
      <c r="MAQ14" s="239"/>
      <c r="MAR14" s="239"/>
      <c r="MAS14" s="239"/>
      <c r="MAT14" s="239"/>
      <c r="MAU14" s="239"/>
      <c r="MAV14" s="239"/>
      <c r="MAW14" s="239"/>
      <c r="MAX14" s="239"/>
      <c r="MAY14" s="239"/>
      <c r="MAZ14" s="239"/>
      <c r="MBA14" s="239"/>
      <c r="MBB14" s="239"/>
      <c r="MBC14" s="239"/>
      <c r="MBD14" s="239"/>
      <c r="MBE14" s="239"/>
      <c r="MBF14" s="239"/>
      <c r="MBG14" s="239"/>
      <c r="MBH14" s="239"/>
      <c r="MBI14" s="239"/>
      <c r="MBJ14" s="239"/>
      <c r="MBK14" s="239"/>
      <c r="MBL14" s="239"/>
      <c r="MBM14" s="239"/>
      <c r="MBN14" s="239"/>
      <c r="MBO14" s="239"/>
      <c r="MBP14" s="239"/>
      <c r="MBQ14" s="239"/>
      <c r="MBR14" s="239"/>
      <c r="MBS14" s="239"/>
      <c r="MBT14" s="239"/>
      <c r="MBU14" s="239"/>
      <c r="MBV14" s="239"/>
      <c r="MBW14" s="239"/>
      <c r="MBX14" s="239"/>
      <c r="MBY14" s="239"/>
      <c r="MBZ14" s="239"/>
      <c r="MCA14" s="239"/>
      <c r="MCB14" s="239"/>
      <c r="MCC14" s="239"/>
      <c r="MCD14" s="239"/>
      <c r="MCE14" s="239"/>
      <c r="MCF14" s="239"/>
      <c r="MCG14" s="239"/>
      <c r="MCH14" s="239"/>
      <c r="MCI14" s="239"/>
      <c r="MCJ14" s="239"/>
      <c r="MCK14" s="239"/>
      <c r="MCL14" s="239"/>
      <c r="MCM14" s="239"/>
      <c r="MCN14" s="239"/>
      <c r="MCO14" s="239"/>
      <c r="MCP14" s="239"/>
      <c r="MCQ14" s="239"/>
      <c r="MCR14" s="239"/>
      <c r="MCS14" s="239"/>
      <c r="MCT14" s="239"/>
      <c r="MCU14" s="239"/>
      <c r="MCV14" s="239"/>
      <c r="MCW14" s="239"/>
      <c r="MCX14" s="239"/>
      <c r="MCY14" s="239"/>
      <c r="MCZ14" s="239"/>
      <c r="MDA14" s="239"/>
      <c r="MDB14" s="239"/>
      <c r="MDC14" s="239"/>
      <c r="MDD14" s="239"/>
      <c r="MDE14" s="239"/>
      <c r="MDF14" s="239"/>
      <c r="MDG14" s="239"/>
      <c r="MDH14" s="239"/>
      <c r="MDI14" s="239"/>
      <c r="MDJ14" s="239"/>
      <c r="MDK14" s="239"/>
      <c r="MDL14" s="239"/>
      <c r="MDM14" s="239"/>
      <c r="MDN14" s="239"/>
      <c r="MDO14" s="239"/>
      <c r="MDP14" s="239"/>
      <c r="MDQ14" s="239"/>
      <c r="MDR14" s="239"/>
      <c r="MDS14" s="239"/>
      <c r="MDT14" s="239"/>
      <c r="MDU14" s="239"/>
      <c r="MDV14" s="239"/>
      <c r="MDW14" s="239"/>
    </row>
    <row r="15" spans="1:8915" s="47" customFormat="1" hidden="1">
      <c r="A15" s="52"/>
      <c r="B15" s="101">
        <v>45758</v>
      </c>
      <c r="C15" s="101" t="s">
        <v>196</v>
      </c>
      <c r="D15" s="119">
        <v>3543.4047999999138</v>
      </c>
      <c r="E15" s="119">
        <v>5442.7104000000381</v>
      </c>
      <c r="F15" s="119">
        <v>571.87000000011176</v>
      </c>
      <c r="G15" s="119">
        <v>742.80000000004657</v>
      </c>
      <c r="H15" s="119">
        <v>929.47999999998865</v>
      </c>
      <c r="I15" s="119">
        <v>680.20999999999913</v>
      </c>
      <c r="J15" s="119">
        <v>1610.9028000000719</v>
      </c>
      <c r="K15" s="119">
        <v>2103.1231000000939</v>
      </c>
      <c r="L15" s="119">
        <v>10024.100000000282</v>
      </c>
      <c r="M15" s="119">
        <v>872.62999999988824</v>
      </c>
      <c r="N15" s="119">
        <v>587.01</v>
      </c>
      <c r="O15" s="119">
        <v>2331.5340999995956</v>
      </c>
      <c r="P15" s="141">
        <f t="shared" si="0"/>
        <v>29439.775200000029</v>
      </c>
      <c r="Q15" s="119">
        <v>13905.690000000257</v>
      </c>
      <c r="R15" s="119">
        <v>22499.046999999729</v>
      </c>
      <c r="S15" s="119">
        <v>1354.8188000001157</v>
      </c>
      <c r="T15" s="119">
        <v>1563.1316999999742</v>
      </c>
      <c r="U15" s="119">
        <v>2723.8014000001199</v>
      </c>
      <c r="V15" s="141">
        <f t="shared" si="1"/>
        <v>71486.264100000204</v>
      </c>
      <c r="W15" s="81"/>
      <c r="X15" s="262">
        <f>Summary!K15</f>
        <v>71486.264100000204</v>
      </c>
      <c r="Y15" s="239"/>
      <c r="Z15" s="281">
        <f t="shared" si="2"/>
        <v>0</v>
      </c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  <c r="AM15" s="239"/>
      <c r="AN15" s="239"/>
      <c r="AO15" s="239"/>
      <c r="AP15" s="239"/>
      <c r="AQ15" s="239"/>
      <c r="AR15" s="239"/>
      <c r="AS15" s="239"/>
      <c r="AT15" s="239"/>
      <c r="AU15" s="239"/>
      <c r="AV15" s="239"/>
      <c r="AW15" s="239"/>
      <c r="AX15" s="239"/>
      <c r="AY15" s="239"/>
      <c r="AZ15" s="239"/>
      <c r="BA15" s="239"/>
      <c r="BB15" s="239"/>
      <c r="BC15" s="239"/>
      <c r="BD15" s="239"/>
      <c r="BE15" s="239"/>
      <c r="BF15" s="239"/>
      <c r="BG15" s="239"/>
      <c r="BH15" s="239"/>
      <c r="BI15" s="239"/>
      <c r="BJ15" s="239"/>
      <c r="BK15" s="239"/>
      <c r="BL15" s="239"/>
      <c r="BM15" s="239"/>
      <c r="BN15" s="239"/>
      <c r="BO15" s="239"/>
      <c r="BP15" s="239"/>
      <c r="BQ15" s="239"/>
      <c r="BR15" s="239"/>
      <c r="BS15" s="239"/>
      <c r="BT15" s="239"/>
      <c r="BU15" s="239"/>
      <c r="BV15" s="239"/>
      <c r="BW15" s="239"/>
      <c r="BX15" s="239"/>
      <c r="BY15" s="239"/>
      <c r="BZ15" s="239"/>
      <c r="CA15" s="239"/>
      <c r="CB15" s="239"/>
      <c r="CC15" s="239"/>
      <c r="CD15" s="239"/>
      <c r="CE15" s="239"/>
      <c r="CF15" s="239"/>
      <c r="CG15" s="239"/>
      <c r="CH15" s="239"/>
      <c r="CI15" s="239"/>
      <c r="CJ15" s="239"/>
      <c r="CK15" s="239"/>
      <c r="CL15" s="239"/>
      <c r="CM15" s="239"/>
      <c r="CN15" s="239"/>
      <c r="CO15" s="239"/>
      <c r="CP15" s="239"/>
      <c r="CQ15" s="239"/>
      <c r="CR15" s="239"/>
      <c r="CS15" s="239"/>
      <c r="CT15" s="239"/>
      <c r="CU15" s="239"/>
      <c r="CV15" s="239"/>
      <c r="CW15" s="239"/>
      <c r="CX15" s="239"/>
      <c r="CY15" s="239"/>
      <c r="CZ15" s="239"/>
      <c r="DA15" s="239"/>
      <c r="DB15" s="239"/>
      <c r="DC15" s="239"/>
      <c r="DD15" s="239"/>
      <c r="DE15" s="239"/>
      <c r="DF15" s="239"/>
      <c r="DG15" s="239"/>
      <c r="DH15" s="239"/>
      <c r="DI15" s="239"/>
      <c r="DJ15" s="239"/>
      <c r="DK15" s="239"/>
      <c r="DL15" s="239"/>
      <c r="DM15" s="239"/>
      <c r="DN15" s="239"/>
      <c r="DO15" s="239"/>
      <c r="DP15" s="239"/>
      <c r="DQ15" s="239"/>
      <c r="DR15" s="239"/>
      <c r="DS15" s="239"/>
      <c r="DT15" s="239"/>
      <c r="DU15" s="239"/>
      <c r="DV15" s="239"/>
      <c r="DW15" s="239"/>
      <c r="DX15" s="239"/>
      <c r="DY15" s="239"/>
      <c r="DZ15" s="239"/>
      <c r="EA15" s="239"/>
      <c r="EB15" s="239"/>
      <c r="EC15" s="239"/>
      <c r="ED15" s="239"/>
      <c r="EE15" s="239"/>
      <c r="EF15" s="239"/>
      <c r="EG15" s="239"/>
      <c r="EH15" s="239"/>
      <c r="EI15" s="239"/>
      <c r="EJ15" s="239"/>
      <c r="EK15" s="239"/>
      <c r="EL15" s="239"/>
      <c r="EM15" s="239"/>
      <c r="EN15" s="239"/>
      <c r="EO15" s="239"/>
      <c r="EP15" s="239"/>
      <c r="EQ15" s="239"/>
      <c r="ER15" s="239"/>
      <c r="ES15" s="239"/>
      <c r="ET15" s="239"/>
      <c r="EU15" s="239"/>
      <c r="EV15" s="239"/>
      <c r="EW15" s="239"/>
      <c r="EX15" s="239"/>
      <c r="EY15" s="239"/>
      <c r="EZ15" s="239"/>
      <c r="FA15" s="239"/>
      <c r="FB15" s="239"/>
      <c r="FC15" s="239"/>
      <c r="FD15" s="239"/>
      <c r="FE15" s="239"/>
      <c r="FF15" s="239"/>
      <c r="FG15" s="239"/>
      <c r="FH15" s="239"/>
      <c r="FI15" s="239"/>
      <c r="FJ15" s="239"/>
      <c r="FK15" s="239"/>
      <c r="FL15" s="239"/>
      <c r="FM15" s="239"/>
      <c r="FN15" s="239"/>
      <c r="FO15" s="239"/>
      <c r="FP15" s="239"/>
      <c r="FQ15" s="239"/>
      <c r="FR15" s="239"/>
      <c r="FS15" s="239"/>
      <c r="FT15" s="239"/>
      <c r="FU15" s="239"/>
      <c r="FV15" s="239"/>
      <c r="FW15" s="239"/>
      <c r="FX15" s="239"/>
      <c r="FY15" s="239"/>
      <c r="FZ15" s="239"/>
      <c r="GA15" s="239"/>
      <c r="GB15" s="239"/>
      <c r="GC15" s="239"/>
      <c r="GD15" s="239"/>
      <c r="GE15" s="239"/>
      <c r="GF15" s="239"/>
      <c r="GG15" s="239"/>
      <c r="GH15" s="239"/>
      <c r="GI15" s="239"/>
      <c r="GJ15" s="239"/>
      <c r="GK15" s="239"/>
      <c r="GL15" s="239"/>
      <c r="GM15" s="239"/>
      <c r="GN15" s="239"/>
      <c r="GO15" s="239"/>
      <c r="GP15" s="239"/>
      <c r="GQ15" s="239"/>
      <c r="GR15" s="239"/>
      <c r="GS15" s="239"/>
      <c r="GT15" s="239"/>
      <c r="GU15" s="239"/>
      <c r="GV15" s="239"/>
      <c r="GW15" s="239"/>
      <c r="GX15" s="239"/>
      <c r="GY15" s="239"/>
      <c r="GZ15" s="239"/>
      <c r="HA15" s="239"/>
      <c r="HB15" s="239"/>
      <c r="HC15" s="239"/>
      <c r="HD15" s="239"/>
      <c r="HE15" s="239"/>
      <c r="HF15" s="239"/>
      <c r="HG15" s="239"/>
      <c r="HH15" s="239"/>
      <c r="HI15" s="239"/>
      <c r="HJ15" s="239"/>
      <c r="HK15" s="239"/>
      <c r="HL15" s="239"/>
      <c r="HM15" s="239"/>
      <c r="HN15" s="239"/>
      <c r="HO15" s="239"/>
      <c r="HP15" s="239"/>
      <c r="HQ15" s="239"/>
      <c r="HR15" s="239"/>
      <c r="HS15" s="239"/>
      <c r="HT15" s="239"/>
      <c r="HU15" s="239"/>
      <c r="HV15" s="239"/>
      <c r="HW15" s="239"/>
      <c r="HX15" s="239"/>
      <c r="HY15" s="239"/>
      <c r="HZ15" s="239"/>
      <c r="IA15" s="239"/>
      <c r="IB15" s="239"/>
      <c r="IC15" s="239"/>
      <c r="ID15" s="239"/>
      <c r="IE15" s="239"/>
      <c r="IF15" s="239"/>
      <c r="IG15" s="239"/>
      <c r="IH15" s="239"/>
      <c r="II15" s="239"/>
      <c r="IJ15" s="239"/>
      <c r="IK15" s="239"/>
      <c r="IL15" s="239"/>
      <c r="IM15" s="239"/>
      <c r="IN15" s="239"/>
      <c r="IO15" s="239"/>
      <c r="IP15" s="239"/>
      <c r="IQ15" s="239"/>
      <c r="IR15" s="239"/>
      <c r="IS15" s="239"/>
      <c r="IT15" s="239"/>
      <c r="IU15" s="239"/>
      <c r="IV15" s="239"/>
      <c r="IW15" s="239"/>
      <c r="IX15" s="239"/>
      <c r="IY15" s="239"/>
      <c r="IZ15" s="239"/>
      <c r="JA15" s="239"/>
      <c r="JB15" s="239"/>
      <c r="JC15" s="239"/>
      <c r="JD15" s="239"/>
      <c r="JE15" s="239"/>
      <c r="JF15" s="239"/>
      <c r="JG15" s="239"/>
      <c r="JH15" s="239"/>
      <c r="JI15" s="239"/>
      <c r="JJ15" s="239"/>
      <c r="JK15" s="239"/>
      <c r="JL15" s="239"/>
      <c r="JM15" s="239"/>
      <c r="JN15" s="239"/>
      <c r="JO15" s="239"/>
      <c r="JP15" s="239"/>
      <c r="JQ15" s="239"/>
      <c r="JR15" s="239"/>
      <c r="JS15" s="239"/>
      <c r="JT15" s="239"/>
      <c r="JU15" s="239"/>
      <c r="JV15" s="239"/>
      <c r="JW15" s="239"/>
      <c r="JX15" s="239"/>
      <c r="JY15" s="239"/>
      <c r="JZ15" s="239"/>
      <c r="KA15" s="239"/>
      <c r="KB15" s="239"/>
      <c r="KC15" s="239"/>
      <c r="KD15" s="239"/>
      <c r="KE15" s="239"/>
      <c r="KF15" s="239"/>
      <c r="KG15" s="239"/>
      <c r="KH15" s="239"/>
      <c r="KI15" s="239"/>
      <c r="KJ15" s="239"/>
      <c r="KK15" s="239"/>
      <c r="KL15" s="239"/>
      <c r="KM15" s="239"/>
      <c r="KN15" s="239"/>
      <c r="KO15" s="239"/>
      <c r="KP15" s="239"/>
      <c r="KQ15" s="239"/>
      <c r="KR15" s="239"/>
      <c r="KS15" s="239"/>
      <c r="KT15" s="239"/>
      <c r="KU15" s="239"/>
      <c r="KV15" s="239"/>
      <c r="KW15" s="239"/>
      <c r="KX15" s="239"/>
      <c r="KY15" s="239"/>
      <c r="KZ15" s="239"/>
      <c r="LA15" s="239"/>
      <c r="LB15" s="239"/>
      <c r="LC15" s="239"/>
      <c r="LD15" s="239"/>
      <c r="LE15" s="239"/>
      <c r="LF15" s="239"/>
      <c r="LG15" s="239"/>
      <c r="LH15" s="239"/>
      <c r="LI15" s="239"/>
      <c r="LJ15" s="239"/>
      <c r="LK15" s="239"/>
      <c r="LL15" s="239"/>
      <c r="LM15" s="239"/>
      <c r="LN15" s="239"/>
      <c r="LO15" s="239"/>
      <c r="LP15" s="239"/>
      <c r="LQ15" s="239"/>
      <c r="LR15" s="239"/>
      <c r="LS15" s="239"/>
      <c r="LT15" s="239"/>
      <c r="LU15" s="239"/>
      <c r="LV15" s="239"/>
      <c r="LW15" s="239"/>
      <c r="LX15" s="239"/>
      <c r="LY15" s="239"/>
      <c r="LZ15" s="239"/>
      <c r="MA15" s="239"/>
      <c r="MB15" s="239"/>
      <c r="MC15" s="239"/>
      <c r="MD15" s="239"/>
      <c r="ME15" s="239"/>
      <c r="MF15" s="239"/>
      <c r="MG15" s="239"/>
      <c r="MH15" s="239"/>
      <c r="MI15" s="239"/>
      <c r="MJ15" s="239"/>
      <c r="MK15" s="239"/>
      <c r="ML15" s="239"/>
      <c r="MM15" s="239"/>
      <c r="MN15" s="239"/>
      <c r="MO15" s="239"/>
      <c r="MP15" s="239"/>
      <c r="MQ15" s="239"/>
      <c r="MR15" s="239"/>
      <c r="MS15" s="239"/>
      <c r="MT15" s="239"/>
      <c r="MU15" s="239"/>
      <c r="MV15" s="239"/>
      <c r="MW15" s="239"/>
      <c r="MX15" s="239"/>
      <c r="MY15" s="239"/>
      <c r="MZ15" s="239"/>
      <c r="NA15" s="239"/>
      <c r="NB15" s="239"/>
      <c r="NC15" s="239"/>
      <c r="ND15" s="239"/>
      <c r="NE15" s="239"/>
      <c r="NF15" s="239"/>
      <c r="NG15" s="239"/>
      <c r="NH15" s="239"/>
      <c r="NI15" s="239"/>
      <c r="NJ15" s="239"/>
      <c r="NK15" s="239"/>
      <c r="NL15" s="239"/>
      <c r="NM15" s="239"/>
      <c r="NN15" s="239"/>
      <c r="NO15" s="239"/>
      <c r="NP15" s="239"/>
      <c r="NQ15" s="239"/>
      <c r="NR15" s="239"/>
      <c r="NS15" s="239"/>
      <c r="NT15" s="239"/>
      <c r="NU15" s="239"/>
      <c r="NV15" s="239"/>
      <c r="NW15" s="239"/>
      <c r="NX15" s="239"/>
      <c r="NY15" s="239"/>
      <c r="NZ15" s="239"/>
      <c r="OA15" s="239"/>
      <c r="OB15" s="239"/>
      <c r="OC15" s="239"/>
      <c r="OD15" s="239"/>
      <c r="OE15" s="239"/>
      <c r="OF15" s="239"/>
      <c r="OG15" s="239"/>
      <c r="OH15" s="239"/>
      <c r="OI15" s="239"/>
      <c r="OJ15" s="239"/>
      <c r="OK15" s="239"/>
      <c r="OL15" s="239"/>
      <c r="OM15" s="239"/>
      <c r="ON15" s="239"/>
      <c r="OO15" s="239"/>
      <c r="OP15" s="239"/>
      <c r="OQ15" s="239"/>
      <c r="OR15" s="239"/>
      <c r="OS15" s="239"/>
      <c r="OT15" s="239"/>
      <c r="OU15" s="239"/>
      <c r="OV15" s="239"/>
      <c r="OW15" s="239"/>
      <c r="OX15" s="239"/>
      <c r="OY15" s="239"/>
      <c r="OZ15" s="239"/>
      <c r="PA15" s="239"/>
      <c r="PB15" s="239"/>
      <c r="PC15" s="239"/>
      <c r="PD15" s="239"/>
      <c r="PE15" s="239"/>
      <c r="PF15" s="239"/>
      <c r="PG15" s="239"/>
      <c r="PH15" s="239"/>
      <c r="PI15" s="239"/>
      <c r="PJ15" s="239"/>
      <c r="PK15" s="239"/>
      <c r="PL15" s="239"/>
      <c r="PM15" s="239"/>
      <c r="PN15" s="239"/>
      <c r="PO15" s="239"/>
      <c r="PP15" s="239"/>
      <c r="PQ15" s="239"/>
      <c r="PR15" s="239"/>
      <c r="PS15" s="239"/>
      <c r="PT15" s="239"/>
      <c r="PU15" s="239"/>
      <c r="PV15" s="239"/>
      <c r="PW15" s="239"/>
      <c r="PX15" s="239"/>
      <c r="PY15" s="239"/>
      <c r="PZ15" s="239"/>
      <c r="QA15" s="239"/>
      <c r="QB15" s="239"/>
      <c r="QC15" s="239"/>
      <c r="QD15" s="239"/>
      <c r="QE15" s="239"/>
      <c r="QF15" s="239"/>
      <c r="QG15" s="239"/>
      <c r="QH15" s="239"/>
      <c r="QI15" s="239"/>
      <c r="QJ15" s="239"/>
      <c r="QK15" s="239"/>
      <c r="QL15" s="239"/>
      <c r="QM15" s="239"/>
      <c r="QN15" s="239"/>
      <c r="QO15" s="239"/>
      <c r="QP15" s="239"/>
      <c r="QQ15" s="239"/>
      <c r="QR15" s="239"/>
      <c r="QS15" s="239"/>
      <c r="QT15" s="239"/>
      <c r="QU15" s="239"/>
      <c r="QV15" s="239"/>
      <c r="QW15" s="239"/>
      <c r="QX15" s="239"/>
      <c r="QY15" s="239"/>
      <c r="QZ15" s="239"/>
      <c r="RA15" s="239"/>
      <c r="RB15" s="239"/>
      <c r="RC15" s="239"/>
      <c r="RD15" s="239"/>
      <c r="RE15" s="239"/>
      <c r="RF15" s="239"/>
      <c r="RG15" s="239"/>
      <c r="RH15" s="239"/>
      <c r="RI15" s="239"/>
      <c r="RJ15" s="239"/>
      <c r="RK15" s="239"/>
      <c r="RL15" s="239"/>
      <c r="RM15" s="239"/>
      <c r="RN15" s="239"/>
      <c r="RO15" s="239"/>
      <c r="RP15" s="239"/>
      <c r="RQ15" s="239"/>
      <c r="RR15" s="239"/>
      <c r="RS15" s="239"/>
      <c r="RT15" s="239"/>
      <c r="RU15" s="239"/>
      <c r="RV15" s="239"/>
      <c r="RW15" s="239"/>
      <c r="RX15" s="239"/>
      <c r="RY15" s="239"/>
      <c r="RZ15" s="239"/>
      <c r="SA15" s="239"/>
      <c r="SB15" s="239"/>
      <c r="SC15" s="239"/>
      <c r="SD15" s="239"/>
      <c r="SE15" s="239"/>
      <c r="SF15" s="239"/>
      <c r="SG15" s="239"/>
      <c r="SH15" s="239"/>
      <c r="SI15" s="239"/>
      <c r="SJ15" s="239"/>
      <c r="SK15" s="239"/>
      <c r="SL15" s="239"/>
      <c r="SM15" s="239"/>
      <c r="SN15" s="239"/>
      <c r="SO15" s="239"/>
      <c r="SP15" s="239"/>
      <c r="SQ15" s="239"/>
      <c r="SR15" s="239"/>
      <c r="SS15" s="239"/>
      <c r="ST15" s="239"/>
      <c r="SU15" s="239"/>
      <c r="SV15" s="239"/>
      <c r="SW15" s="239"/>
      <c r="SX15" s="239"/>
      <c r="SY15" s="239"/>
      <c r="SZ15" s="239"/>
      <c r="TA15" s="239"/>
      <c r="TB15" s="239"/>
      <c r="TC15" s="239"/>
      <c r="TD15" s="239"/>
      <c r="TE15" s="239"/>
      <c r="TF15" s="239"/>
      <c r="TG15" s="239"/>
      <c r="TH15" s="239"/>
      <c r="TI15" s="239"/>
      <c r="TJ15" s="239"/>
      <c r="TK15" s="239"/>
      <c r="TL15" s="239"/>
      <c r="TM15" s="239"/>
      <c r="TN15" s="239"/>
      <c r="TO15" s="239"/>
      <c r="TP15" s="239"/>
      <c r="TQ15" s="239"/>
      <c r="TR15" s="239"/>
      <c r="TS15" s="239"/>
      <c r="TT15" s="239"/>
      <c r="TU15" s="239"/>
      <c r="TV15" s="239"/>
      <c r="TW15" s="239"/>
      <c r="TX15" s="239"/>
      <c r="TY15" s="239"/>
      <c r="TZ15" s="239"/>
      <c r="UA15" s="239"/>
      <c r="UB15" s="239"/>
      <c r="UC15" s="239"/>
      <c r="UD15" s="239"/>
      <c r="UE15" s="239"/>
      <c r="UF15" s="239"/>
      <c r="UG15" s="239"/>
      <c r="UH15" s="239"/>
      <c r="UI15" s="239"/>
      <c r="UJ15" s="239"/>
      <c r="UK15" s="239"/>
      <c r="UL15" s="239"/>
      <c r="UM15" s="239"/>
      <c r="UN15" s="239"/>
      <c r="UO15" s="239"/>
      <c r="UP15" s="239"/>
      <c r="UQ15" s="239"/>
      <c r="UR15" s="239"/>
      <c r="US15" s="239"/>
      <c r="UT15" s="239"/>
      <c r="UU15" s="239"/>
      <c r="UV15" s="239"/>
      <c r="UW15" s="239"/>
      <c r="UX15" s="239"/>
      <c r="UY15" s="239"/>
      <c r="UZ15" s="239"/>
      <c r="VA15" s="239"/>
      <c r="VB15" s="239"/>
      <c r="VC15" s="239"/>
      <c r="VD15" s="239"/>
      <c r="VE15" s="239"/>
      <c r="VF15" s="239"/>
      <c r="VG15" s="239"/>
      <c r="VH15" s="239"/>
      <c r="VI15" s="239"/>
      <c r="VJ15" s="239"/>
      <c r="VK15" s="239"/>
      <c r="VL15" s="239"/>
      <c r="VM15" s="239"/>
      <c r="VN15" s="239"/>
      <c r="VO15" s="239"/>
      <c r="VP15" s="239"/>
      <c r="VQ15" s="239"/>
      <c r="VR15" s="239"/>
      <c r="VS15" s="239"/>
      <c r="VT15" s="239"/>
      <c r="VU15" s="239"/>
      <c r="VV15" s="239"/>
      <c r="VW15" s="239"/>
      <c r="VX15" s="239"/>
      <c r="VY15" s="239"/>
      <c r="VZ15" s="239"/>
      <c r="WA15" s="239"/>
      <c r="WB15" s="239"/>
      <c r="WC15" s="239"/>
      <c r="WD15" s="239"/>
      <c r="WE15" s="239"/>
      <c r="WF15" s="239"/>
      <c r="WG15" s="239"/>
      <c r="WH15" s="239"/>
      <c r="WI15" s="239"/>
      <c r="WJ15" s="239"/>
      <c r="WK15" s="239"/>
      <c r="WL15" s="239"/>
      <c r="WM15" s="239"/>
      <c r="WN15" s="239"/>
      <c r="WO15" s="239"/>
      <c r="WP15" s="239"/>
      <c r="WQ15" s="239"/>
      <c r="WR15" s="239"/>
      <c r="WS15" s="239"/>
      <c r="WT15" s="239"/>
      <c r="WU15" s="239"/>
      <c r="WV15" s="239"/>
      <c r="WW15" s="239"/>
      <c r="WX15" s="239"/>
      <c r="WY15" s="239"/>
      <c r="WZ15" s="239"/>
      <c r="XA15" s="239"/>
      <c r="XB15" s="239"/>
      <c r="XC15" s="239"/>
      <c r="XD15" s="239"/>
      <c r="XE15" s="239"/>
      <c r="XF15" s="239"/>
      <c r="XG15" s="239"/>
      <c r="XH15" s="239"/>
      <c r="XI15" s="239"/>
      <c r="XJ15" s="239"/>
      <c r="XK15" s="239"/>
      <c r="XL15" s="239"/>
      <c r="XM15" s="239"/>
      <c r="XN15" s="239"/>
      <c r="XO15" s="239"/>
      <c r="XP15" s="239"/>
      <c r="XQ15" s="239"/>
      <c r="XR15" s="239"/>
      <c r="XS15" s="239"/>
      <c r="XT15" s="239"/>
      <c r="XU15" s="239"/>
      <c r="XV15" s="239"/>
      <c r="XW15" s="239"/>
      <c r="XX15" s="239"/>
      <c r="XY15" s="239"/>
      <c r="XZ15" s="239"/>
      <c r="YA15" s="239"/>
      <c r="YB15" s="239"/>
      <c r="YC15" s="239"/>
      <c r="YD15" s="239"/>
      <c r="YE15" s="239"/>
      <c r="YF15" s="239"/>
      <c r="YG15" s="239"/>
      <c r="YH15" s="239"/>
      <c r="YI15" s="239"/>
      <c r="YJ15" s="239"/>
      <c r="YK15" s="239"/>
      <c r="YL15" s="239"/>
      <c r="YM15" s="239"/>
      <c r="YN15" s="239"/>
      <c r="YO15" s="239"/>
      <c r="YP15" s="239"/>
      <c r="YQ15" s="239"/>
      <c r="YR15" s="239"/>
      <c r="YS15" s="239"/>
      <c r="YT15" s="239"/>
      <c r="YU15" s="239"/>
      <c r="YV15" s="239"/>
      <c r="YW15" s="239"/>
      <c r="YX15" s="239"/>
      <c r="YY15" s="239"/>
      <c r="YZ15" s="239"/>
      <c r="ZA15" s="239"/>
      <c r="ZB15" s="239"/>
      <c r="ZC15" s="239"/>
      <c r="ZD15" s="239"/>
      <c r="ZE15" s="239"/>
      <c r="ZF15" s="239"/>
      <c r="ZG15" s="239"/>
      <c r="ZH15" s="239"/>
      <c r="ZI15" s="239"/>
      <c r="ZJ15" s="239"/>
      <c r="ZK15" s="239"/>
      <c r="ZL15" s="239"/>
      <c r="ZM15" s="239"/>
      <c r="ZN15" s="239"/>
      <c r="ZO15" s="239"/>
      <c r="ZP15" s="239"/>
      <c r="ZQ15" s="239"/>
      <c r="ZR15" s="239"/>
      <c r="ZS15" s="239"/>
      <c r="ZT15" s="239"/>
      <c r="ZU15" s="239"/>
      <c r="ZV15" s="239"/>
      <c r="ZW15" s="239"/>
      <c r="ZX15" s="239"/>
      <c r="ZY15" s="239"/>
      <c r="ZZ15" s="239"/>
      <c r="AAA15" s="239"/>
      <c r="AAB15" s="239"/>
      <c r="AAC15" s="239"/>
      <c r="AAD15" s="239"/>
      <c r="AAE15" s="239"/>
      <c r="AAF15" s="239"/>
      <c r="AAG15" s="239"/>
      <c r="AAH15" s="239"/>
      <c r="AAI15" s="239"/>
      <c r="AAJ15" s="239"/>
      <c r="AAK15" s="239"/>
      <c r="AAL15" s="239"/>
      <c r="AAM15" s="239"/>
      <c r="AAN15" s="239"/>
      <c r="AAO15" s="239"/>
      <c r="AAP15" s="239"/>
      <c r="AAQ15" s="239"/>
      <c r="AAR15" s="239"/>
      <c r="AAS15" s="239"/>
      <c r="AAT15" s="239"/>
      <c r="AAU15" s="239"/>
      <c r="AAV15" s="239"/>
      <c r="AAW15" s="239"/>
      <c r="AAX15" s="239"/>
      <c r="AAY15" s="239"/>
      <c r="AAZ15" s="239"/>
      <c r="ABA15" s="239"/>
      <c r="ABB15" s="239"/>
      <c r="ABC15" s="239"/>
      <c r="ABD15" s="239"/>
      <c r="ABE15" s="239"/>
      <c r="ABF15" s="239"/>
      <c r="ABG15" s="239"/>
      <c r="ABH15" s="239"/>
      <c r="ABI15" s="239"/>
      <c r="ABJ15" s="239"/>
      <c r="ABK15" s="239"/>
      <c r="ABL15" s="239"/>
      <c r="ABM15" s="239"/>
      <c r="ABN15" s="239"/>
      <c r="ABO15" s="239"/>
      <c r="ABP15" s="239"/>
      <c r="ABQ15" s="239"/>
      <c r="ABR15" s="239"/>
      <c r="ABS15" s="239"/>
      <c r="ABT15" s="239"/>
      <c r="ABU15" s="239"/>
      <c r="ABV15" s="239"/>
      <c r="ABW15" s="239"/>
      <c r="ABX15" s="239"/>
      <c r="ABY15" s="239"/>
      <c r="ABZ15" s="239"/>
      <c r="ACA15" s="239"/>
      <c r="ACB15" s="239"/>
      <c r="ACC15" s="239"/>
      <c r="ACD15" s="239"/>
      <c r="ACE15" s="239"/>
      <c r="ACF15" s="239"/>
      <c r="ACG15" s="239"/>
      <c r="ACH15" s="239"/>
      <c r="ACI15" s="239"/>
      <c r="ACJ15" s="239"/>
      <c r="ACK15" s="239"/>
      <c r="ACL15" s="239"/>
      <c r="ACM15" s="239"/>
      <c r="ACN15" s="239"/>
      <c r="ACO15" s="239"/>
      <c r="ACP15" s="239"/>
      <c r="ACQ15" s="239"/>
      <c r="ACR15" s="239"/>
      <c r="ACS15" s="239"/>
      <c r="ACT15" s="239"/>
      <c r="ACU15" s="239"/>
      <c r="ACV15" s="239"/>
      <c r="ACW15" s="239"/>
      <c r="ACX15" s="239"/>
      <c r="ACY15" s="239"/>
      <c r="ACZ15" s="239"/>
      <c r="ADA15" s="239"/>
      <c r="ADB15" s="239"/>
      <c r="ADC15" s="239"/>
      <c r="ADD15" s="239"/>
      <c r="ADE15" s="239"/>
      <c r="ADF15" s="239"/>
      <c r="ADG15" s="239"/>
      <c r="ADH15" s="239"/>
      <c r="ADI15" s="239"/>
      <c r="ADJ15" s="239"/>
      <c r="ADK15" s="239"/>
      <c r="ADL15" s="239"/>
      <c r="ADM15" s="239"/>
      <c r="ADN15" s="239"/>
      <c r="ADO15" s="239"/>
      <c r="ADP15" s="239"/>
      <c r="ADQ15" s="239"/>
      <c r="ADR15" s="239"/>
      <c r="ADS15" s="239"/>
      <c r="ADT15" s="239"/>
      <c r="ADU15" s="239"/>
      <c r="ADV15" s="239"/>
      <c r="ADW15" s="239"/>
      <c r="ADX15" s="239"/>
      <c r="ADY15" s="239"/>
      <c r="ADZ15" s="239"/>
      <c r="AEA15" s="239"/>
      <c r="AEB15" s="239"/>
      <c r="AEC15" s="239"/>
      <c r="AED15" s="239"/>
      <c r="AEE15" s="239"/>
      <c r="AEF15" s="239"/>
      <c r="AEG15" s="239"/>
      <c r="AEH15" s="239"/>
      <c r="AEI15" s="239"/>
      <c r="AEJ15" s="239"/>
      <c r="AEK15" s="239"/>
      <c r="AEL15" s="239"/>
      <c r="AEM15" s="239"/>
      <c r="AEN15" s="239"/>
      <c r="AEO15" s="239"/>
      <c r="AEP15" s="239"/>
      <c r="AEQ15" s="239"/>
      <c r="AER15" s="239"/>
      <c r="AES15" s="239"/>
      <c r="AET15" s="239"/>
      <c r="AEU15" s="239"/>
      <c r="AEV15" s="239"/>
      <c r="AEW15" s="239"/>
      <c r="AEX15" s="239"/>
      <c r="AEY15" s="239"/>
      <c r="AEZ15" s="239"/>
      <c r="AFA15" s="239"/>
      <c r="AFB15" s="239"/>
      <c r="AFC15" s="239"/>
      <c r="AFD15" s="239"/>
      <c r="AFE15" s="239"/>
      <c r="AFF15" s="239"/>
      <c r="AFG15" s="239"/>
      <c r="AFH15" s="239"/>
      <c r="AFI15" s="239"/>
      <c r="AFJ15" s="239"/>
      <c r="AFK15" s="239"/>
      <c r="AFL15" s="239"/>
      <c r="AFM15" s="239"/>
      <c r="AFN15" s="239"/>
      <c r="AFO15" s="239"/>
      <c r="AFP15" s="239"/>
      <c r="AFQ15" s="239"/>
      <c r="AFR15" s="239"/>
      <c r="AFS15" s="239"/>
      <c r="AFT15" s="239"/>
      <c r="AFU15" s="239"/>
      <c r="AFV15" s="239"/>
      <c r="AFW15" s="239"/>
      <c r="AFX15" s="239"/>
      <c r="AFY15" s="239"/>
      <c r="AFZ15" s="239"/>
      <c r="AGA15" s="239"/>
      <c r="AGB15" s="239"/>
      <c r="AGC15" s="239"/>
      <c r="AGD15" s="239"/>
      <c r="AGE15" s="239"/>
      <c r="AGF15" s="239"/>
      <c r="AGG15" s="239"/>
      <c r="AGH15" s="239"/>
      <c r="AGI15" s="239"/>
      <c r="AGJ15" s="239"/>
      <c r="AGK15" s="239"/>
      <c r="AGL15" s="239"/>
      <c r="AGM15" s="239"/>
      <c r="AGN15" s="239"/>
      <c r="AGO15" s="239"/>
      <c r="AGP15" s="239"/>
      <c r="AGQ15" s="239"/>
      <c r="AGR15" s="239"/>
      <c r="AGS15" s="239"/>
      <c r="AGT15" s="239"/>
      <c r="AGU15" s="239"/>
      <c r="AGV15" s="239"/>
      <c r="AGW15" s="239"/>
      <c r="AGX15" s="239"/>
      <c r="AGY15" s="239"/>
      <c r="AGZ15" s="239"/>
      <c r="AHA15" s="239"/>
      <c r="AHB15" s="239"/>
      <c r="AHC15" s="239"/>
      <c r="AHD15" s="239"/>
      <c r="AHE15" s="239"/>
      <c r="AHF15" s="239"/>
      <c r="AHG15" s="239"/>
      <c r="AHH15" s="239"/>
      <c r="AHI15" s="239"/>
      <c r="AHJ15" s="239"/>
      <c r="AHK15" s="239"/>
      <c r="AHL15" s="239"/>
      <c r="AHM15" s="239"/>
      <c r="AHN15" s="239"/>
      <c r="AHO15" s="239"/>
      <c r="AHP15" s="239"/>
      <c r="AHQ15" s="239"/>
      <c r="AHR15" s="239"/>
      <c r="AHS15" s="239"/>
      <c r="AHT15" s="239"/>
      <c r="AHU15" s="239"/>
      <c r="AHV15" s="239"/>
      <c r="AHW15" s="239"/>
      <c r="AHX15" s="239"/>
      <c r="AHY15" s="239"/>
      <c r="AHZ15" s="239"/>
      <c r="AIA15" s="239"/>
      <c r="AIB15" s="239"/>
      <c r="AIC15" s="239"/>
      <c r="AID15" s="239"/>
      <c r="AIE15" s="239"/>
      <c r="AIF15" s="239"/>
      <c r="AIG15" s="239"/>
      <c r="AIH15" s="239"/>
      <c r="AII15" s="239"/>
      <c r="AIJ15" s="239"/>
      <c r="AIK15" s="239"/>
      <c r="AIL15" s="239"/>
      <c r="AIM15" s="239"/>
      <c r="AIN15" s="239"/>
      <c r="AIO15" s="239"/>
      <c r="AIP15" s="239"/>
      <c r="AIQ15" s="239"/>
      <c r="AIR15" s="239"/>
      <c r="AIS15" s="239"/>
      <c r="AIT15" s="239"/>
      <c r="AIU15" s="239"/>
      <c r="AIV15" s="239"/>
      <c r="AIW15" s="239"/>
      <c r="AIX15" s="239"/>
      <c r="AIY15" s="239"/>
      <c r="AIZ15" s="239"/>
      <c r="AJA15" s="239"/>
      <c r="AJB15" s="239"/>
      <c r="AJC15" s="239"/>
      <c r="AJD15" s="239"/>
      <c r="AJE15" s="239"/>
      <c r="AJF15" s="239"/>
      <c r="AJG15" s="239"/>
      <c r="AJH15" s="239"/>
      <c r="AJI15" s="239"/>
      <c r="AJJ15" s="239"/>
      <c r="AJK15" s="239"/>
      <c r="AJL15" s="239"/>
      <c r="AJM15" s="239"/>
      <c r="AJN15" s="239"/>
      <c r="AJO15" s="239"/>
      <c r="AJP15" s="239"/>
      <c r="AJQ15" s="239"/>
      <c r="AJR15" s="239"/>
      <c r="AJS15" s="239"/>
      <c r="AJT15" s="239"/>
      <c r="AJU15" s="239"/>
      <c r="AJV15" s="239"/>
      <c r="AJW15" s="239"/>
      <c r="AJX15" s="239"/>
      <c r="AJY15" s="239"/>
      <c r="AJZ15" s="239"/>
      <c r="AKA15" s="239"/>
      <c r="AKB15" s="239"/>
      <c r="AKC15" s="239"/>
      <c r="AKD15" s="239"/>
      <c r="AKE15" s="239"/>
      <c r="AKF15" s="239"/>
      <c r="AKG15" s="239"/>
      <c r="AKH15" s="239"/>
      <c r="AKI15" s="239"/>
      <c r="AKJ15" s="239"/>
      <c r="AKK15" s="239"/>
      <c r="AKL15" s="239"/>
      <c r="AKM15" s="239"/>
      <c r="AKN15" s="239"/>
      <c r="AKO15" s="239"/>
      <c r="AKP15" s="239"/>
      <c r="AKQ15" s="239"/>
      <c r="AKR15" s="239"/>
      <c r="AKS15" s="239"/>
      <c r="AKT15" s="239"/>
      <c r="AKU15" s="239"/>
      <c r="AKV15" s="239"/>
      <c r="AKW15" s="239"/>
      <c r="AKX15" s="239"/>
      <c r="AKY15" s="239"/>
      <c r="AKZ15" s="239"/>
      <c r="ALA15" s="239"/>
      <c r="ALB15" s="239"/>
      <c r="ALC15" s="239"/>
      <c r="ALD15" s="239"/>
      <c r="ALE15" s="239"/>
      <c r="ALF15" s="239"/>
      <c r="ALG15" s="239"/>
      <c r="ALH15" s="239"/>
      <c r="ALI15" s="239"/>
      <c r="ALJ15" s="239"/>
      <c r="ALK15" s="239"/>
      <c r="ALL15" s="239"/>
      <c r="ALM15" s="239"/>
      <c r="ALN15" s="239"/>
      <c r="ALO15" s="239"/>
      <c r="ALP15" s="239"/>
      <c r="ALQ15" s="239"/>
      <c r="ALR15" s="239"/>
      <c r="ALS15" s="239"/>
      <c r="ALT15" s="239"/>
      <c r="ALU15" s="239"/>
      <c r="ALV15" s="239"/>
      <c r="ALW15" s="239"/>
      <c r="ALX15" s="239"/>
      <c r="ALY15" s="239"/>
      <c r="ALZ15" s="239"/>
      <c r="AMA15" s="239"/>
      <c r="AMB15" s="239"/>
      <c r="AMC15" s="239"/>
      <c r="AMD15" s="239"/>
      <c r="AME15" s="239"/>
      <c r="AMF15" s="239"/>
      <c r="AMG15" s="239"/>
      <c r="AMH15" s="239"/>
      <c r="AMI15" s="239"/>
      <c r="AMJ15" s="239"/>
      <c r="AMK15" s="239"/>
      <c r="AML15" s="239"/>
      <c r="AMM15" s="239"/>
      <c r="AMN15" s="239"/>
      <c r="AMO15" s="239"/>
      <c r="AMP15" s="239"/>
      <c r="AMQ15" s="239"/>
      <c r="AMR15" s="239"/>
      <c r="AMS15" s="239"/>
      <c r="AMT15" s="239"/>
      <c r="AMU15" s="239"/>
      <c r="AMV15" s="239"/>
      <c r="AMW15" s="239"/>
      <c r="AMX15" s="239"/>
      <c r="AMY15" s="239"/>
      <c r="AMZ15" s="239"/>
      <c r="ANA15" s="239"/>
      <c r="ANB15" s="239"/>
      <c r="ANC15" s="239"/>
      <c r="AND15" s="239"/>
      <c r="ANE15" s="239"/>
      <c r="ANF15" s="239"/>
      <c r="ANG15" s="239"/>
      <c r="ANH15" s="239"/>
      <c r="ANI15" s="239"/>
      <c r="ANJ15" s="239"/>
      <c r="ANK15" s="239"/>
      <c r="ANL15" s="239"/>
      <c r="ANM15" s="239"/>
      <c r="ANN15" s="239"/>
      <c r="ANO15" s="239"/>
      <c r="ANP15" s="239"/>
      <c r="ANQ15" s="239"/>
      <c r="ANR15" s="239"/>
      <c r="ANS15" s="239"/>
      <c r="ANT15" s="239"/>
      <c r="ANU15" s="239"/>
      <c r="ANV15" s="239"/>
      <c r="ANW15" s="239"/>
      <c r="ANX15" s="239"/>
      <c r="ANY15" s="239"/>
      <c r="ANZ15" s="239"/>
      <c r="AOA15" s="239"/>
      <c r="AOB15" s="239"/>
      <c r="AOC15" s="239"/>
      <c r="AOD15" s="239"/>
      <c r="AOE15" s="239"/>
      <c r="AOF15" s="239"/>
      <c r="AOG15" s="239"/>
      <c r="AOH15" s="239"/>
      <c r="AOI15" s="239"/>
      <c r="AOJ15" s="239"/>
      <c r="AOK15" s="239"/>
      <c r="AOL15" s="239"/>
      <c r="AOM15" s="239"/>
      <c r="AON15" s="239"/>
      <c r="AOO15" s="239"/>
      <c r="AOP15" s="239"/>
      <c r="AOQ15" s="239"/>
      <c r="AOR15" s="239"/>
      <c r="AOS15" s="239"/>
      <c r="AOT15" s="239"/>
      <c r="AOU15" s="239"/>
      <c r="AOV15" s="239"/>
      <c r="AOW15" s="239"/>
      <c r="AOX15" s="239"/>
      <c r="AOY15" s="239"/>
      <c r="AOZ15" s="239"/>
      <c r="APA15" s="239"/>
      <c r="APB15" s="239"/>
      <c r="APC15" s="239"/>
      <c r="APD15" s="239"/>
      <c r="APE15" s="239"/>
      <c r="APF15" s="239"/>
      <c r="APG15" s="239"/>
      <c r="APH15" s="239"/>
      <c r="API15" s="239"/>
      <c r="APJ15" s="239"/>
      <c r="APK15" s="239"/>
      <c r="APL15" s="239"/>
      <c r="APM15" s="239"/>
      <c r="APN15" s="239"/>
      <c r="APO15" s="239"/>
      <c r="APP15" s="239"/>
      <c r="APQ15" s="239"/>
      <c r="APR15" s="239"/>
      <c r="APS15" s="239"/>
      <c r="APT15" s="239"/>
      <c r="APU15" s="239"/>
      <c r="APV15" s="239"/>
      <c r="APW15" s="239"/>
      <c r="APX15" s="239"/>
      <c r="APY15" s="239"/>
      <c r="APZ15" s="239"/>
      <c r="AQA15" s="239"/>
      <c r="AQB15" s="239"/>
      <c r="AQC15" s="239"/>
      <c r="AQD15" s="239"/>
      <c r="AQE15" s="239"/>
      <c r="AQF15" s="239"/>
      <c r="AQG15" s="239"/>
      <c r="AQH15" s="239"/>
      <c r="AQI15" s="239"/>
      <c r="AQJ15" s="239"/>
      <c r="AQK15" s="239"/>
      <c r="AQL15" s="239"/>
      <c r="AQM15" s="239"/>
      <c r="AQN15" s="239"/>
      <c r="AQO15" s="239"/>
      <c r="AQP15" s="239"/>
      <c r="AQQ15" s="239"/>
      <c r="AQR15" s="239"/>
      <c r="AQS15" s="239"/>
      <c r="AQT15" s="239"/>
      <c r="AQU15" s="239"/>
      <c r="AQV15" s="239"/>
      <c r="AQW15" s="239"/>
      <c r="AQX15" s="239"/>
      <c r="AQY15" s="239"/>
      <c r="AQZ15" s="239"/>
      <c r="ARA15" s="239"/>
      <c r="ARB15" s="239"/>
      <c r="ARC15" s="239"/>
      <c r="ARD15" s="239"/>
      <c r="ARE15" s="239"/>
      <c r="ARF15" s="239"/>
      <c r="ARG15" s="239"/>
      <c r="ARH15" s="239"/>
      <c r="ARI15" s="239"/>
      <c r="ARJ15" s="239"/>
      <c r="ARK15" s="239"/>
      <c r="ARL15" s="239"/>
      <c r="ARM15" s="239"/>
      <c r="ARN15" s="239"/>
      <c r="ARO15" s="239"/>
      <c r="ARP15" s="239"/>
      <c r="ARQ15" s="239"/>
      <c r="ARR15" s="239"/>
      <c r="ARS15" s="239"/>
      <c r="ART15" s="239"/>
      <c r="ARU15" s="239"/>
      <c r="ARV15" s="239"/>
      <c r="ARW15" s="239"/>
      <c r="ARX15" s="239"/>
      <c r="ARY15" s="239"/>
      <c r="ARZ15" s="239"/>
      <c r="ASA15" s="239"/>
      <c r="ASB15" s="239"/>
      <c r="ASC15" s="239"/>
      <c r="ASD15" s="239"/>
      <c r="ASE15" s="239"/>
      <c r="ASF15" s="239"/>
      <c r="ASG15" s="239"/>
      <c r="ASH15" s="239"/>
      <c r="ASI15" s="239"/>
      <c r="ASJ15" s="239"/>
      <c r="ASK15" s="239"/>
      <c r="ASL15" s="239"/>
      <c r="ASM15" s="239"/>
      <c r="ASN15" s="239"/>
      <c r="ASO15" s="239"/>
      <c r="ASP15" s="239"/>
      <c r="ASQ15" s="239"/>
      <c r="ASR15" s="239"/>
      <c r="ASS15" s="239"/>
      <c r="AST15" s="239"/>
      <c r="ASU15" s="239"/>
      <c r="ASV15" s="239"/>
      <c r="ASW15" s="239"/>
      <c r="ASX15" s="239"/>
      <c r="ASY15" s="239"/>
      <c r="ASZ15" s="239"/>
      <c r="ATA15" s="239"/>
      <c r="ATB15" s="239"/>
      <c r="ATC15" s="239"/>
      <c r="ATD15" s="239"/>
      <c r="ATE15" s="239"/>
      <c r="ATF15" s="239"/>
      <c r="ATG15" s="239"/>
      <c r="ATH15" s="239"/>
      <c r="ATI15" s="239"/>
      <c r="ATJ15" s="239"/>
      <c r="ATK15" s="239"/>
      <c r="ATL15" s="239"/>
      <c r="ATM15" s="239"/>
      <c r="ATN15" s="239"/>
      <c r="ATO15" s="239"/>
      <c r="ATP15" s="239"/>
      <c r="ATQ15" s="239"/>
      <c r="ATR15" s="239"/>
      <c r="ATS15" s="239"/>
      <c r="ATT15" s="239"/>
      <c r="ATU15" s="239"/>
      <c r="ATV15" s="239"/>
      <c r="ATW15" s="239"/>
      <c r="ATX15" s="239"/>
      <c r="ATY15" s="239"/>
      <c r="ATZ15" s="239"/>
      <c r="AUA15" s="239"/>
      <c r="AUB15" s="239"/>
      <c r="AUC15" s="239"/>
      <c r="AUD15" s="239"/>
      <c r="AUE15" s="239"/>
      <c r="AUF15" s="239"/>
      <c r="AUG15" s="239"/>
      <c r="AUH15" s="239"/>
      <c r="AUI15" s="239"/>
      <c r="AUJ15" s="239"/>
      <c r="AUK15" s="239"/>
      <c r="AUL15" s="239"/>
      <c r="AUM15" s="239"/>
      <c r="AUN15" s="239"/>
      <c r="AUO15" s="239"/>
      <c r="AUP15" s="239"/>
      <c r="AUQ15" s="239"/>
      <c r="AUR15" s="239"/>
      <c r="AUS15" s="239"/>
      <c r="AUT15" s="239"/>
      <c r="AUU15" s="239"/>
      <c r="AUV15" s="239"/>
      <c r="AUW15" s="239"/>
      <c r="AUX15" s="239"/>
      <c r="AUY15" s="239"/>
      <c r="AUZ15" s="239"/>
      <c r="AVA15" s="239"/>
      <c r="AVB15" s="239"/>
      <c r="AVC15" s="239"/>
      <c r="AVD15" s="239"/>
      <c r="AVE15" s="239"/>
      <c r="AVF15" s="239"/>
      <c r="AVG15" s="239"/>
      <c r="AVH15" s="239"/>
      <c r="AVI15" s="239"/>
      <c r="AVJ15" s="239"/>
      <c r="AVK15" s="239"/>
      <c r="AVL15" s="239"/>
      <c r="AVM15" s="239"/>
      <c r="AVN15" s="239"/>
      <c r="AVO15" s="239"/>
      <c r="AVP15" s="239"/>
      <c r="AVQ15" s="239"/>
      <c r="AVR15" s="239"/>
      <c r="AVS15" s="239"/>
      <c r="AVT15" s="239"/>
      <c r="AVU15" s="239"/>
      <c r="AVV15" s="239"/>
      <c r="AVW15" s="239"/>
      <c r="AVX15" s="239"/>
      <c r="AVY15" s="239"/>
      <c r="AVZ15" s="239"/>
      <c r="AWA15" s="239"/>
      <c r="AWB15" s="239"/>
      <c r="AWC15" s="239"/>
      <c r="AWD15" s="239"/>
      <c r="AWE15" s="239"/>
      <c r="AWF15" s="239"/>
      <c r="AWG15" s="239"/>
      <c r="AWH15" s="239"/>
      <c r="AWI15" s="239"/>
      <c r="AWJ15" s="239"/>
      <c r="AWK15" s="239"/>
      <c r="AWL15" s="239"/>
      <c r="AWM15" s="239"/>
      <c r="AWN15" s="239"/>
      <c r="AWO15" s="239"/>
      <c r="AWP15" s="239"/>
      <c r="AWQ15" s="239"/>
      <c r="AWR15" s="239"/>
      <c r="AWS15" s="239"/>
      <c r="AWT15" s="239"/>
      <c r="AWU15" s="239"/>
      <c r="AWV15" s="239"/>
      <c r="AWW15" s="239"/>
      <c r="AWX15" s="239"/>
      <c r="AWY15" s="239"/>
      <c r="AWZ15" s="239"/>
      <c r="AXA15" s="239"/>
      <c r="AXB15" s="239"/>
      <c r="AXC15" s="239"/>
      <c r="AXD15" s="239"/>
      <c r="AXE15" s="239"/>
      <c r="AXF15" s="239"/>
      <c r="AXG15" s="239"/>
      <c r="AXH15" s="239"/>
      <c r="AXI15" s="239"/>
      <c r="AXJ15" s="239"/>
      <c r="AXK15" s="239"/>
      <c r="AXL15" s="239"/>
      <c r="AXM15" s="239"/>
      <c r="AXN15" s="239"/>
      <c r="AXO15" s="239"/>
      <c r="AXP15" s="239"/>
      <c r="AXQ15" s="239"/>
      <c r="AXR15" s="239"/>
      <c r="AXS15" s="239"/>
      <c r="AXT15" s="239"/>
      <c r="AXU15" s="239"/>
      <c r="AXV15" s="239"/>
      <c r="AXW15" s="239"/>
      <c r="AXX15" s="239"/>
      <c r="AXY15" s="239"/>
      <c r="AXZ15" s="239"/>
      <c r="AYA15" s="239"/>
      <c r="AYB15" s="239"/>
      <c r="AYC15" s="239"/>
      <c r="AYD15" s="239"/>
      <c r="AYE15" s="239"/>
      <c r="AYF15" s="239"/>
      <c r="AYG15" s="239"/>
      <c r="AYH15" s="239"/>
      <c r="AYI15" s="239"/>
      <c r="AYJ15" s="239"/>
      <c r="AYK15" s="239"/>
      <c r="AYL15" s="239"/>
      <c r="AYM15" s="239"/>
      <c r="AYN15" s="239"/>
      <c r="AYO15" s="239"/>
      <c r="AYP15" s="239"/>
      <c r="AYQ15" s="239"/>
      <c r="AYR15" s="239"/>
      <c r="AYS15" s="239"/>
      <c r="AYT15" s="239"/>
      <c r="AYU15" s="239"/>
      <c r="AYV15" s="239"/>
      <c r="AYW15" s="239"/>
      <c r="AYX15" s="239"/>
      <c r="AYY15" s="239"/>
      <c r="AYZ15" s="239"/>
      <c r="AZA15" s="239"/>
      <c r="AZB15" s="239"/>
      <c r="AZC15" s="239"/>
      <c r="AZD15" s="239"/>
      <c r="AZE15" s="239"/>
      <c r="AZF15" s="239"/>
      <c r="AZG15" s="239"/>
      <c r="AZH15" s="239"/>
      <c r="AZI15" s="239"/>
      <c r="AZJ15" s="239"/>
      <c r="AZK15" s="239"/>
      <c r="AZL15" s="239"/>
      <c r="AZM15" s="239"/>
      <c r="AZN15" s="239"/>
      <c r="AZO15" s="239"/>
      <c r="AZP15" s="239"/>
      <c r="AZQ15" s="239"/>
      <c r="AZR15" s="239"/>
      <c r="AZS15" s="239"/>
      <c r="AZT15" s="239"/>
      <c r="AZU15" s="239"/>
      <c r="AZV15" s="239"/>
      <c r="AZW15" s="239"/>
      <c r="AZX15" s="239"/>
      <c r="AZY15" s="239"/>
      <c r="AZZ15" s="239"/>
      <c r="BAA15" s="239"/>
      <c r="BAB15" s="239"/>
      <c r="BAC15" s="239"/>
      <c r="BAD15" s="239"/>
      <c r="BAE15" s="239"/>
      <c r="BAF15" s="239"/>
      <c r="BAG15" s="239"/>
      <c r="BAH15" s="239"/>
      <c r="BAI15" s="239"/>
      <c r="BAJ15" s="239"/>
      <c r="BAK15" s="239"/>
      <c r="BAL15" s="239"/>
      <c r="BAM15" s="239"/>
      <c r="BAN15" s="239"/>
      <c r="BAO15" s="239"/>
      <c r="BAP15" s="239"/>
      <c r="BAQ15" s="239"/>
      <c r="BAR15" s="239"/>
      <c r="BAS15" s="239"/>
      <c r="BAT15" s="239"/>
      <c r="BAU15" s="239"/>
      <c r="BAV15" s="239"/>
      <c r="BAW15" s="239"/>
      <c r="BAX15" s="239"/>
      <c r="BAY15" s="239"/>
      <c r="BAZ15" s="239"/>
      <c r="BBA15" s="239"/>
      <c r="BBB15" s="239"/>
      <c r="BBC15" s="239"/>
      <c r="BBD15" s="239"/>
      <c r="BBE15" s="239"/>
      <c r="BBF15" s="239"/>
      <c r="BBG15" s="239"/>
      <c r="BBH15" s="239"/>
      <c r="BBI15" s="239"/>
      <c r="BBJ15" s="239"/>
      <c r="BBK15" s="239"/>
      <c r="BBL15" s="239"/>
      <c r="BBM15" s="239"/>
      <c r="BBN15" s="239"/>
      <c r="BBO15" s="239"/>
      <c r="BBP15" s="239"/>
      <c r="BBQ15" s="239"/>
      <c r="BBR15" s="239"/>
      <c r="BBS15" s="239"/>
      <c r="BBT15" s="239"/>
      <c r="BBU15" s="239"/>
      <c r="BBV15" s="239"/>
      <c r="BBW15" s="239"/>
      <c r="BBX15" s="239"/>
      <c r="BBY15" s="239"/>
      <c r="BBZ15" s="239"/>
      <c r="BCA15" s="239"/>
      <c r="BCB15" s="239"/>
      <c r="BCC15" s="239"/>
      <c r="BCD15" s="239"/>
      <c r="BCE15" s="239"/>
      <c r="BCF15" s="239"/>
      <c r="BCG15" s="239"/>
      <c r="BCH15" s="239"/>
      <c r="BCI15" s="239"/>
      <c r="BCJ15" s="239"/>
      <c r="BCK15" s="239"/>
      <c r="BCL15" s="239"/>
      <c r="BCM15" s="239"/>
      <c r="BCN15" s="239"/>
      <c r="BCO15" s="239"/>
      <c r="BCP15" s="239"/>
      <c r="BCQ15" s="239"/>
      <c r="BCR15" s="239"/>
      <c r="BCS15" s="239"/>
      <c r="BCT15" s="239"/>
      <c r="BCU15" s="239"/>
      <c r="BCV15" s="239"/>
      <c r="BCW15" s="239"/>
      <c r="BCX15" s="239"/>
      <c r="BCY15" s="239"/>
      <c r="BCZ15" s="239"/>
      <c r="BDA15" s="239"/>
      <c r="BDB15" s="239"/>
      <c r="BDC15" s="239"/>
      <c r="BDD15" s="239"/>
      <c r="BDE15" s="239"/>
      <c r="BDF15" s="239"/>
      <c r="BDG15" s="239"/>
      <c r="BDH15" s="239"/>
      <c r="BDI15" s="239"/>
      <c r="BDJ15" s="239"/>
      <c r="BDK15" s="239"/>
      <c r="BDL15" s="239"/>
      <c r="BDM15" s="239"/>
      <c r="BDN15" s="239"/>
      <c r="BDO15" s="239"/>
      <c r="BDP15" s="239"/>
      <c r="BDQ15" s="239"/>
      <c r="BDR15" s="239"/>
      <c r="BDS15" s="239"/>
      <c r="BDT15" s="239"/>
      <c r="BDU15" s="239"/>
      <c r="BDV15" s="239"/>
      <c r="BDW15" s="239"/>
      <c r="BDX15" s="239"/>
      <c r="BDY15" s="239"/>
      <c r="BDZ15" s="239"/>
      <c r="BEA15" s="239"/>
      <c r="BEB15" s="239"/>
      <c r="BEC15" s="239"/>
      <c r="BED15" s="239"/>
      <c r="BEE15" s="239"/>
      <c r="BEF15" s="239"/>
      <c r="BEG15" s="239"/>
      <c r="BEH15" s="239"/>
      <c r="BEI15" s="239"/>
      <c r="BEJ15" s="239"/>
      <c r="BEK15" s="239"/>
      <c r="BEL15" s="239"/>
      <c r="BEM15" s="239"/>
      <c r="BEN15" s="239"/>
      <c r="BEO15" s="239"/>
      <c r="BEP15" s="239"/>
      <c r="BEQ15" s="239"/>
      <c r="BER15" s="239"/>
      <c r="BES15" s="239"/>
      <c r="BET15" s="239"/>
      <c r="BEU15" s="239"/>
      <c r="BEV15" s="239"/>
      <c r="BEW15" s="239"/>
      <c r="BEX15" s="239"/>
      <c r="BEY15" s="239"/>
      <c r="BEZ15" s="239"/>
      <c r="BFA15" s="239"/>
      <c r="BFB15" s="239"/>
      <c r="BFC15" s="239"/>
      <c r="BFD15" s="239"/>
      <c r="BFE15" s="239"/>
      <c r="BFF15" s="239"/>
      <c r="BFG15" s="239"/>
      <c r="BFH15" s="239"/>
      <c r="BFI15" s="239"/>
      <c r="BFJ15" s="239"/>
      <c r="BFK15" s="239"/>
      <c r="BFL15" s="239"/>
      <c r="BFM15" s="239"/>
      <c r="BFN15" s="239"/>
      <c r="BFO15" s="239"/>
      <c r="BFP15" s="239"/>
      <c r="BFQ15" s="239"/>
      <c r="BFR15" s="239"/>
      <c r="BFS15" s="239"/>
      <c r="BFT15" s="239"/>
      <c r="BFU15" s="239"/>
      <c r="BFV15" s="239"/>
      <c r="BFW15" s="239"/>
      <c r="BFX15" s="239"/>
      <c r="BFY15" s="239"/>
      <c r="BFZ15" s="239"/>
      <c r="BGA15" s="239"/>
      <c r="BGB15" s="239"/>
      <c r="BGC15" s="239"/>
      <c r="BGD15" s="239"/>
      <c r="BGE15" s="239"/>
      <c r="BGF15" s="239"/>
      <c r="BGG15" s="239"/>
      <c r="BGH15" s="239"/>
      <c r="BGI15" s="239"/>
      <c r="BGJ15" s="239"/>
      <c r="BGK15" s="239"/>
      <c r="BGL15" s="239"/>
      <c r="BGM15" s="239"/>
      <c r="BGN15" s="239"/>
      <c r="BGO15" s="239"/>
      <c r="BGP15" s="239"/>
      <c r="BGQ15" s="239"/>
      <c r="BGR15" s="239"/>
      <c r="BGS15" s="239"/>
      <c r="BGT15" s="239"/>
      <c r="BGU15" s="239"/>
      <c r="BGV15" s="239"/>
      <c r="BGW15" s="239"/>
      <c r="BGX15" s="239"/>
      <c r="BGY15" s="239"/>
      <c r="BGZ15" s="239"/>
      <c r="BHA15" s="239"/>
      <c r="BHB15" s="239"/>
      <c r="BHC15" s="239"/>
      <c r="BHD15" s="239"/>
      <c r="BHE15" s="239"/>
      <c r="BHF15" s="239"/>
      <c r="BHG15" s="239"/>
      <c r="BHH15" s="239"/>
      <c r="BHI15" s="239"/>
      <c r="BHJ15" s="239"/>
      <c r="BHK15" s="239"/>
      <c r="BHL15" s="239"/>
      <c r="BHM15" s="239"/>
      <c r="BHN15" s="239"/>
      <c r="BHO15" s="239"/>
      <c r="BHP15" s="239"/>
      <c r="BHQ15" s="239"/>
      <c r="BHR15" s="239"/>
      <c r="BHS15" s="239"/>
      <c r="BHT15" s="239"/>
      <c r="BHU15" s="239"/>
      <c r="BHV15" s="239"/>
      <c r="BHW15" s="239"/>
      <c r="BHX15" s="239"/>
      <c r="BHY15" s="239"/>
      <c r="BHZ15" s="239"/>
      <c r="BIA15" s="239"/>
      <c r="BIB15" s="239"/>
      <c r="BIC15" s="239"/>
      <c r="BID15" s="239"/>
      <c r="BIE15" s="239"/>
      <c r="BIF15" s="239"/>
      <c r="BIG15" s="239"/>
      <c r="BIH15" s="239"/>
      <c r="BII15" s="239"/>
      <c r="BIJ15" s="239"/>
      <c r="BIK15" s="239"/>
      <c r="BIL15" s="239"/>
      <c r="BIM15" s="239"/>
      <c r="BIN15" s="239"/>
      <c r="BIO15" s="239"/>
      <c r="BIP15" s="239"/>
      <c r="BIQ15" s="239"/>
      <c r="BIR15" s="239"/>
      <c r="BIS15" s="239"/>
      <c r="BIT15" s="239"/>
      <c r="BIU15" s="239"/>
      <c r="BIV15" s="239"/>
      <c r="BIW15" s="239"/>
      <c r="BIX15" s="239"/>
      <c r="BIY15" s="239"/>
      <c r="BIZ15" s="239"/>
      <c r="BJA15" s="239"/>
      <c r="BJB15" s="239"/>
      <c r="BJC15" s="239"/>
      <c r="BJD15" s="239"/>
      <c r="BJE15" s="239"/>
      <c r="BJF15" s="239"/>
      <c r="BJG15" s="239"/>
      <c r="BJH15" s="239"/>
      <c r="BJI15" s="239"/>
      <c r="BJJ15" s="239"/>
      <c r="BJK15" s="239"/>
      <c r="BJL15" s="239"/>
      <c r="BJM15" s="239"/>
      <c r="BJN15" s="239"/>
      <c r="BJO15" s="239"/>
      <c r="BJP15" s="239"/>
      <c r="BJQ15" s="239"/>
      <c r="BJR15" s="239"/>
      <c r="BJS15" s="239"/>
      <c r="BJT15" s="239"/>
      <c r="BJU15" s="239"/>
      <c r="BJV15" s="239"/>
      <c r="BJW15" s="239"/>
      <c r="BJX15" s="239"/>
      <c r="BJY15" s="239"/>
      <c r="BJZ15" s="239"/>
      <c r="BKA15" s="239"/>
      <c r="BKB15" s="239"/>
      <c r="BKC15" s="239"/>
      <c r="BKD15" s="239"/>
      <c r="BKE15" s="239"/>
      <c r="BKF15" s="239"/>
      <c r="BKG15" s="239"/>
      <c r="BKH15" s="239"/>
      <c r="BKI15" s="239"/>
      <c r="BKJ15" s="239"/>
      <c r="BKK15" s="239"/>
      <c r="BKL15" s="239"/>
      <c r="BKM15" s="239"/>
      <c r="BKN15" s="239"/>
      <c r="BKO15" s="239"/>
      <c r="BKP15" s="239"/>
      <c r="BKQ15" s="239"/>
      <c r="BKR15" s="239"/>
      <c r="BKS15" s="239"/>
      <c r="BKT15" s="239"/>
      <c r="BKU15" s="239"/>
      <c r="BKV15" s="239"/>
      <c r="BKW15" s="239"/>
      <c r="BKX15" s="239"/>
      <c r="BKY15" s="239"/>
      <c r="BKZ15" s="239"/>
      <c r="BLA15" s="239"/>
      <c r="BLB15" s="239"/>
      <c r="BLC15" s="239"/>
      <c r="BLD15" s="239"/>
      <c r="BLE15" s="239"/>
      <c r="BLF15" s="239"/>
      <c r="BLG15" s="239"/>
      <c r="BLH15" s="239"/>
      <c r="BLI15" s="239"/>
      <c r="BLJ15" s="239"/>
      <c r="BLK15" s="239"/>
      <c r="BLL15" s="239"/>
      <c r="BLM15" s="239"/>
      <c r="BLN15" s="239"/>
      <c r="BLO15" s="239"/>
      <c r="BLP15" s="239"/>
      <c r="BLQ15" s="239"/>
      <c r="BLR15" s="239"/>
      <c r="BLS15" s="239"/>
      <c r="BLT15" s="239"/>
      <c r="BLU15" s="239"/>
      <c r="BLV15" s="239"/>
      <c r="BLW15" s="239"/>
      <c r="BLX15" s="239"/>
      <c r="BLY15" s="239"/>
      <c r="BLZ15" s="239"/>
      <c r="BMA15" s="239"/>
      <c r="BMB15" s="239"/>
      <c r="BMC15" s="239"/>
      <c r="BMD15" s="239"/>
      <c r="BME15" s="239"/>
      <c r="BMF15" s="239"/>
      <c r="BMG15" s="239"/>
      <c r="BMH15" s="239"/>
      <c r="BMI15" s="239"/>
      <c r="BMJ15" s="239"/>
      <c r="BMK15" s="239"/>
      <c r="BML15" s="239"/>
      <c r="BMM15" s="239"/>
      <c r="BMN15" s="239"/>
      <c r="BMO15" s="239"/>
      <c r="BMP15" s="239"/>
      <c r="BMQ15" s="239"/>
      <c r="BMR15" s="239"/>
      <c r="BMS15" s="239"/>
      <c r="BMT15" s="239"/>
      <c r="BMU15" s="239"/>
      <c r="BMV15" s="239"/>
      <c r="BMW15" s="239"/>
      <c r="BMX15" s="239"/>
      <c r="BMY15" s="239"/>
      <c r="BMZ15" s="239"/>
      <c r="BNA15" s="239"/>
      <c r="BNB15" s="239"/>
      <c r="BNC15" s="239"/>
      <c r="BND15" s="239"/>
      <c r="BNE15" s="239"/>
      <c r="BNF15" s="239"/>
      <c r="BNG15" s="239"/>
      <c r="BNH15" s="239"/>
      <c r="BNI15" s="239"/>
      <c r="BNJ15" s="239"/>
      <c r="BNK15" s="239"/>
      <c r="BNL15" s="239"/>
      <c r="BNM15" s="239"/>
      <c r="BNN15" s="239"/>
      <c r="BNO15" s="239"/>
      <c r="BNP15" s="239"/>
      <c r="BNQ15" s="239"/>
      <c r="BNR15" s="239"/>
      <c r="BNS15" s="239"/>
      <c r="BNT15" s="239"/>
      <c r="BNU15" s="239"/>
      <c r="BNV15" s="239"/>
      <c r="BNW15" s="239"/>
      <c r="BNX15" s="239"/>
      <c r="BNY15" s="239"/>
      <c r="BNZ15" s="239"/>
      <c r="BOA15" s="239"/>
      <c r="BOB15" s="239"/>
      <c r="BOC15" s="239"/>
      <c r="BOD15" s="239"/>
      <c r="BOE15" s="239"/>
      <c r="BOF15" s="239"/>
      <c r="BOG15" s="239"/>
      <c r="BOH15" s="239"/>
      <c r="BOI15" s="239"/>
      <c r="BOJ15" s="239"/>
      <c r="BOK15" s="239"/>
      <c r="BOL15" s="239"/>
      <c r="BOM15" s="239"/>
      <c r="BON15" s="239"/>
      <c r="BOO15" s="239"/>
      <c r="BOP15" s="239"/>
      <c r="BOQ15" s="239"/>
      <c r="BOR15" s="239"/>
      <c r="BOS15" s="239"/>
      <c r="BOT15" s="239"/>
      <c r="BOU15" s="239"/>
      <c r="BOV15" s="239"/>
      <c r="BOW15" s="239"/>
      <c r="BOX15" s="239"/>
      <c r="BOY15" s="239"/>
      <c r="BOZ15" s="239"/>
      <c r="BPA15" s="239"/>
      <c r="BPB15" s="239"/>
      <c r="BPC15" s="239"/>
      <c r="BPD15" s="239"/>
      <c r="BPE15" s="239"/>
      <c r="BPF15" s="239"/>
      <c r="BPG15" s="239"/>
      <c r="BPH15" s="239"/>
      <c r="BPI15" s="239"/>
      <c r="BPJ15" s="239"/>
      <c r="BPK15" s="239"/>
      <c r="BPL15" s="239"/>
      <c r="BPM15" s="239"/>
      <c r="BPN15" s="239"/>
      <c r="BPO15" s="239"/>
      <c r="BPP15" s="239"/>
      <c r="BPQ15" s="239"/>
      <c r="BPR15" s="239"/>
      <c r="BPS15" s="239"/>
      <c r="BPT15" s="239"/>
      <c r="BPU15" s="239"/>
      <c r="BPV15" s="239"/>
      <c r="BPW15" s="239"/>
      <c r="BPX15" s="239"/>
      <c r="BPY15" s="239"/>
      <c r="BPZ15" s="239"/>
      <c r="BQA15" s="239"/>
      <c r="BQB15" s="239"/>
      <c r="BQC15" s="239"/>
      <c r="BQD15" s="239"/>
      <c r="BQE15" s="239"/>
      <c r="BQF15" s="239"/>
      <c r="BQG15" s="239"/>
      <c r="BQH15" s="239"/>
      <c r="BQI15" s="239"/>
      <c r="BQJ15" s="239"/>
      <c r="BQK15" s="239"/>
      <c r="BQL15" s="239"/>
      <c r="BQM15" s="239"/>
      <c r="BQN15" s="239"/>
      <c r="BQO15" s="239"/>
      <c r="BQP15" s="239"/>
      <c r="BQQ15" s="239"/>
      <c r="BQR15" s="239"/>
      <c r="BQS15" s="239"/>
      <c r="BQT15" s="239"/>
      <c r="BQU15" s="239"/>
      <c r="BQV15" s="239"/>
      <c r="BQW15" s="239"/>
      <c r="BQX15" s="239"/>
      <c r="BQY15" s="239"/>
      <c r="BQZ15" s="239"/>
      <c r="BRA15" s="239"/>
      <c r="BRB15" s="239"/>
      <c r="BRC15" s="239"/>
      <c r="BRD15" s="239"/>
      <c r="BRE15" s="239"/>
      <c r="BRF15" s="239"/>
      <c r="BRG15" s="239"/>
      <c r="BRH15" s="239"/>
      <c r="BRI15" s="239"/>
      <c r="BRJ15" s="239"/>
      <c r="BRK15" s="239"/>
      <c r="BRL15" s="239"/>
      <c r="BRM15" s="239"/>
      <c r="BRN15" s="239"/>
      <c r="BRO15" s="239"/>
      <c r="BRP15" s="239"/>
      <c r="BRQ15" s="239"/>
      <c r="BRR15" s="239"/>
      <c r="BRS15" s="239"/>
      <c r="BRT15" s="239"/>
      <c r="BRU15" s="239"/>
      <c r="BRV15" s="239"/>
      <c r="BRW15" s="239"/>
      <c r="BRX15" s="239"/>
      <c r="BRY15" s="239"/>
      <c r="BRZ15" s="239"/>
      <c r="BSA15" s="239"/>
      <c r="BSB15" s="239"/>
      <c r="BSC15" s="239"/>
      <c r="BSD15" s="239"/>
      <c r="BSE15" s="239"/>
      <c r="BSF15" s="239"/>
      <c r="BSG15" s="239"/>
      <c r="BSH15" s="239"/>
      <c r="BSI15" s="239"/>
      <c r="BSJ15" s="239"/>
      <c r="BSK15" s="239"/>
      <c r="BSL15" s="239"/>
      <c r="BSM15" s="239"/>
      <c r="BSN15" s="239"/>
      <c r="BSO15" s="239"/>
      <c r="BSP15" s="239"/>
      <c r="BSQ15" s="239"/>
      <c r="BSR15" s="239"/>
      <c r="BSS15" s="239"/>
      <c r="BST15" s="239"/>
      <c r="BSU15" s="239"/>
      <c r="BSV15" s="239"/>
      <c r="BSW15" s="239"/>
      <c r="BSX15" s="239"/>
      <c r="BSY15" s="239"/>
      <c r="BSZ15" s="239"/>
      <c r="BTA15" s="239"/>
      <c r="BTB15" s="239"/>
      <c r="BTC15" s="239"/>
      <c r="BTD15" s="239"/>
      <c r="BTE15" s="239"/>
      <c r="BTF15" s="239"/>
      <c r="BTG15" s="239"/>
      <c r="BTH15" s="239"/>
      <c r="BTI15" s="239"/>
      <c r="BTJ15" s="239"/>
      <c r="BTK15" s="239"/>
      <c r="BTL15" s="239"/>
      <c r="BTM15" s="239"/>
      <c r="BTN15" s="239"/>
      <c r="BTO15" s="239"/>
      <c r="BTP15" s="239"/>
      <c r="BTQ15" s="239"/>
      <c r="BTR15" s="239"/>
      <c r="BTS15" s="239"/>
      <c r="BTT15" s="239"/>
      <c r="BTU15" s="239"/>
      <c r="BTV15" s="239"/>
      <c r="BTW15" s="239"/>
      <c r="BTX15" s="239"/>
      <c r="BTY15" s="239"/>
      <c r="BTZ15" s="239"/>
      <c r="BUA15" s="239"/>
      <c r="BUB15" s="239"/>
      <c r="BUC15" s="239"/>
      <c r="BUD15" s="239"/>
      <c r="BUE15" s="239"/>
      <c r="BUF15" s="239"/>
      <c r="BUG15" s="239"/>
      <c r="BUH15" s="239"/>
      <c r="BUI15" s="239"/>
      <c r="BUJ15" s="239"/>
      <c r="BUK15" s="239"/>
      <c r="BUL15" s="239"/>
      <c r="BUM15" s="239"/>
      <c r="BUN15" s="239"/>
      <c r="BUO15" s="239"/>
      <c r="BUP15" s="239"/>
      <c r="BUQ15" s="239"/>
      <c r="BUR15" s="239"/>
      <c r="BUS15" s="239"/>
      <c r="BUT15" s="239"/>
      <c r="BUU15" s="239"/>
      <c r="BUV15" s="239"/>
      <c r="BUW15" s="239"/>
      <c r="BUX15" s="239"/>
      <c r="BUY15" s="239"/>
      <c r="BUZ15" s="239"/>
      <c r="BVA15" s="239"/>
      <c r="BVB15" s="239"/>
      <c r="BVC15" s="239"/>
      <c r="BVD15" s="239"/>
      <c r="BVE15" s="239"/>
      <c r="BVF15" s="239"/>
      <c r="BVG15" s="239"/>
      <c r="BVH15" s="239"/>
      <c r="BVI15" s="239"/>
      <c r="BVJ15" s="239"/>
      <c r="BVK15" s="239"/>
      <c r="BVL15" s="239"/>
      <c r="BVM15" s="239"/>
      <c r="BVN15" s="239"/>
      <c r="BVO15" s="239"/>
      <c r="BVP15" s="239"/>
      <c r="BVQ15" s="239"/>
      <c r="BVR15" s="239"/>
      <c r="BVS15" s="239"/>
      <c r="BVT15" s="239"/>
      <c r="BVU15" s="239"/>
      <c r="BVV15" s="239"/>
      <c r="BVW15" s="239"/>
      <c r="BVX15" s="239"/>
      <c r="BVY15" s="239"/>
      <c r="BVZ15" s="239"/>
      <c r="BWA15" s="239"/>
      <c r="BWB15" s="239"/>
      <c r="BWC15" s="239"/>
      <c r="BWD15" s="239"/>
      <c r="BWE15" s="239"/>
      <c r="BWF15" s="239"/>
      <c r="BWG15" s="239"/>
      <c r="BWH15" s="239"/>
      <c r="BWI15" s="239"/>
      <c r="BWJ15" s="239"/>
      <c r="BWK15" s="239"/>
      <c r="BWL15" s="239"/>
      <c r="BWM15" s="239"/>
      <c r="BWN15" s="239"/>
      <c r="BWO15" s="239"/>
      <c r="BWP15" s="239"/>
      <c r="BWQ15" s="239"/>
      <c r="BWR15" s="239"/>
      <c r="BWS15" s="239"/>
      <c r="BWT15" s="239"/>
      <c r="BWU15" s="239"/>
      <c r="BWV15" s="239"/>
      <c r="BWW15" s="239"/>
      <c r="BWX15" s="239"/>
      <c r="BWY15" s="239"/>
      <c r="BWZ15" s="239"/>
      <c r="BXA15" s="239"/>
      <c r="BXB15" s="239"/>
      <c r="BXC15" s="239"/>
      <c r="BXD15" s="239"/>
      <c r="BXE15" s="239"/>
      <c r="BXF15" s="239"/>
      <c r="BXG15" s="239"/>
      <c r="BXH15" s="239"/>
      <c r="BXI15" s="239"/>
      <c r="BXJ15" s="239"/>
      <c r="BXK15" s="239"/>
      <c r="BXL15" s="239"/>
      <c r="BXM15" s="239"/>
      <c r="BXN15" s="239"/>
      <c r="BXO15" s="239"/>
      <c r="BXP15" s="239"/>
      <c r="BXQ15" s="239"/>
      <c r="BXR15" s="239"/>
      <c r="BXS15" s="239"/>
      <c r="BXT15" s="239"/>
      <c r="BXU15" s="239"/>
      <c r="BXV15" s="239"/>
      <c r="BXW15" s="239"/>
      <c r="BXX15" s="239"/>
      <c r="BXY15" s="239"/>
      <c r="BXZ15" s="239"/>
      <c r="BYA15" s="239"/>
      <c r="BYB15" s="239"/>
      <c r="BYC15" s="239"/>
      <c r="BYD15" s="239"/>
      <c r="BYE15" s="239"/>
      <c r="BYF15" s="239"/>
      <c r="BYG15" s="239"/>
      <c r="BYH15" s="239"/>
      <c r="BYI15" s="239"/>
      <c r="BYJ15" s="239"/>
      <c r="BYK15" s="239"/>
      <c r="BYL15" s="239"/>
      <c r="BYM15" s="239"/>
      <c r="BYN15" s="239"/>
      <c r="BYO15" s="239"/>
      <c r="BYP15" s="239"/>
      <c r="BYQ15" s="239"/>
      <c r="BYR15" s="239"/>
      <c r="BYS15" s="239"/>
      <c r="BYT15" s="239"/>
      <c r="BYU15" s="239"/>
      <c r="BYV15" s="239"/>
      <c r="BYW15" s="239"/>
      <c r="BYX15" s="239"/>
      <c r="BYY15" s="239"/>
      <c r="BYZ15" s="239"/>
      <c r="BZA15" s="239"/>
      <c r="BZB15" s="239"/>
      <c r="BZC15" s="239"/>
      <c r="BZD15" s="239"/>
      <c r="BZE15" s="239"/>
      <c r="BZF15" s="239"/>
      <c r="BZG15" s="239"/>
      <c r="BZH15" s="239"/>
      <c r="BZI15" s="239"/>
      <c r="BZJ15" s="239"/>
      <c r="BZK15" s="239"/>
      <c r="BZL15" s="239"/>
      <c r="BZM15" s="239"/>
      <c r="BZN15" s="239"/>
      <c r="BZO15" s="239"/>
      <c r="BZP15" s="239"/>
      <c r="BZQ15" s="239"/>
      <c r="BZR15" s="239"/>
      <c r="BZS15" s="239"/>
      <c r="BZT15" s="239"/>
      <c r="BZU15" s="239"/>
      <c r="BZV15" s="239"/>
      <c r="BZW15" s="239"/>
      <c r="BZX15" s="239"/>
      <c r="BZY15" s="239"/>
      <c r="BZZ15" s="239"/>
      <c r="CAA15" s="239"/>
      <c r="CAB15" s="239"/>
      <c r="CAC15" s="239"/>
      <c r="CAD15" s="239"/>
      <c r="CAE15" s="239"/>
      <c r="CAF15" s="239"/>
      <c r="CAG15" s="239"/>
      <c r="CAH15" s="239"/>
      <c r="CAI15" s="239"/>
      <c r="CAJ15" s="239"/>
      <c r="CAK15" s="239"/>
      <c r="CAL15" s="239"/>
      <c r="CAM15" s="239"/>
      <c r="CAN15" s="239"/>
      <c r="CAO15" s="239"/>
      <c r="CAP15" s="239"/>
      <c r="CAQ15" s="239"/>
      <c r="CAR15" s="239"/>
      <c r="CAS15" s="239"/>
      <c r="CAT15" s="239"/>
      <c r="CAU15" s="239"/>
      <c r="CAV15" s="239"/>
      <c r="CAW15" s="239"/>
      <c r="CAX15" s="239"/>
      <c r="CAY15" s="239"/>
      <c r="CAZ15" s="239"/>
      <c r="CBA15" s="239"/>
      <c r="CBB15" s="239"/>
      <c r="CBC15" s="239"/>
      <c r="CBD15" s="239"/>
      <c r="CBE15" s="239"/>
      <c r="CBF15" s="239"/>
      <c r="CBG15" s="239"/>
      <c r="CBH15" s="239"/>
      <c r="CBI15" s="239"/>
      <c r="CBJ15" s="239"/>
      <c r="CBK15" s="239"/>
      <c r="CBL15" s="239"/>
      <c r="CBM15" s="239"/>
      <c r="CBN15" s="239"/>
      <c r="CBO15" s="239"/>
      <c r="CBP15" s="239"/>
      <c r="CBQ15" s="239"/>
      <c r="CBR15" s="239"/>
      <c r="CBS15" s="239"/>
      <c r="CBT15" s="239"/>
      <c r="CBU15" s="239"/>
      <c r="CBV15" s="239"/>
      <c r="CBW15" s="239"/>
      <c r="CBX15" s="239"/>
      <c r="CBY15" s="239"/>
      <c r="CBZ15" s="239"/>
      <c r="CCA15" s="239"/>
      <c r="CCB15" s="239"/>
      <c r="CCC15" s="239"/>
      <c r="CCD15" s="239"/>
      <c r="CCE15" s="239"/>
      <c r="CCF15" s="239"/>
      <c r="CCG15" s="239"/>
      <c r="CCH15" s="239"/>
      <c r="CCI15" s="239"/>
      <c r="CCJ15" s="239"/>
      <c r="CCK15" s="239"/>
      <c r="CCL15" s="239"/>
      <c r="CCM15" s="239"/>
      <c r="CCN15" s="239"/>
      <c r="CCO15" s="239"/>
      <c r="CCP15" s="239"/>
      <c r="CCQ15" s="239"/>
      <c r="CCR15" s="239"/>
      <c r="CCS15" s="239"/>
      <c r="CCT15" s="239"/>
      <c r="CCU15" s="239"/>
      <c r="CCV15" s="239"/>
      <c r="CCW15" s="239"/>
      <c r="CCX15" s="239"/>
      <c r="CCY15" s="239"/>
      <c r="CCZ15" s="239"/>
      <c r="CDA15" s="239"/>
      <c r="CDB15" s="239"/>
      <c r="CDC15" s="239"/>
      <c r="CDD15" s="239"/>
      <c r="CDE15" s="239"/>
      <c r="CDF15" s="239"/>
      <c r="CDG15" s="239"/>
      <c r="CDH15" s="239"/>
      <c r="CDI15" s="239"/>
      <c r="CDJ15" s="239"/>
      <c r="CDK15" s="239"/>
      <c r="CDL15" s="239"/>
      <c r="CDM15" s="239"/>
      <c r="CDN15" s="239"/>
      <c r="CDO15" s="239"/>
      <c r="CDP15" s="239"/>
      <c r="CDQ15" s="239"/>
      <c r="CDR15" s="239"/>
      <c r="CDS15" s="239"/>
      <c r="CDT15" s="239"/>
      <c r="CDU15" s="239"/>
      <c r="CDV15" s="239"/>
      <c r="CDW15" s="239"/>
      <c r="CDX15" s="239"/>
      <c r="CDY15" s="239"/>
      <c r="CDZ15" s="239"/>
      <c r="CEA15" s="239"/>
      <c r="CEB15" s="239"/>
      <c r="CEC15" s="239"/>
      <c r="CED15" s="239"/>
      <c r="CEE15" s="239"/>
      <c r="CEF15" s="239"/>
      <c r="CEG15" s="239"/>
      <c r="CEH15" s="239"/>
      <c r="CEI15" s="239"/>
      <c r="CEJ15" s="239"/>
      <c r="CEK15" s="239"/>
      <c r="CEL15" s="239"/>
      <c r="CEM15" s="239"/>
      <c r="CEN15" s="239"/>
      <c r="CEO15" s="239"/>
      <c r="CEP15" s="239"/>
      <c r="CEQ15" s="239"/>
      <c r="CER15" s="239"/>
      <c r="CES15" s="239"/>
      <c r="CET15" s="239"/>
      <c r="CEU15" s="239"/>
      <c r="CEV15" s="239"/>
      <c r="CEW15" s="239"/>
      <c r="CEX15" s="239"/>
      <c r="CEY15" s="239"/>
      <c r="CEZ15" s="239"/>
      <c r="CFA15" s="239"/>
      <c r="CFB15" s="239"/>
      <c r="CFC15" s="239"/>
      <c r="CFD15" s="239"/>
      <c r="CFE15" s="239"/>
      <c r="CFF15" s="239"/>
      <c r="CFG15" s="239"/>
      <c r="CFH15" s="239"/>
      <c r="CFI15" s="239"/>
      <c r="CFJ15" s="239"/>
      <c r="CFK15" s="239"/>
      <c r="CFL15" s="239"/>
      <c r="CFM15" s="239"/>
      <c r="CFN15" s="239"/>
      <c r="CFO15" s="239"/>
      <c r="CFP15" s="239"/>
      <c r="CFQ15" s="239"/>
      <c r="CFR15" s="239"/>
      <c r="CFS15" s="239"/>
      <c r="CFT15" s="239"/>
      <c r="CFU15" s="239"/>
      <c r="CFV15" s="239"/>
      <c r="CFW15" s="239"/>
      <c r="CFX15" s="239"/>
      <c r="CFY15" s="239"/>
      <c r="CFZ15" s="239"/>
      <c r="CGA15" s="239"/>
      <c r="CGB15" s="239"/>
      <c r="CGC15" s="239"/>
      <c r="CGD15" s="239"/>
      <c r="CGE15" s="239"/>
      <c r="CGF15" s="239"/>
      <c r="CGG15" s="239"/>
      <c r="CGH15" s="239"/>
      <c r="CGI15" s="239"/>
      <c r="CGJ15" s="239"/>
      <c r="CGK15" s="239"/>
      <c r="CGL15" s="239"/>
      <c r="CGM15" s="239"/>
      <c r="CGN15" s="239"/>
      <c r="CGO15" s="239"/>
      <c r="CGP15" s="239"/>
      <c r="CGQ15" s="239"/>
      <c r="CGR15" s="239"/>
      <c r="CGS15" s="239"/>
      <c r="CGT15" s="239"/>
      <c r="CGU15" s="239"/>
      <c r="CGV15" s="239"/>
      <c r="CGW15" s="239"/>
      <c r="CGX15" s="239"/>
      <c r="CGY15" s="239"/>
      <c r="CGZ15" s="239"/>
      <c r="CHA15" s="239"/>
      <c r="CHB15" s="239"/>
      <c r="CHC15" s="239"/>
      <c r="CHD15" s="239"/>
      <c r="CHE15" s="239"/>
      <c r="CHF15" s="239"/>
      <c r="CHG15" s="239"/>
      <c r="CHH15" s="239"/>
      <c r="CHI15" s="239"/>
      <c r="CHJ15" s="239"/>
      <c r="CHK15" s="239"/>
      <c r="CHL15" s="239"/>
      <c r="CHM15" s="239"/>
      <c r="CHN15" s="239"/>
      <c r="CHO15" s="239"/>
      <c r="CHP15" s="239"/>
      <c r="CHQ15" s="239"/>
      <c r="CHR15" s="239"/>
      <c r="CHS15" s="239"/>
      <c r="CHT15" s="239"/>
      <c r="CHU15" s="239"/>
      <c r="CHV15" s="239"/>
      <c r="CHW15" s="239"/>
      <c r="CHX15" s="239"/>
      <c r="CHY15" s="239"/>
      <c r="CHZ15" s="239"/>
      <c r="CIA15" s="239"/>
      <c r="CIB15" s="239"/>
      <c r="CIC15" s="239"/>
      <c r="CID15" s="239"/>
      <c r="CIE15" s="239"/>
      <c r="CIF15" s="239"/>
      <c r="CIG15" s="239"/>
      <c r="CIH15" s="239"/>
      <c r="CII15" s="239"/>
      <c r="CIJ15" s="239"/>
      <c r="CIK15" s="239"/>
      <c r="CIL15" s="239"/>
      <c r="CIM15" s="239"/>
      <c r="CIN15" s="239"/>
      <c r="CIO15" s="239"/>
      <c r="CIP15" s="239"/>
      <c r="CIQ15" s="239"/>
      <c r="CIR15" s="239"/>
      <c r="CIS15" s="239"/>
      <c r="CIT15" s="239"/>
      <c r="CIU15" s="239"/>
      <c r="CIV15" s="239"/>
      <c r="CIW15" s="239"/>
      <c r="CIX15" s="239"/>
      <c r="CIY15" s="239"/>
      <c r="CIZ15" s="239"/>
      <c r="CJA15" s="239"/>
      <c r="CJB15" s="239"/>
      <c r="CJC15" s="239"/>
      <c r="CJD15" s="239"/>
      <c r="CJE15" s="239"/>
      <c r="CJF15" s="239"/>
      <c r="CJG15" s="239"/>
      <c r="CJH15" s="239"/>
      <c r="CJI15" s="239"/>
      <c r="CJJ15" s="239"/>
      <c r="CJK15" s="239"/>
      <c r="CJL15" s="239"/>
      <c r="CJM15" s="239"/>
      <c r="CJN15" s="239"/>
      <c r="CJO15" s="239"/>
      <c r="CJP15" s="239"/>
      <c r="CJQ15" s="239"/>
      <c r="CJR15" s="239"/>
      <c r="CJS15" s="239"/>
      <c r="CJT15" s="239"/>
      <c r="CJU15" s="239"/>
      <c r="CJV15" s="239"/>
      <c r="CJW15" s="239"/>
      <c r="CJX15" s="239"/>
      <c r="CJY15" s="239"/>
      <c r="CJZ15" s="239"/>
      <c r="CKA15" s="239"/>
      <c r="CKB15" s="239"/>
      <c r="CKC15" s="239"/>
      <c r="CKD15" s="239"/>
      <c r="CKE15" s="239"/>
      <c r="CKF15" s="239"/>
      <c r="CKG15" s="239"/>
      <c r="CKH15" s="239"/>
      <c r="CKI15" s="239"/>
      <c r="CKJ15" s="239"/>
      <c r="CKK15" s="239"/>
      <c r="CKL15" s="239"/>
      <c r="CKM15" s="239"/>
      <c r="CKN15" s="239"/>
      <c r="CKO15" s="239"/>
      <c r="CKP15" s="239"/>
      <c r="CKQ15" s="239"/>
      <c r="CKR15" s="239"/>
      <c r="CKS15" s="239"/>
      <c r="CKT15" s="239"/>
      <c r="CKU15" s="239"/>
      <c r="CKV15" s="239"/>
      <c r="CKW15" s="239"/>
      <c r="CKX15" s="239"/>
      <c r="CKY15" s="239"/>
      <c r="CKZ15" s="239"/>
      <c r="CLA15" s="239"/>
      <c r="CLB15" s="239"/>
      <c r="CLC15" s="239"/>
      <c r="CLD15" s="239"/>
      <c r="CLE15" s="239"/>
      <c r="CLF15" s="239"/>
      <c r="CLG15" s="239"/>
      <c r="CLH15" s="239"/>
      <c r="CLI15" s="239"/>
      <c r="CLJ15" s="239"/>
      <c r="CLK15" s="239"/>
      <c r="CLL15" s="239"/>
      <c r="CLM15" s="239"/>
      <c r="CLN15" s="239"/>
      <c r="CLO15" s="239"/>
      <c r="CLP15" s="239"/>
      <c r="CLQ15" s="239"/>
      <c r="CLR15" s="239"/>
      <c r="CLS15" s="239"/>
      <c r="CLT15" s="239"/>
      <c r="CLU15" s="239"/>
      <c r="CLV15" s="239"/>
      <c r="CLW15" s="239"/>
      <c r="CLX15" s="239"/>
      <c r="CLY15" s="239"/>
      <c r="CLZ15" s="239"/>
      <c r="CMA15" s="239"/>
      <c r="CMB15" s="239"/>
      <c r="CMC15" s="239"/>
      <c r="CMD15" s="239"/>
      <c r="CME15" s="239"/>
      <c r="CMF15" s="239"/>
      <c r="CMG15" s="239"/>
      <c r="CMH15" s="239"/>
      <c r="CMI15" s="239"/>
      <c r="CMJ15" s="239"/>
      <c r="CMK15" s="239"/>
      <c r="CML15" s="239"/>
      <c r="CMM15" s="239"/>
      <c r="CMN15" s="239"/>
      <c r="CMO15" s="239"/>
      <c r="CMP15" s="239"/>
      <c r="CMQ15" s="239"/>
      <c r="CMR15" s="239"/>
      <c r="CMS15" s="239"/>
      <c r="CMT15" s="239"/>
      <c r="CMU15" s="239"/>
      <c r="CMV15" s="239"/>
      <c r="CMW15" s="239"/>
      <c r="CMX15" s="239"/>
      <c r="CMY15" s="239"/>
      <c r="CMZ15" s="239"/>
      <c r="CNA15" s="239"/>
      <c r="CNB15" s="239"/>
      <c r="CNC15" s="239"/>
      <c r="CND15" s="239"/>
      <c r="CNE15" s="239"/>
      <c r="CNF15" s="239"/>
      <c r="CNG15" s="239"/>
      <c r="CNH15" s="239"/>
      <c r="CNI15" s="239"/>
      <c r="CNJ15" s="239"/>
      <c r="CNK15" s="239"/>
      <c r="CNL15" s="239"/>
      <c r="CNM15" s="239"/>
      <c r="CNN15" s="239"/>
      <c r="CNO15" s="239"/>
      <c r="CNP15" s="239"/>
      <c r="CNQ15" s="239"/>
      <c r="CNR15" s="239"/>
      <c r="CNS15" s="239"/>
      <c r="CNT15" s="239"/>
      <c r="CNU15" s="239"/>
      <c r="CNV15" s="239"/>
      <c r="CNW15" s="239"/>
      <c r="CNX15" s="239"/>
      <c r="CNY15" s="239"/>
      <c r="CNZ15" s="239"/>
      <c r="COA15" s="239"/>
      <c r="COB15" s="239"/>
      <c r="COC15" s="239"/>
      <c r="COD15" s="239"/>
      <c r="COE15" s="239"/>
      <c r="COF15" s="239"/>
      <c r="COG15" s="239"/>
      <c r="COH15" s="239"/>
      <c r="COI15" s="239"/>
      <c r="COJ15" s="239"/>
      <c r="COK15" s="239"/>
      <c r="COL15" s="239"/>
      <c r="COM15" s="239"/>
      <c r="CON15" s="239"/>
      <c r="COO15" s="239"/>
      <c r="COP15" s="239"/>
      <c r="COQ15" s="239"/>
      <c r="COR15" s="239"/>
      <c r="COS15" s="239"/>
      <c r="COT15" s="239"/>
      <c r="COU15" s="239"/>
      <c r="COV15" s="239"/>
      <c r="COW15" s="239"/>
      <c r="COX15" s="239"/>
      <c r="COY15" s="239"/>
      <c r="COZ15" s="239"/>
      <c r="CPA15" s="239"/>
      <c r="CPB15" s="239"/>
      <c r="CPC15" s="239"/>
      <c r="CPD15" s="239"/>
      <c r="CPE15" s="239"/>
      <c r="CPF15" s="239"/>
      <c r="CPG15" s="239"/>
      <c r="CPH15" s="239"/>
      <c r="CPI15" s="239"/>
      <c r="CPJ15" s="239"/>
      <c r="CPK15" s="239"/>
      <c r="CPL15" s="239"/>
      <c r="CPM15" s="239"/>
      <c r="CPN15" s="239"/>
      <c r="CPO15" s="239"/>
      <c r="CPP15" s="239"/>
      <c r="CPQ15" s="239"/>
      <c r="CPR15" s="239"/>
      <c r="CPS15" s="239"/>
      <c r="CPT15" s="239"/>
      <c r="CPU15" s="239"/>
      <c r="CPV15" s="239"/>
      <c r="CPW15" s="239"/>
      <c r="CPX15" s="239"/>
      <c r="CPY15" s="239"/>
      <c r="CPZ15" s="239"/>
      <c r="CQA15" s="239"/>
      <c r="CQB15" s="239"/>
      <c r="CQC15" s="239"/>
      <c r="CQD15" s="239"/>
      <c r="CQE15" s="239"/>
      <c r="CQF15" s="239"/>
      <c r="CQG15" s="239"/>
      <c r="CQH15" s="239"/>
      <c r="CQI15" s="239"/>
      <c r="CQJ15" s="239"/>
      <c r="CQK15" s="239"/>
      <c r="CQL15" s="239"/>
      <c r="CQM15" s="239"/>
      <c r="CQN15" s="239"/>
      <c r="CQO15" s="239"/>
      <c r="CQP15" s="239"/>
      <c r="CQQ15" s="239"/>
      <c r="CQR15" s="239"/>
      <c r="CQS15" s="239"/>
      <c r="CQT15" s="239"/>
      <c r="CQU15" s="239"/>
      <c r="CQV15" s="239"/>
      <c r="CQW15" s="239"/>
      <c r="CQX15" s="239"/>
      <c r="CQY15" s="239"/>
      <c r="CQZ15" s="239"/>
      <c r="CRA15" s="239"/>
      <c r="CRB15" s="239"/>
      <c r="CRC15" s="239"/>
      <c r="CRD15" s="239"/>
      <c r="CRE15" s="239"/>
      <c r="CRF15" s="239"/>
      <c r="CRG15" s="239"/>
      <c r="CRH15" s="239"/>
      <c r="CRI15" s="239"/>
      <c r="CRJ15" s="239"/>
      <c r="CRK15" s="239"/>
      <c r="CRL15" s="239"/>
      <c r="CRM15" s="239"/>
      <c r="CRN15" s="239"/>
      <c r="CRO15" s="239"/>
      <c r="CRP15" s="239"/>
      <c r="CRQ15" s="239"/>
      <c r="CRR15" s="239"/>
      <c r="CRS15" s="239"/>
      <c r="CRT15" s="239"/>
      <c r="CRU15" s="239"/>
      <c r="CRV15" s="239"/>
      <c r="CRW15" s="239"/>
      <c r="CRX15" s="239"/>
      <c r="CRY15" s="239"/>
      <c r="CRZ15" s="239"/>
      <c r="CSA15" s="239"/>
      <c r="CSB15" s="239"/>
      <c r="CSC15" s="239"/>
      <c r="CSD15" s="239"/>
      <c r="CSE15" s="239"/>
      <c r="CSF15" s="239"/>
      <c r="CSG15" s="239"/>
      <c r="CSH15" s="239"/>
      <c r="CSI15" s="239"/>
      <c r="CSJ15" s="239"/>
      <c r="CSK15" s="239"/>
      <c r="CSL15" s="239"/>
      <c r="CSM15" s="239"/>
      <c r="CSN15" s="239"/>
      <c r="CSO15" s="239"/>
      <c r="CSP15" s="239"/>
      <c r="CSQ15" s="239"/>
      <c r="CSR15" s="239"/>
      <c r="CSS15" s="239"/>
      <c r="CST15" s="239"/>
      <c r="CSU15" s="239"/>
      <c r="CSV15" s="239"/>
      <c r="CSW15" s="239"/>
      <c r="CSX15" s="239"/>
      <c r="CSY15" s="239"/>
      <c r="CSZ15" s="239"/>
      <c r="CTA15" s="239"/>
      <c r="CTB15" s="239"/>
      <c r="CTC15" s="239"/>
      <c r="CTD15" s="239"/>
      <c r="CTE15" s="239"/>
      <c r="CTF15" s="239"/>
      <c r="CTG15" s="239"/>
      <c r="CTH15" s="239"/>
      <c r="CTI15" s="239"/>
      <c r="CTJ15" s="239"/>
      <c r="CTK15" s="239"/>
      <c r="CTL15" s="239"/>
      <c r="CTM15" s="239"/>
      <c r="CTN15" s="239"/>
      <c r="CTO15" s="239"/>
      <c r="CTP15" s="239"/>
      <c r="CTQ15" s="239"/>
      <c r="CTR15" s="239"/>
      <c r="CTS15" s="239"/>
      <c r="CTT15" s="239"/>
      <c r="CTU15" s="239"/>
      <c r="CTV15" s="239"/>
      <c r="CTW15" s="239"/>
      <c r="CTX15" s="239"/>
      <c r="CTY15" s="239"/>
      <c r="CTZ15" s="239"/>
      <c r="CUA15" s="239"/>
      <c r="CUB15" s="239"/>
      <c r="CUC15" s="239"/>
      <c r="CUD15" s="239"/>
      <c r="CUE15" s="239"/>
      <c r="CUF15" s="239"/>
      <c r="CUG15" s="239"/>
      <c r="CUH15" s="239"/>
      <c r="CUI15" s="239"/>
      <c r="CUJ15" s="239"/>
      <c r="CUK15" s="239"/>
      <c r="CUL15" s="239"/>
      <c r="CUM15" s="239"/>
      <c r="CUN15" s="239"/>
      <c r="CUO15" s="239"/>
      <c r="CUP15" s="239"/>
      <c r="CUQ15" s="239"/>
      <c r="CUR15" s="239"/>
      <c r="CUS15" s="239"/>
      <c r="CUT15" s="239"/>
      <c r="CUU15" s="239"/>
      <c r="CUV15" s="239"/>
      <c r="CUW15" s="239"/>
      <c r="CUX15" s="239"/>
      <c r="CUY15" s="239"/>
      <c r="CUZ15" s="239"/>
      <c r="CVA15" s="239"/>
      <c r="CVB15" s="239"/>
      <c r="CVC15" s="239"/>
      <c r="CVD15" s="239"/>
      <c r="CVE15" s="239"/>
      <c r="CVF15" s="239"/>
      <c r="CVG15" s="239"/>
      <c r="CVH15" s="239"/>
      <c r="CVI15" s="239"/>
      <c r="CVJ15" s="239"/>
      <c r="CVK15" s="239"/>
      <c r="CVL15" s="239"/>
      <c r="CVM15" s="239"/>
      <c r="CVN15" s="239"/>
      <c r="CVO15" s="239"/>
      <c r="CVP15" s="239"/>
      <c r="CVQ15" s="239"/>
      <c r="CVR15" s="239"/>
      <c r="CVS15" s="239"/>
      <c r="CVT15" s="239"/>
      <c r="CVU15" s="239"/>
      <c r="CVV15" s="239"/>
      <c r="CVW15" s="239"/>
      <c r="CVX15" s="239"/>
      <c r="CVY15" s="239"/>
      <c r="CVZ15" s="239"/>
      <c r="CWA15" s="239"/>
      <c r="CWB15" s="239"/>
      <c r="CWC15" s="239"/>
      <c r="CWD15" s="239"/>
      <c r="CWE15" s="239"/>
      <c r="CWF15" s="239"/>
      <c r="CWG15" s="239"/>
      <c r="CWH15" s="239"/>
      <c r="CWI15" s="239"/>
      <c r="CWJ15" s="239"/>
      <c r="CWK15" s="239"/>
      <c r="CWL15" s="239"/>
      <c r="CWM15" s="239"/>
      <c r="CWN15" s="239"/>
      <c r="CWO15" s="239"/>
      <c r="CWP15" s="239"/>
      <c r="CWQ15" s="239"/>
      <c r="CWR15" s="239"/>
      <c r="CWS15" s="239"/>
      <c r="CWT15" s="239"/>
      <c r="CWU15" s="239"/>
      <c r="CWV15" s="239"/>
      <c r="CWW15" s="239"/>
      <c r="CWX15" s="239"/>
      <c r="CWY15" s="239"/>
      <c r="CWZ15" s="239"/>
      <c r="CXA15" s="239"/>
      <c r="CXB15" s="239"/>
      <c r="CXC15" s="239"/>
      <c r="CXD15" s="239"/>
      <c r="CXE15" s="239"/>
      <c r="CXF15" s="239"/>
      <c r="CXG15" s="239"/>
      <c r="CXH15" s="239"/>
      <c r="CXI15" s="239"/>
      <c r="CXJ15" s="239"/>
      <c r="CXK15" s="239"/>
      <c r="CXL15" s="239"/>
      <c r="CXM15" s="239"/>
      <c r="CXN15" s="239"/>
      <c r="CXO15" s="239"/>
      <c r="CXP15" s="239"/>
      <c r="CXQ15" s="239"/>
      <c r="CXR15" s="239"/>
      <c r="CXS15" s="239"/>
      <c r="CXT15" s="239"/>
      <c r="CXU15" s="239"/>
      <c r="CXV15" s="239"/>
      <c r="CXW15" s="239"/>
      <c r="CXX15" s="239"/>
      <c r="CXY15" s="239"/>
      <c r="CXZ15" s="239"/>
      <c r="CYA15" s="239"/>
      <c r="CYB15" s="239"/>
      <c r="CYC15" s="239"/>
      <c r="CYD15" s="239"/>
      <c r="CYE15" s="239"/>
      <c r="CYF15" s="239"/>
      <c r="CYG15" s="239"/>
      <c r="CYH15" s="239"/>
      <c r="CYI15" s="239"/>
      <c r="CYJ15" s="239"/>
      <c r="CYK15" s="239"/>
      <c r="CYL15" s="239"/>
      <c r="CYM15" s="239"/>
      <c r="CYN15" s="239"/>
      <c r="CYO15" s="239"/>
      <c r="CYP15" s="239"/>
      <c r="CYQ15" s="239"/>
      <c r="CYR15" s="239"/>
      <c r="CYS15" s="239"/>
      <c r="CYT15" s="239"/>
      <c r="CYU15" s="239"/>
      <c r="CYV15" s="239"/>
      <c r="CYW15" s="239"/>
      <c r="CYX15" s="239"/>
      <c r="CYY15" s="239"/>
      <c r="CYZ15" s="239"/>
      <c r="CZA15" s="239"/>
      <c r="CZB15" s="239"/>
      <c r="CZC15" s="239"/>
      <c r="CZD15" s="239"/>
      <c r="CZE15" s="239"/>
      <c r="CZF15" s="239"/>
      <c r="CZG15" s="239"/>
      <c r="CZH15" s="239"/>
      <c r="CZI15" s="239"/>
      <c r="CZJ15" s="239"/>
      <c r="CZK15" s="239"/>
      <c r="CZL15" s="239"/>
      <c r="CZM15" s="239"/>
      <c r="CZN15" s="239"/>
      <c r="CZO15" s="239"/>
      <c r="CZP15" s="239"/>
      <c r="CZQ15" s="239"/>
      <c r="CZR15" s="239"/>
      <c r="CZS15" s="239"/>
      <c r="CZT15" s="239"/>
      <c r="CZU15" s="239"/>
      <c r="CZV15" s="239"/>
      <c r="CZW15" s="239"/>
      <c r="CZX15" s="239"/>
      <c r="CZY15" s="239"/>
      <c r="CZZ15" s="239"/>
      <c r="DAA15" s="239"/>
      <c r="DAB15" s="239"/>
      <c r="DAC15" s="239"/>
      <c r="DAD15" s="239"/>
      <c r="DAE15" s="239"/>
      <c r="DAF15" s="239"/>
      <c r="DAG15" s="239"/>
      <c r="DAH15" s="239"/>
      <c r="DAI15" s="239"/>
      <c r="DAJ15" s="239"/>
      <c r="DAK15" s="239"/>
      <c r="DAL15" s="239"/>
      <c r="DAM15" s="239"/>
      <c r="DAN15" s="239"/>
      <c r="DAO15" s="239"/>
      <c r="DAP15" s="239"/>
      <c r="DAQ15" s="239"/>
      <c r="DAR15" s="239"/>
      <c r="DAS15" s="239"/>
      <c r="DAT15" s="239"/>
      <c r="DAU15" s="239"/>
      <c r="DAV15" s="239"/>
      <c r="DAW15" s="239"/>
      <c r="DAX15" s="239"/>
      <c r="DAY15" s="239"/>
      <c r="DAZ15" s="239"/>
      <c r="DBA15" s="239"/>
      <c r="DBB15" s="239"/>
      <c r="DBC15" s="239"/>
      <c r="DBD15" s="239"/>
      <c r="DBE15" s="239"/>
      <c r="DBF15" s="239"/>
      <c r="DBG15" s="239"/>
      <c r="DBH15" s="239"/>
      <c r="DBI15" s="239"/>
      <c r="DBJ15" s="239"/>
      <c r="DBK15" s="239"/>
      <c r="DBL15" s="239"/>
      <c r="DBM15" s="239"/>
      <c r="DBN15" s="239"/>
      <c r="DBO15" s="239"/>
      <c r="DBP15" s="239"/>
      <c r="DBQ15" s="239"/>
      <c r="DBR15" s="239"/>
      <c r="DBS15" s="239"/>
      <c r="DBT15" s="239"/>
      <c r="DBU15" s="239"/>
      <c r="DBV15" s="239"/>
      <c r="DBW15" s="239"/>
      <c r="DBX15" s="239"/>
      <c r="DBY15" s="239"/>
      <c r="DBZ15" s="239"/>
      <c r="DCA15" s="239"/>
      <c r="DCB15" s="239"/>
      <c r="DCC15" s="239"/>
      <c r="DCD15" s="239"/>
      <c r="DCE15" s="239"/>
      <c r="DCF15" s="239"/>
      <c r="DCG15" s="239"/>
      <c r="DCH15" s="239"/>
      <c r="DCI15" s="239"/>
      <c r="DCJ15" s="239"/>
      <c r="DCK15" s="239"/>
      <c r="DCL15" s="239"/>
      <c r="DCM15" s="239"/>
      <c r="DCN15" s="239"/>
      <c r="DCO15" s="239"/>
      <c r="DCP15" s="239"/>
      <c r="DCQ15" s="239"/>
      <c r="DCR15" s="239"/>
      <c r="DCS15" s="239"/>
      <c r="DCT15" s="239"/>
      <c r="DCU15" s="239"/>
      <c r="DCV15" s="239"/>
      <c r="DCW15" s="239"/>
      <c r="DCX15" s="239"/>
      <c r="DCY15" s="239"/>
      <c r="DCZ15" s="239"/>
      <c r="DDA15" s="239"/>
      <c r="DDB15" s="239"/>
      <c r="DDC15" s="239"/>
      <c r="DDD15" s="239"/>
      <c r="DDE15" s="239"/>
      <c r="DDF15" s="239"/>
      <c r="DDG15" s="239"/>
      <c r="DDH15" s="239"/>
      <c r="DDI15" s="239"/>
      <c r="DDJ15" s="239"/>
      <c r="DDK15" s="239"/>
      <c r="DDL15" s="239"/>
      <c r="DDM15" s="239"/>
      <c r="DDN15" s="239"/>
      <c r="DDO15" s="239"/>
      <c r="DDP15" s="239"/>
      <c r="DDQ15" s="239"/>
      <c r="DDR15" s="239"/>
      <c r="DDS15" s="239"/>
      <c r="DDT15" s="239"/>
      <c r="DDU15" s="239"/>
      <c r="DDV15" s="239"/>
      <c r="DDW15" s="239"/>
      <c r="DDX15" s="239"/>
      <c r="DDY15" s="239"/>
      <c r="DDZ15" s="239"/>
      <c r="DEA15" s="239"/>
      <c r="DEB15" s="239"/>
      <c r="DEC15" s="239"/>
      <c r="DED15" s="239"/>
      <c r="DEE15" s="239"/>
      <c r="DEF15" s="239"/>
      <c r="DEG15" s="239"/>
      <c r="DEH15" s="239"/>
      <c r="DEI15" s="239"/>
      <c r="DEJ15" s="239"/>
      <c r="DEK15" s="239"/>
      <c r="DEL15" s="239"/>
      <c r="DEM15" s="239"/>
      <c r="DEN15" s="239"/>
      <c r="DEO15" s="239"/>
      <c r="DEP15" s="239"/>
      <c r="DEQ15" s="239"/>
      <c r="DER15" s="239"/>
      <c r="DES15" s="239"/>
      <c r="DET15" s="239"/>
      <c r="DEU15" s="239"/>
      <c r="DEV15" s="239"/>
      <c r="DEW15" s="239"/>
      <c r="DEX15" s="239"/>
      <c r="DEY15" s="239"/>
      <c r="DEZ15" s="239"/>
      <c r="DFA15" s="239"/>
      <c r="DFB15" s="239"/>
      <c r="DFC15" s="239"/>
      <c r="DFD15" s="239"/>
      <c r="DFE15" s="239"/>
      <c r="DFF15" s="239"/>
      <c r="DFG15" s="239"/>
      <c r="DFH15" s="239"/>
      <c r="DFI15" s="239"/>
      <c r="DFJ15" s="239"/>
      <c r="DFK15" s="239"/>
      <c r="DFL15" s="239"/>
      <c r="DFM15" s="239"/>
      <c r="DFN15" s="239"/>
      <c r="DFO15" s="239"/>
      <c r="DFP15" s="239"/>
      <c r="DFQ15" s="239"/>
      <c r="DFR15" s="239"/>
      <c r="DFS15" s="239"/>
      <c r="DFT15" s="239"/>
      <c r="DFU15" s="239"/>
      <c r="DFV15" s="239"/>
      <c r="DFW15" s="239"/>
      <c r="DFX15" s="239"/>
      <c r="DFY15" s="239"/>
      <c r="DFZ15" s="239"/>
      <c r="DGA15" s="239"/>
      <c r="DGB15" s="239"/>
      <c r="DGC15" s="239"/>
      <c r="DGD15" s="239"/>
      <c r="DGE15" s="239"/>
      <c r="DGF15" s="239"/>
      <c r="DGG15" s="239"/>
      <c r="DGH15" s="239"/>
      <c r="DGI15" s="239"/>
      <c r="DGJ15" s="239"/>
      <c r="DGK15" s="239"/>
      <c r="DGL15" s="239"/>
      <c r="DGM15" s="239"/>
      <c r="DGN15" s="239"/>
      <c r="DGO15" s="239"/>
      <c r="DGP15" s="239"/>
      <c r="DGQ15" s="239"/>
      <c r="DGR15" s="239"/>
      <c r="DGS15" s="239"/>
      <c r="DGT15" s="239"/>
      <c r="DGU15" s="239"/>
      <c r="DGV15" s="239"/>
      <c r="DGW15" s="239"/>
      <c r="DGX15" s="239"/>
      <c r="DGY15" s="239"/>
      <c r="DGZ15" s="239"/>
      <c r="DHA15" s="239"/>
      <c r="DHB15" s="239"/>
      <c r="DHC15" s="239"/>
      <c r="DHD15" s="239"/>
      <c r="DHE15" s="239"/>
      <c r="DHF15" s="239"/>
      <c r="DHG15" s="239"/>
      <c r="DHH15" s="239"/>
      <c r="DHI15" s="239"/>
      <c r="DHJ15" s="239"/>
      <c r="DHK15" s="239"/>
      <c r="DHL15" s="239"/>
      <c r="DHM15" s="239"/>
      <c r="DHN15" s="239"/>
      <c r="DHO15" s="239"/>
      <c r="DHP15" s="239"/>
      <c r="DHQ15" s="239"/>
      <c r="DHR15" s="239"/>
      <c r="DHS15" s="239"/>
      <c r="DHT15" s="239"/>
      <c r="DHU15" s="239"/>
      <c r="DHV15" s="239"/>
      <c r="DHW15" s="239"/>
      <c r="DHX15" s="239"/>
      <c r="DHY15" s="239"/>
      <c r="DHZ15" s="239"/>
      <c r="DIA15" s="239"/>
      <c r="DIB15" s="239"/>
      <c r="DIC15" s="239"/>
      <c r="DID15" s="239"/>
      <c r="DIE15" s="239"/>
      <c r="DIF15" s="239"/>
      <c r="DIG15" s="239"/>
      <c r="DIH15" s="239"/>
      <c r="DII15" s="239"/>
      <c r="DIJ15" s="239"/>
      <c r="DIK15" s="239"/>
      <c r="DIL15" s="239"/>
      <c r="DIM15" s="239"/>
      <c r="DIN15" s="239"/>
      <c r="DIO15" s="239"/>
      <c r="DIP15" s="239"/>
      <c r="DIQ15" s="239"/>
      <c r="DIR15" s="239"/>
      <c r="DIS15" s="239"/>
      <c r="DIT15" s="239"/>
      <c r="DIU15" s="239"/>
      <c r="DIV15" s="239"/>
      <c r="DIW15" s="239"/>
      <c r="DIX15" s="239"/>
      <c r="DIY15" s="239"/>
      <c r="DIZ15" s="239"/>
      <c r="DJA15" s="239"/>
      <c r="DJB15" s="239"/>
      <c r="DJC15" s="239"/>
      <c r="DJD15" s="239"/>
      <c r="DJE15" s="239"/>
      <c r="DJF15" s="239"/>
      <c r="DJG15" s="239"/>
      <c r="DJH15" s="239"/>
      <c r="DJI15" s="239"/>
      <c r="DJJ15" s="239"/>
      <c r="DJK15" s="239"/>
      <c r="DJL15" s="239"/>
      <c r="DJM15" s="239"/>
      <c r="DJN15" s="239"/>
      <c r="DJO15" s="239"/>
      <c r="DJP15" s="239"/>
      <c r="DJQ15" s="239"/>
      <c r="DJR15" s="239"/>
      <c r="DJS15" s="239"/>
      <c r="DJT15" s="239"/>
      <c r="DJU15" s="239"/>
      <c r="DJV15" s="239"/>
      <c r="DJW15" s="239"/>
      <c r="DJX15" s="239"/>
      <c r="DJY15" s="239"/>
      <c r="DJZ15" s="239"/>
      <c r="DKA15" s="239"/>
      <c r="DKB15" s="239"/>
      <c r="DKC15" s="239"/>
      <c r="DKD15" s="239"/>
      <c r="DKE15" s="239"/>
      <c r="DKF15" s="239"/>
      <c r="DKG15" s="239"/>
      <c r="DKH15" s="239"/>
      <c r="DKI15" s="239"/>
      <c r="DKJ15" s="239"/>
      <c r="DKK15" s="239"/>
      <c r="DKL15" s="239"/>
      <c r="DKM15" s="239"/>
      <c r="DKN15" s="239"/>
      <c r="DKO15" s="239"/>
      <c r="DKP15" s="239"/>
      <c r="DKQ15" s="239"/>
      <c r="DKR15" s="239"/>
      <c r="DKS15" s="239"/>
      <c r="DKT15" s="239"/>
      <c r="DKU15" s="239"/>
      <c r="DKV15" s="239"/>
      <c r="DKW15" s="239"/>
      <c r="DKX15" s="239"/>
      <c r="DKY15" s="239"/>
      <c r="DKZ15" s="239"/>
      <c r="DLA15" s="239"/>
      <c r="DLB15" s="239"/>
      <c r="DLC15" s="239"/>
      <c r="DLD15" s="239"/>
      <c r="DLE15" s="239"/>
      <c r="DLF15" s="239"/>
      <c r="DLG15" s="239"/>
      <c r="DLH15" s="239"/>
      <c r="DLI15" s="239"/>
      <c r="DLJ15" s="239"/>
      <c r="DLK15" s="239"/>
      <c r="DLL15" s="239"/>
      <c r="DLM15" s="239"/>
      <c r="DLN15" s="239"/>
      <c r="DLO15" s="239"/>
      <c r="DLP15" s="239"/>
      <c r="DLQ15" s="239"/>
      <c r="DLR15" s="239"/>
      <c r="DLS15" s="239"/>
      <c r="DLT15" s="239"/>
      <c r="DLU15" s="239"/>
      <c r="DLV15" s="239"/>
      <c r="DLW15" s="239"/>
      <c r="DLX15" s="239"/>
      <c r="DLY15" s="239"/>
      <c r="DLZ15" s="239"/>
      <c r="DMA15" s="239"/>
      <c r="DMB15" s="239"/>
      <c r="DMC15" s="239"/>
      <c r="DMD15" s="239"/>
      <c r="DME15" s="239"/>
      <c r="DMF15" s="239"/>
      <c r="DMG15" s="239"/>
      <c r="DMH15" s="239"/>
      <c r="DMI15" s="239"/>
      <c r="DMJ15" s="239"/>
      <c r="DMK15" s="239"/>
      <c r="DML15" s="239"/>
      <c r="DMM15" s="239"/>
      <c r="DMN15" s="239"/>
      <c r="DMO15" s="239"/>
      <c r="DMP15" s="239"/>
      <c r="DMQ15" s="239"/>
      <c r="DMR15" s="239"/>
      <c r="DMS15" s="239"/>
      <c r="DMT15" s="239"/>
      <c r="DMU15" s="239"/>
      <c r="DMV15" s="239"/>
      <c r="DMW15" s="239"/>
      <c r="DMX15" s="239"/>
      <c r="DMY15" s="239"/>
      <c r="DMZ15" s="239"/>
      <c r="DNA15" s="239"/>
      <c r="DNB15" s="239"/>
      <c r="DNC15" s="239"/>
      <c r="DND15" s="239"/>
      <c r="DNE15" s="239"/>
      <c r="DNF15" s="239"/>
      <c r="DNG15" s="239"/>
      <c r="DNH15" s="239"/>
      <c r="DNI15" s="239"/>
      <c r="DNJ15" s="239"/>
      <c r="DNK15" s="239"/>
      <c r="DNL15" s="239"/>
      <c r="DNM15" s="239"/>
      <c r="DNN15" s="239"/>
      <c r="DNO15" s="239"/>
      <c r="DNP15" s="239"/>
      <c r="DNQ15" s="239"/>
      <c r="DNR15" s="239"/>
      <c r="DNS15" s="239"/>
      <c r="DNT15" s="239"/>
      <c r="DNU15" s="239"/>
      <c r="DNV15" s="239"/>
      <c r="DNW15" s="239"/>
      <c r="DNX15" s="239"/>
      <c r="DNY15" s="239"/>
      <c r="DNZ15" s="239"/>
      <c r="DOA15" s="239"/>
      <c r="DOB15" s="239"/>
      <c r="DOC15" s="239"/>
      <c r="DOD15" s="239"/>
      <c r="DOE15" s="239"/>
      <c r="DOF15" s="239"/>
      <c r="DOG15" s="239"/>
      <c r="DOH15" s="239"/>
      <c r="DOI15" s="239"/>
      <c r="DOJ15" s="239"/>
      <c r="DOK15" s="239"/>
      <c r="DOL15" s="239"/>
      <c r="DOM15" s="239"/>
      <c r="DON15" s="239"/>
      <c r="DOO15" s="239"/>
      <c r="DOP15" s="239"/>
      <c r="DOQ15" s="239"/>
      <c r="DOR15" s="239"/>
      <c r="DOS15" s="239"/>
      <c r="DOT15" s="239"/>
      <c r="DOU15" s="239"/>
      <c r="DOV15" s="239"/>
      <c r="DOW15" s="239"/>
      <c r="DOX15" s="239"/>
      <c r="DOY15" s="239"/>
      <c r="DOZ15" s="239"/>
      <c r="DPA15" s="239"/>
      <c r="DPB15" s="239"/>
      <c r="DPC15" s="239"/>
      <c r="DPD15" s="239"/>
      <c r="DPE15" s="239"/>
      <c r="DPF15" s="239"/>
      <c r="DPG15" s="239"/>
      <c r="DPH15" s="239"/>
      <c r="DPI15" s="239"/>
      <c r="DPJ15" s="239"/>
      <c r="DPK15" s="239"/>
      <c r="DPL15" s="239"/>
      <c r="DPM15" s="239"/>
      <c r="DPN15" s="239"/>
      <c r="DPO15" s="239"/>
      <c r="DPP15" s="239"/>
      <c r="DPQ15" s="239"/>
      <c r="DPR15" s="239"/>
      <c r="DPS15" s="239"/>
      <c r="DPT15" s="239"/>
      <c r="DPU15" s="239"/>
      <c r="DPV15" s="239"/>
      <c r="DPW15" s="239"/>
      <c r="DPX15" s="239"/>
      <c r="DPY15" s="239"/>
      <c r="DPZ15" s="239"/>
      <c r="DQA15" s="239"/>
      <c r="DQB15" s="239"/>
      <c r="DQC15" s="239"/>
      <c r="DQD15" s="239"/>
      <c r="DQE15" s="239"/>
      <c r="DQF15" s="239"/>
      <c r="DQG15" s="239"/>
      <c r="DQH15" s="239"/>
      <c r="DQI15" s="239"/>
      <c r="DQJ15" s="239"/>
      <c r="DQK15" s="239"/>
      <c r="DQL15" s="239"/>
      <c r="DQM15" s="239"/>
      <c r="DQN15" s="239"/>
      <c r="DQO15" s="239"/>
      <c r="DQP15" s="239"/>
      <c r="DQQ15" s="239"/>
      <c r="DQR15" s="239"/>
      <c r="DQS15" s="239"/>
      <c r="DQT15" s="239"/>
      <c r="DQU15" s="239"/>
      <c r="DQV15" s="239"/>
      <c r="DQW15" s="239"/>
      <c r="DQX15" s="239"/>
      <c r="DQY15" s="239"/>
      <c r="DQZ15" s="239"/>
      <c r="DRA15" s="239"/>
      <c r="DRB15" s="239"/>
      <c r="DRC15" s="239"/>
      <c r="DRD15" s="239"/>
      <c r="DRE15" s="239"/>
      <c r="DRF15" s="239"/>
      <c r="DRG15" s="239"/>
      <c r="DRH15" s="239"/>
      <c r="DRI15" s="239"/>
      <c r="DRJ15" s="239"/>
      <c r="DRK15" s="239"/>
      <c r="DRL15" s="239"/>
      <c r="DRM15" s="239"/>
      <c r="DRN15" s="239"/>
      <c r="DRO15" s="239"/>
      <c r="DRP15" s="239"/>
      <c r="DRQ15" s="239"/>
      <c r="DRR15" s="239"/>
      <c r="DRS15" s="239"/>
      <c r="DRT15" s="239"/>
      <c r="DRU15" s="239"/>
      <c r="DRV15" s="239"/>
      <c r="DRW15" s="239"/>
      <c r="DRX15" s="239"/>
      <c r="DRY15" s="239"/>
      <c r="DRZ15" s="239"/>
      <c r="DSA15" s="239"/>
      <c r="DSB15" s="239"/>
      <c r="DSC15" s="239"/>
      <c r="DSD15" s="239"/>
      <c r="DSE15" s="239"/>
      <c r="DSF15" s="239"/>
      <c r="DSG15" s="239"/>
      <c r="DSH15" s="239"/>
      <c r="DSI15" s="239"/>
      <c r="DSJ15" s="239"/>
      <c r="DSK15" s="239"/>
      <c r="DSL15" s="239"/>
      <c r="DSM15" s="239"/>
      <c r="DSN15" s="239"/>
      <c r="DSO15" s="239"/>
      <c r="DSP15" s="239"/>
      <c r="DSQ15" s="239"/>
      <c r="DSR15" s="239"/>
      <c r="DSS15" s="239"/>
      <c r="DST15" s="239"/>
      <c r="DSU15" s="239"/>
      <c r="DSV15" s="239"/>
      <c r="DSW15" s="239"/>
      <c r="DSX15" s="239"/>
      <c r="DSY15" s="239"/>
      <c r="DSZ15" s="239"/>
      <c r="DTA15" s="239"/>
      <c r="DTB15" s="239"/>
      <c r="DTC15" s="239"/>
      <c r="DTD15" s="239"/>
      <c r="DTE15" s="239"/>
      <c r="DTF15" s="239"/>
      <c r="DTG15" s="239"/>
      <c r="DTH15" s="239"/>
      <c r="DTI15" s="239"/>
      <c r="DTJ15" s="239"/>
      <c r="DTK15" s="239"/>
      <c r="DTL15" s="239"/>
      <c r="DTM15" s="239"/>
      <c r="DTN15" s="239"/>
      <c r="DTO15" s="239"/>
      <c r="DTP15" s="239"/>
      <c r="DTQ15" s="239"/>
      <c r="DTR15" s="239"/>
      <c r="DTS15" s="239"/>
      <c r="DTT15" s="239"/>
      <c r="DTU15" s="239"/>
      <c r="DTV15" s="239"/>
      <c r="DTW15" s="239"/>
      <c r="DTX15" s="239"/>
      <c r="DTY15" s="239"/>
      <c r="DTZ15" s="239"/>
      <c r="DUA15" s="239"/>
      <c r="DUB15" s="239"/>
      <c r="DUC15" s="239"/>
      <c r="DUD15" s="239"/>
      <c r="DUE15" s="239"/>
      <c r="DUF15" s="239"/>
      <c r="DUG15" s="239"/>
      <c r="DUH15" s="239"/>
      <c r="DUI15" s="239"/>
      <c r="DUJ15" s="239"/>
      <c r="DUK15" s="239"/>
      <c r="DUL15" s="239"/>
      <c r="DUM15" s="239"/>
      <c r="DUN15" s="239"/>
      <c r="DUO15" s="239"/>
      <c r="DUP15" s="239"/>
      <c r="DUQ15" s="239"/>
      <c r="DUR15" s="239"/>
      <c r="DUS15" s="239"/>
      <c r="DUT15" s="239"/>
      <c r="DUU15" s="239"/>
      <c r="DUV15" s="239"/>
      <c r="DUW15" s="239"/>
      <c r="DUX15" s="239"/>
      <c r="DUY15" s="239"/>
      <c r="DUZ15" s="239"/>
      <c r="DVA15" s="239"/>
      <c r="DVB15" s="239"/>
      <c r="DVC15" s="239"/>
      <c r="DVD15" s="239"/>
      <c r="DVE15" s="239"/>
      <c r="DVF15" s="239"/>
      <c r="DVG15" s="239"/>
      <c r="DVH15" s="239"/>
      <c r="DVI15" s="239"/>
      <c r="DVJ15" s="239"/>
      <c r="DVK15" s="239"/>
      <c r="DVL15" s="239"/>
      <c r="DVM15" s="239"/>
      <c r="DVN15" s="239"/>
      <c r="DVO15" s="239"/>
      <c r="DVP15" s="239"/>
      <c r="DVQ15" s="239"/>
      <c r="DVR15" s="239"/>
      <c r="DVS15" s="239"/>
      <c r="DVT15" s="239"/>
      <c r="DVU15" s="239"/>
      <c r="DVV15" s="239"/>
      <c r="DVW15" s="239"/>
      <c r="DVX15" s="239"/>
      <c r="DVY15" s="239"/>
      <c r="DVZ15" s="239"/>
      <c r="DWA15" s="239"/>
      <c r="DWB15" s="239"/>
      <c r="DWC15" s="239"/>
      <c r="DWD15" s="239"/>
      <c r="DWE15" s="239"/>
      <c r="DWF15" s="239"/>
      <c r="DWG15" s="239"/>
      <c r="DWH15" s="239"/>
      <c r="DWI15" s="239"/>
      <c r="DWJ15" s="239"/>
      <c r="DWK15" s="239"/>
      <c r="DWL15" s="239"/>
      <c r="DWM15" s="239"/>
      <c r="DWN15" s="239"/>
      <c r="DWO15" s="239"/>
      <c r="DWP15" s="239"/>
      <c r="DWQ15" s="239"/>
      <c r="DWR15" s="239"/>
      <c r="DWS15" s="239"/>
      <c r="DWT15" s="239"/>
      <c r="DWU15" s="239"/>
      <c r="DWV15" s="239"/>
      <c r="DWW15" s="239"/>
      <c r="DWX15" s="239"/>
      <c r="DWY15" s="239"/>
      <c r="DWZ15" s="239"/>
      <c r="DXA15" s="239"/>
      <c r="DXB15" s="239"/>
      <c r="DXC15" s="239"/>
      <c r="DXD15" s="239"/>
      <c r="DXE15" s="239"/>
      <c r="DXF15" s="239"/>
      <c r="DXG15" s="239"/>
      <c r="DXH15" s="239"/>
      <c r="DXI15" s="239"/>
      <c r="DXJ15" s="239"/>
      <c r="DXK15" s="239"/>
      <c r="DXL15" s="239"/>
      <c r="DXM15" s="239"/>
      <c r="DXN15" s="239"/>
      <c r="DXO15" s="239"/>
      <c r="DXP15" s="239"/>
      <c r="DXQ15" s="239"/>
      <c r="DXR15" s="239"/>
      <c r="DXS15" s="239"/>
      <c r="DXT15" s="239"/>
      <c r="DXU15" s="239"/>
      <c r="DXV15" s="239"/>
      <c r="DXW15" s="239"/>
      <c r="DXX15" s="239"/>
      <c r="DXY15" s="239"/>
      <c r="DXZ15" s="239"/>
      <c r="DYA15" s="239"/>
      <c r="DYB15" s="239"/>
      <c r="DYC15" s="239"/>
      <c r="DYD15" s="239"/>
      <c r="DYE15" s="239"/>
      <c r="DYF15" s="239"/>
      <c r="DYG15" s="239"/>
      <c r="DYH15" s="239"/>
      <c r="DYI15" s="239"/>
      <c r="DYJ15" s="239"/>
      <c r="DYK15" s="239"/>
      <c r="DYL15" s="239"/>
      <c r="DYM15" s="239"/>
      <c r="DYN15" s="239"/>
      <c r="DYO15" s="239"/>
      <c r="DYP15" s="239"/>
      <c r="DYQ15" s="239"/>
      <c r="DYR15" s="239"/>
      <c r="DYS15" s="239"/>
      <c r="DYT15" s="239"/>
      <c r="DYU15" s="239"/>
      <c r="DYV15" s="239"/>
      <c r="DYW15" s="239"/>
      <c r="DYX15" s="239"/>
      <c r="DYY15" s="239"/>
      <c r="DYZ15" s="239"/>
      <c r="DZA15" s="239"/>
      <c r="DZB15" s="239"/>
      <c r="DZC15" s="239"/>
      <c r="DZD15" s="239"/>
      <c r="DZE15" s="239"/>
      <c r="DZF15" s="239"/>
      <c r="DZG15" s="239"/>
      <c r="DZH15" s="239"/>
      <c r="DZI15" s="239"/>
      <c r="DZJ15" s="239"/>
      <c r="DZK15" s="239"/>
      <c r="DZL15" s="239"/>
      <c r="DZM15" s="239"/>
      <c r="DZN15" s="239"/>
      <c r="DZO15" s="239"/>
      <c r="DZP15" s="239"/>
      <c r="DZQ15" s="239"/>
      <c r="DZR15" s="239"/>
      <c r="DZS15" s="239"/>
      <c r="DZT15" s="239"/>
      <c r="DZU15" s="239"/>
      <c r="DZV15" s="239"/>
      <c r="DZW15" s="239"/>
      <c r="DZX15" s="239"/>
      <c r="DZY15" s="239"/>
      <c r="DZZ15" s="239"/>
      <c r="EAA15" s="239"/>
      <c r="EAB15" s="239"/>
      <c r="EAC15" s="239"/>
      <c r="EAD15" s="239"/>
      <c r="EAE15" s="239"/>
      <c r="EAF15" s="239"/>
      <c r="EAG15" s="239"/>
      <c r="EAH15" s="239"/>
      <c r="EAI15" s="239"/>
      <c r="EAJ15" s="239"/>
      <c r="EAK15" s="239"/>
      <c r="EAL15" s="239"/>
      <c r="EAM15" s="239"/>
      <c r="EAN15" s="239"/>
      <c r="EAO15" s="239"/>
      <c r="EAP15" s="239"/>
      <c r="EAQ15" s="239"/>
      <c r="EAR15" s="239"/>
      <c r="EAS15" s="239"/>
      <c r="EAT15" s="239"/>
      <c r="EAU15" s="239"/>
      <c r="EAV15" s="239"/>
      <c r="EAW15" s="239"/>
      <c r="EAX15" s="239"/>
      <c r="EAY15" s="239"/>
      <c r="EAZ15" s="239"/>
      <c r="EBA15" s="239"/>
      <c r="EBB15" s="239"/>
      <c r="EBC15" s="239"/>
      <c r="EBD15" s="239"/>
      <c r="EBE15" s="239"/>
      <c r="EBF15" s="239"/>
      <c r="EBG15" s="239"/>
      <c r="EBH15" s="239"/>
      <c r="EBI15" s="239"/>
      <c r="EBJ15" s="239"/>
      <c r="EBK15" s="239"/>
      <c r="EBL15" s="239"/>
      <c r="EBM15" s="239"/>
      <c r="EBN15" s="239"/>
      <c r="EBO15" s="239"/>
      <c r="EBP15" s="239"/>
      <c r="EBQ15" s="239"/>
      <c r="EBR15" s="239"/>
      <c r="EBS15" s="239"/>
      <c r="EBT15" s="239"/>
      <c r="EBU15" s="239"/>
      <c r="EBV15" s="239"/>
      <c r="EBW15" s="239"/>
      <c r="EBX15" s="239"/>
      <c r="EBY15" s="239"/>
      <c r="EBZ15" s="239"/>
      <c r="ECA15" s="239"/>
      <c r="ECB15" s="239"/>
      <c r="ECC15" s="239"/>
      <c r="ECD15" s="239"/>
      <c r="ECE15" s="239"/>
      <c r="ECF15" s="239"/>
      <c r="ECG15" s="239"/>
      <c r="ECH15" s="239"/>
      <c r="ECI15" s="239"/>
      <c r="ECJ15" s="239"/>
      <c r="ECK15" s="239"/>
      <c r="ECL15" s="239"/>
      <c r="ECM15" s="239"/>
      <c r="ECN15" s="239"/>
      <c r="ECO15" s="239"/>
      <c r="ECP15" s="239"/>
      <c r="ECQ15" s="239"/>
      <c r="ECR15" s="239"/>
      <c r="ECS15" s="239"/>
      <c r="ECT15" s="239"/>
      <c r="ECU15" s="239"/>
      <c r="ECV15" s="239"/>
      <c r="ECW15" s="239"/>
      <c r="ECX15" s="239"/>
      <c r="ECY15" s="239"/>
      <c r="ECZ15" s="239"/>
      <c r="EDA15" s="239"/>
      <c r="EDB15" s="239"/>
      <c r="EDC15" s="239"/>
      <c r="EDD15" s="239"/>
      <c r="EDE15" s="239"/>
      <c r="EDF15" s="239"/>
      <c r="EDG15" s="239"/>
      <c r="EDH15" s="239"/>
      <c r="EDI15" s="239"/>
      <c r="EDJ15" s="239"/>
      <c r="EDK15" s="239"/>
      <c r="EDL15" s="239"/>
      <c r="EDM15" s="239"/>
      <c r="EDN15" s="239"/>
      <c r="EDO15" s="239"/>
      <c r="EDP15" s="239"/>
      <c r="EDQ15" s="239"/>
      <c r="EDR15" s="239"/>
      <c r="EDS15" s="239"/>
      <c r="EDT15" s="239"/>
      <c r="EDU15" s="239"/>
      <c r="EDV15" s="239"/>
      <c r="EDW15" s="239"/>
      <c r="EDX15" s="239"/>
      <c r="EDY15" s="239"/>
      <c r="EDZ15" s="239"/>
      <c r="EEA15" s="239"/>
      <c r="EEB15" s="239"/>
      <c r="EEC15" s="239"/>
      <c r="EED15" s="239"/>
      <c r="EEE15" s="239"/>
      <c r="EEF15" s="239"/>
      <c r="EEG15" s="239"/>
      <c r="EEH15" s="239"/>
      <c r="EEI15" s="239"/>
      <c r="EEJ15" s="239"/>
      <c r="EEK15" s="239"/>
      <c r="EEL15" s="239"/>
      <c r="EEM15" s="239"/>
      <c r="EEN15" s="239"/>
      <c r="EEO15" s="239"/>
      <c r="EEP15" s="239"/>
      <c r="EEQ15" s="239"/>
      <c r="EER15" s="239"/>
      <c r="EES15" s="239"/>
      <c r="EET15" s="239"/>
      <c r="EEU15" s="239"/>
      <c r="EEV15" s="239"/>
      <c r="EEW15" s="239"/>
      <c r="EEX15" s="239"/>
      <c r="EEY15" s="239"/>
      <c r="EEZ15" s="239"/>
      <c r="EFA15" s="239"/>
      <c r="EFB15" s="239"/>
      <c r="EFC15" s="239"/>
      <c r="EFD15" s="239"/>
      <c r="EFE15" s="239"/>
      <c r="EFF15" s="239"/>
      <c r="EFG15" s="239"/>
      <c r="EFH15" s="239"/>
      <c r="EFI15" s="239"/>
      <c r="EFJ15" s="239"/>
      <c r="EFK15" s="239"/>
      <c r="EFL15" s="239"/>
      <c r="EFM15" s="239"/>
      <c r="EFN15" s="239"/>
      <c r="EFO15" s="239"/>
      <c r="EFP15" s="239"/>
      <c r="EFQ15" s="239"/>
      <c r="EFR15" s="239"/>
      <c r="EFS15" s="239"/>
      <c r="EFT15" s="239"/>
      <c r="EFU15" s="239"/>
      <c r="EFV15" s="239"/>
      <c r="EFW15" s="239"/>
      <c r="EFX15" s="239"/>
      <c r="EFY15" s="239"/>
      <c r="EFZ15" s="239"/>
      <c r="EGA15" s="239"/>
      <c r="EGB15" s="239"/>
      <c r="EGC15" s="239"/>
      <c r="EGD15" s="239"/>
      <c r="EGE15" s="239"/>
      <c r="EGF15" s="239"/>
      <c r="EGG15" s="239"/>
      <c r="EGH15" s="239"/>
      <c r="EGI15" s="239"/>
      <c r="EGJ15" s="239"/>
      <c r="EGK15" s="239"/>
      <c r="EGL15" s="239"/>
      <c r="EGM15" s="239"/>
      <c r="EGN15" s="239"/>
      <c r="EGO15" s="239"/>
      <c r="EGP15" s="239"/>
      <c r="EGQ15" s="239"/>
      <c r="EGR15" s="239"/>
      <c r="EGS15" s="239"/>
      <c r="EGT15" s="239"/>
      <c r="EGU15" s="239"/>
      <c r="EGV15" s="239"/>
      <c r="EGW15" s="239"/>
      <c r="EGX15" s="239"/>
      <c r="EGY15" s="239"/>
      <c r="EGZ15" s="239"/>
      <c r="EHA15" s="239"/>
      <c r="EHB15" s="239"/>
      <c r="EHC15" s="239"/>
      <c r="EHD15" s="239"/>
      <c r="EHE15" s="239"/>
      <c r="EHF15" s="239"/>
      <c r="EHG15" s="239"/>
      <c r="EHH15" s="239"/>
      <c r="EHI15" s="239"/>
      <c r="EHJ15" s="239"/>
      <c r="EHK15" s="239"/>
      <c r="EHL15" s="239"/>
      <c r="EHM15" s="239"/>
      <c r="EHN15" s="239"/>
      <c r="EHO15" s="239"/>
      <c r="EHP15" s="239"/>
      <c r="EHQ15" s="239"/>
      <c r="EHR15" s="239"/>
      <c r="EHS15" s="239"/>
      <c r="EHT15" s="239"/>
      <c r="EHU15" s="239"/>
      <c r="EHV15" s="239"/>
      <c r="EHW15" s="239"/>
      <c r="EHX15" s="239"/>
      <c r="EHY15" s="239"/>
      <c r="EHZ15" s="239"/>
      <c r="EIA15" s="239"/>
      <c r="EIB15" s="239"/>
      <c r="EIC15" s="239"/>
      <c r="EID15" s="239"/>
      <c r="EIE15" s="239"/>
      <c r="EIF15" s="239"/>
      <c r="EIG15" s="239"/>
      <c r="EIH15" s="239"/>
      <c r="EII15" s="239"/>
      <c r="EIJ15" s="239"/>
      <c r="EIK15" s="239"/>
      <c r="EIL15" s="239"/>
      <c r="EIM15" s="239"/>
      <c r="EIN15" s="239"/>
      <c r="EIO15" s="239"/>
      <c r="EIP15" s="239"/>
      <c r="EIQ15" s="239"/>
      <c r="EIR15" s="239"/>
      <c r="EIS15" s="239"/>
      <c r="EIT15" s="239"/>
      <c r="EIU15" s="239"/>
      <c r="EIV15" s="239"/>
      <c r="EIW15" s="239"/>
      <c r="EIX15" s="239"/>
      <c r="EIY15" s="239"/>
      <c r="EIZ15" s="239"/>
      <c r="EJA15" s="239"/>
      <c r="EJB15" s="239"/>
      <c r="EJC15" s="239"/>
      <c r="EJD15" s="239"/>
      <c r="EJE15" s="239"/>
      <c r="EJF15" s="239"/>
      <c r="EJG15" s="239"/>
      <c r="EJH15" s="239"/>
      <c r="EJI15" s="239"/>
      <c r="EJJ15" s="239"/>
      <c r="EJK15" s="239"/>
      <c r="EJL15" s="239"/>
      <c r="EJM15" s="239"/>
      <c r="EJN15" s="239"/>
      <c r="EJO15" s="239"/>
      <c r="EJP15" s="239"/>
      <c r="EJQ15" s="239"/>
      <c r="EJR15" s="239"/>
      <c r="EJS15" s="239"/>
      <c r="EJT15" s="239"/>
      <c r="EJU15" s="239"/>
      <c r="EJV15" s="239"/>
      <c r="EJW15" s="239"/>
      <c r="EJX15" s="239"/>
      <c r="EJY15" s="239"/>
      <c r="EJZ15" s="239"/>
      <c r="EKA15" s="239"/>
      <c r="EKB15" s="239"/>
      <c r="EKC15" s="239"/>
      <c r="EKD15" s="239"/>
      <c r="EKE15" s="239"/>
      <c r="EKF15" s="239"/>
      <c r="EKG15" s="239"/>
      <c r="EKH15" s="239"/>
      <c r="EKI15" s="239"/>
      <c r="EKJ15" s="239"/>
      <c r="EKK15" s="239"/>
      <c r="EKL15" s="239"/>
      <c r="EKM15" s="239"/>
      <c r="EKN15" s="239"/>
      <c r="EKO15" s="239"/>
      <c r="EKP15" s="239"/>
      <c r="EKQ15" s="239"/>
      <c r="EKR15" s="239"/>
      <c r="EKS15" s="239"/>
      <c r="EKT15" s="239"/>
      <c r="EKU15" s="239"/>
      <c r="EKV15" s="239"/>
      <c r="EKW15" s="239"/>
      <c r="EKX15" s="239"/>
      <c r="EKY15" s="239"/>
      <c r="EKZ15" s="239"/>
      <c r="ELA15" s="239"/>
      <c r="ELB15" s="239"/>
      <c r="ELC15" s="239"/>
      <c r="ELD15" s="239"/>
      <c r="ELE15" s="239"/>
      <c r="ELF15" s="239"/>
      <c r="ELG15" s="239"/>
      <c r="ELH15" s="239"/>
      <c r="ELI15" s="239"/>
      <c r="ELJ15" s="239"/>
      <c r="ELK15" s="239"/>
      <c r="ELL15" s="239"/>
      <c r="ELM15" s="239"/>
      <c r="ELN15" s="239"/>
      <c r="ELO15" s="239"/>
      <c r="ELP15" s="239"/>
      <c r="ELQ15" s="239"/>
      <c r="ELR15" s="239"/>
      <c r="ELS15" s="239"/>
      <c r="ELT15" s="239"/>
      <c r="ELU15" s="239"/>
      <c r="ELV15" s="239"/>
      <c r="ELW15" s="239"/>
      <c r="ELX15" s="239"/>
      <c r="ELY15" s="239"/>
      <c r="ELZ15" s="239"/>
      <c r="EMA15" s="239"/>
      <c r="EMB15" s="239"/>
      <c r="EMC15" s="239"/>
      <c r="EMD15" s="239"/>
      <c r="EME15" s="239"/>
      <c r="EMF15" s="239"/>
      <c r="EMG15" s="239"/>
      <c r="EMH15" s="239"/>
      <c r="EMI15" s="239"/>
      <c r="EMJ15" s="239"/>
      <c r="EMK15" s="239"/>
      <c r="EML15" s="239"/>
      <c r="EMM15" s="239"/>
      <c r="EMN15" s="239"/>
      <c r="EMO15" s="239"/>
      <c r="EMP15" s="239"/>
      <c r="EMQ15" s="239"/>
      <c r="EMR15" s="239"/>
      <c r="EMS15" s="239"/>
      <c r="EMT15" s="239"/>
      <c r="EMU15" s="239"/>
      <c r="EMV15" s="239"/>
      <c r="EMW15" s="239"/>
      <c r="EMX15" s="239"/>
      <c r="EMY15" s="239"/>
      <c r="EMZ15" s="239"/>
      <c r="ENA15" s="239"/>
      <c r="ENB15" s="239"/>
      <c r="ENC15" s="239"/>
      <c r="END15" s="239"/>
      <c r="ENE15" s="239"/>
      <c r="ENF15" s="239"/>
      <c r="ENG15" s="239"/>
      <c r="ENH15" s="239"/>
      <c r="ENI15" s="239"/>
      <c r="ENJ15" s="239"/>
      <c r="ENK15" s="239"/>
      <c r="ENL15" s="239"/>
      <c r="ENM15" s="239"/>
      <c r="ENN15" s="239"/>
      <c r="ENO15" s="239"/>
      <c r="ENP15" s="239"/>
      <c r="ENQ15" s="239"/>
      <c r="ENR15" s="239"/>
      <c r="ENS15" s="239"/>
      <c r="ENT15" s="239"/>
      <c r="ENU15" s="239"/>
      <c r="ENV15" s="239"/>
      <c r="ENW15" s="239"/>
      <c r="ENX15" s="239"/>
      <c r="ENY15" s="239"/>
      <c r="ENZ15" s="239"/>
      <c r="EOA15" s="239"/>
      <c r="EOB15" s="239"/>
      <c r="EOC15" s="239"/>
      <c r="EOD15" s="239"/>
      <c r="EOE15" s="239"/>
      <c r="EOF15" s="239"/>
      <c r="EOG15" s="239"/>
      <c r="EOH15" s="239"/>
      <c r="EOI15" s="239"/>
      <c r="EOJ15" s="239"/>
      <c r="EOK15" s="239"/>
      <c r="EOL15" s="239"/>
      <c r="EOM15" s="239"/>
      <c r="EON15" s="239"/>
      <c r="EOO15" s="239"/>
      <c r="EOP15" s="239"/>
      <c r="EOQ15" s="239"/>
      <c r="EOR15" s="239"/>
      <c r="EOS15" s="239"/>
      <c r="EOT15" s="239"/>
      <c r="EOU15" s="239"/>
      <c r="EOV15" s="239"/>
      <c r="EOW15" s="239"/>
      <c r="EOX15" s="239"/>
      <c r="EOY15" s="239"/>
      <c r="EOZ15" s="239"/>
      <c r="EPA15" s="239"/>
      <c r="EPB15" s="239"/>
      <c r="EPC15" s="239"/>
      <c r="EPD15" s="239"/>
      <c r="EPE15" s="239"/>
      <c r="EPF15" s="239"/>
      <c r="EPG15" s="239"/>
      <c r="EPH15" s="239"/>
      <c r="EPI15" s="239"/>
      <c r="EPJ15" s="239"/>
      <c r="EPK15" s="239"/>
      <c r="EPL15" s="239"/>
      <c r="EPM15" s="239"/>
      <c r="EPN15" s="239"/>
      <c r="EPO15" s="239"/>
      <c r="EPP15" s="239"/>
      <c r="EPQ15" s="239"/>
      <c r="EPR15" s="239"/>
      <c r="EPS15" s="239"/>
      <c r="EPT15" s="239"/>
      <c r="EPU15" s="239"/>
      <c r="EPV15" s="239"/>
      <c r="EPW15" s="239"/>
      <c r="EPX15" s="239"/>
      <c r="EPY15" s="239"/>
      <c r="EPZ15" s="239"/>
      <c r="EQA15" s="239"/>
      <c r="EQB15" s="239"/>
      <c r="EQC15" s="239"/>
      <c r="EQD15" s="239"/>
      <c r="EQE15" s="239"/>
      <c r="EQF15" s="239"/>
      <c r="EQG15" s="239"/>
      <c r="EQH15" s="239"/>
      <c r="EQI15" s="239"/>
      <c r="EQJ15" s="239"/>
      <c r="EQK15" s="239"/>
      <c r="EQL15" s="239"/>
      <c r="EQM15" s="239"/>
      <c r="EQN15" s="239"/>
      <c r="EQO15" s="239"/>
      <c r="EQP15" s="239"/>
      <c r="EQQ15" s="239"/>
      <c r="EQR15" s="239"/>
      <c r="EQS15" s="239"/>
      <c r="EQT15" s="239"/>
      <c r="EQU15" s="239"/>
      <c r="EQV15" s="239"/>
      <c r="EQW15" s="239"/>
      <c r="EQX15" s="239"/>
      <c r="EQY15" s="239"/>
      <c r="EQZ15" s="239"/>
      <c r="ERA15" s="239"/>
      <c r="ERB15" s="239"/>
      <c r="ERC15" s="239"/>
      <c r="ERD15" s="239"/>
      <c r="ERE15" s="239"/>
      <c r="ERF15" s="239"/>
      <c r="ERG15" s="239"/>
      <c r="ERH15" s="239"/>
      <c r="ERI15" s="239"/>
      <c r="ERJ15" s="239"/>
      <c r="ERK15" s="239"/>
      <c r="ERL15" s="239"/>
      <c r="ERM15" s="239"/>
      <c r="ERN15" s="239"/>
      <c r="ERO15" s="239"/>
      <c r="ERP15" s="239"/>
      <c r="ERQ15" s="239"/>
      <c r="ERR15" s="239"/>
      <c r="ERS15" s="239"/>
      <c r="ERT15" s="239"/>
      <c r="ERU15" s="239"/>
      <c r="ERV15" s="239"/>
      <c r="ERW15" s="239"/>
      <c r="ERX15" s="239"/>
      <c r="ERY15" s="239"/>
      <c r="ERZ15" s="239"/>
      <c r="ESA15" s="239"/>
      <c r="ESB15" s="239"/>
      <c r="ESC15" s="239"/>
      <c r="ESD15" s="239"/>
      <c r="ESE15" s="239"/>
      <c r="ESF15" s="239"/>
      <c r="ESG15" s="239"/>
      <c r="ESH15" s="239"/>
      <c r="ESI15" s="239"/>
      <c r="ESJ15" s="239"/>
      <c r="ESK15" s="239"/>
      <c r="ESL15" s="239"/>
      <c r="ESM15" s="239"/>
      <c r="ESN15" s="239"/>
      <c r="ESO15" s="239"/>
      <c r="ESP15" s="239"/>
      <c r="ESQ15" s="239"/>
      <c r="ESR15" s="239"/>
      <c r="ESS15" s="239"/>
      <c r="EST15" s="239"/>
      <c r="ESU15" s="239"/>
      <c r="ESV15" s="239"/>
      <c r="ESW15" s="239"/>
      <c r="ESX15" s="239"/>
      <c r="ESY15" s="239"/>
      <c r="ESZ15" s="239"/>
      <c r="ETA15" s="239"/>
      <c r="ETB15" s="239"/>
      <c r="ETC15" s="239"/>
      <c r="ETD15" s="239"/>
      <c r="ETE15" s="239"/>
      <c r="ETF15" s="239"/>
      <c r="ETG15" s="239"/>
      <c r="ETH15" s="239"/>
      <c r="ETI15" s="239"/>
      <c r="ETJ15" s="239"/>
      <c r="ETK15" s="239"/>
      <c r="ETL15" s="239"/>
      <c r="ETM15" s="239"/>
      <c r="ETN15" s="239"/>
      <c r="ETO15" s="239"/>
      <c r="ETP15" s="239"/>
      <c r="ETQ15" s="239"/>
      <c r="ETR15" s="239"/>
      <c r="ETS15" s="239"/>
      <c r="ETT15" s="239"/>
      <c r="ETU15" s="239"/>
      <c r="ETV15" s="239"/>
      <c r="ETW15" s="239"/>
      <c r="ETX15" s="239"/>
      <c r="ETY15" s="239"/>
      <c r="ETZ15" s="239"/>
      <c r="EUA15" s="239"/>
      <c r="EUB15" s="239"/>
      <c r="EUC15" s="239"/>
      <c r="EUD15" s="239"/>
      <c r="EUE15" s="239"/>
      <c r="EUF15" s="239"/>
      <c r="EUG15" s="239"/>
      <c r="EUH15" s="239"/>
      <c r="EUI15" s="239"/>
      <c r="EUJ15" s="239"/>
      <c r="EUK15" s="239"/>
      <c r="EUL15" s="239"/>
      <c r="EUM15" s="239"/>
      <c r="EUN15" s="239"/>
      <c r="EUO15" s="239"/>
      <c r="EUP15" s="239"/>
      <c r="EUQ15" s="239"/>
      <c r="EUR15" s="239"/>
      <c r="EUS15" s="239"/>
      <c r="EUT15" s="239"/>
      <c r="EUU15" s="239"/>
      <c r="EUV15" s="239"/>
      <c r="EUW15" s="239"/>
      <c r="EUX15" s="239"/>
      <c r="EUY15" s="239"/>
      <c r="EUZ15" s="239"/>
      <c r="EVA15" s="239"/>
      <c r="EVB15" s="239"/>
      <c r="EVC15" s="239"/>
      <c r="EVD15" s="239"/>
      <c r="EVE15" s="239"/>
      <c r="EVF15" s="239"/>
      <c r="EVG15" s="239"/>
      <c r="EVH15" s="239"/>
      <c r="EVI15" s="239"/>
      <c r="EVJ15" s="239"/>
      <c r="EVK15" s="239"/>
      <c r="EVL15" s="239"/>
      <c r="EVM15" s="239"/>
      <c r="EVN15" s="239"/>
      <c r="EVO15" s="239"/>
      <c r="EVP15" s="239"/>
      <c r="EVQ15" s="239"/>
      <c r="EVR15" s="239"/>
      <c r="EVS15" s="239"/>
      <c r="EVT15" s="239"/>
      <c r="EVU15" s="239"/>
      <c r="EVV15" s="239"/>
      <c r="EVW15" s="239"/>
      <c r="EVX15" s="239"/>
      <c r="EVY15" s="239"/>
      <c r="EVZ15" s="239"/>
      <c r="EWA15" s="239"/>
      <c r="EWB15" s="239"/>
      <c r="EWC15" s="239"/>
      <c r="EWD15" s="239"/>
      <c r="EWE15" s="239"/>
      <c r="EWF15" s="239"/>
      <c r="EWG15" s="239"/>
      <c r="EWH15" s="239"/>
      <c r="EWI15" s="239"/>
      <c r="EWJ15" s="239"/>
      <c r="EWK15" s="239"/>
      <c r="EWL15" s="239"/>
      <c r="EWM15" s="239"/>
      <c r="EWN15" s="239"/>
      <c r="EWO15" s="239"/>
      <c r="EWP15" s="239"/>
      <c r="EWQ15" s="239"/>
      <c r="EWR15" s="239"/>
      <c r="EWS15" s="239"/>
      <c r="EWT15" s="239"/>
      <c r="EWU15" s="239"/>
      <c r="EWV15" s="239"/>
      <c r="EWW15" s="239"/>
      <c r="EWX15" s="239"/>
      <c r="EWY15" s="239"/>
      <c r="EWZ15" s="239"/>
      <c r="EXA15" s="239"/>
      <c r="EXB15" s="239"/>
      <c r="EXC15" s="239"/>
      <c r="EXD15" s="239"/>
      <c r="EXE15" s="239"/>
      <c r="EXF15" s="239"/>
      <c r="EXG15" s="239"/>
      <c r="EXH15" s="239"/>
      <c r="EXI15" s="239"/>
      <c r="EXJ15" s="239"/>
      <c r="EXK15" s="239"/>
      <c r="EXL15" s="239"/>
      <c r="EXM15" s="239"/>
      <c r="EXN15" s="239"/>
      <c r="EXO15" s="239"/>
      <c r="EXP15" s="239"/>
      <c r="EXQ15" s="239"/>
      <c r="EXR15" s="239"/>
      <c r="EXS15" s="239"/>
      <c r="EXT15" s="239"/>
      <c r="EXU15" s="239"/>
      <c r="EXV15" s="239"/>
      <c r="EXW15" s="239"/>
      <c r="EXX15" s="239"/>
      <c r="EXY15" s="239"/>
      <c r="EXZ15" s="239"/>
      <c r="EYA15" s="239"/>
      <c r="EYB15" s="239"/>
      <c r="EYC15" s="239"/>
      <c r="EYD15" s="239"/>
      <c r="EYE15" s="239"/>
      <c r="EYF15" s="239"/>
      <c r="EYG15" s="239"/>
      <c r="EYH15" s="239"/>
      <c r="EYI15" s="239"/>
      <c r="EYJ15" s="239"/>
      <c r="EYK15" s="239"/>
      <c r="EYL15" s="239"/>
      <c r="EYM15" s="239"/>
      <c r="EYN15" s="239"/>
      <c r="EYO15" s="239"/>
      <c r="EYP15" s="239"/>
      <c r="EYQ15" s="239"/>
      <c r="EYR15" s="239"/>
      <c r="EYS15" s="239"/>
      <c r="EYT15" s="239"/>
      <c r="EYU15" s="239"/>
      <c r="EYV15" s="239"/>
      <c r="EYW15" s="239"/>
      <c r="EYX15" s="239"/>
      <c r="EYY15" s="239"/>
      <c r="EYZ15" s="239"/>
      <c r="EZA15" s="239"/>
      <c r="EZB15" s="239"/>
      <c r="EZC15" s="239"/>
      <c r="EZD15" s="239"/>
      <c r="EZE15" s="239"/>
      <c r="EZF15" s="239"/>
      <c r="EZG15" s="239"/>
      <c r="EZH15" s="239"/>
      <c r="EZI15" s="239"/>
      <c r="EZJ15" s="239"/>
      <c r="EZK15" s="239"/>
      <c r="EZL15" s="239"/>
      <c r="EZM15" s="239"/>
      <c r="EZN15" s="239"/>
      <c r="EZO15" s="239"/>
      <c r="EZP15" s="239"/>
      <c r="EZQ15" s="239"/>
      <c r="EZR15" s="239"/>
      <c r="EZS15" s="239"/>
      <c r="EZT15" s="239"/>
      <c r="EZU15" s="239"/>
      <c r="EZV15" s="239"/>
      <c r="EZW15" s="239"/>
      <c r="EZX15" s="239"/>
      <c r="EZY15" s="239"/>
      <c r="EZZ15" s="239"/>
      <c r="FAA15" s="239"/>
      <c r="FAB15" s="239"/>
      <c r="FAC15" s="239"/>
      <c r="FAD15" s="239"/>
      <c r="FAE15" s="239"/>
      <c r="FAF15" s="239"/>
      <c r="FAG15" s="239"/>
      <c r="FAH15" s="239"/>
      <c r="FAI15" s="239"/>
      <c r="FAJ15" s="239"/>
      <c r="FAK15" s="239"/>
      <c r="FAL15" s="239"/>
      <c r="FAM15" s="239"/>
      <c r="FAN15" s="239"/>
      <c r="FAO15" s="239"/>
      <c r="FAP15" s="239"/>
      <c r="FAQ15" s="239"/>
      <c r="FAR15" s="239"/>
      <c r="FAS15" s="239"/>
      <c r="FAT15" s="239"/>
      <c r="FAU15" s="239"/>
      <c r="FAV15" s="239"/>
      <c r="FAW15" s="239"/>
      <c r="FAX15" s="239"/>
      <c r="FAY15" s="239"/>
      <c r="FAZ15" s="239"/>
      <c r="FBA15" s="239"/>
      <c r="FBB15" s="239"/>
      <c r="FBC15" s="239"/>
      <c r="FBD15" s="239"/>
      <c r="FBE15" s="239"/>
      <c r="FBF15" s="239"/>
      <c r="FBG15" s="239"/>
      <c r="FBH15" s="239"/>
      <c r="FBI15" s="239"/>
      <c r="FBJ15" s="239"/>
      <c r="FBK15" s="239"/>
      <c r="FBL15" s="239"/>
      <c r="FBM15" s="239"/>
      <c r="FBN15" s="239"/>
      <c r="FBO15" s="239"/>
      <c r="FBP15" s="239"/>
      <c r="FBQ15" s="239"/>
      <c r="FBR15" s="239"/>
      <c r="FBS15" s="239"/>
      <c r="FBT15" s="239"/>
      <c r="FBU15" s="239"/>
      <c r="FBV15" s="239"/>
      <c r="FBW15" s="239"/>
      <c r="FBX15" s="239"/>
      <c r="FBY15" s="239"/>
      <c r="FBZ15" s="239"/>
      <c r="FCA15" s="239"/>
      <c r="FCB15" s="239"/>
      <c r="FCC15" s="239"/>
      <c r="FCD15" s="239"/>
      <c r="FCE15" s="239"/>
      <c r="FCF15" s="239"/>
      <c r="FCG15" s="239"/>
      <c r="FCH15" s="239"/>
      <c r="FCI15" s="239"/>
      <c r="FCJ15" s="239"/>
      <c r="FCK15" s="239"/>
      <c r="FCL15" s="239"/>
      <c r="FCM15" s="239"/>
      <c r="FCN15" s="239"/>
      <c r="FCO15" s="239"/>
      <c r="FCP15" s="239"/>
      <c r="FCQ15" s="239"/>
      <c r="FCR15" s="239"/>
      <c r="FCS15" s="239"/>
      <c r="FCT15" s="239"/>
      <c r="FCU15" s="239"/>
      <c r="FCV15" s="239"/>
      <c r="FCW15" s="239"/>
      <c r="FCX15" s="239"/>
      <c r="FCY15" s="239"/>
      <c r="FCZ15" s="239"/>
      <c r="FDA15" s="239"/>
      <c r="FDB15" s="239"/>
      <c r="FDC15" s="239"/>
      <c r="FDD15" s="239"/>
      <c r="FDE15" s="239"/>
      <c r="FDF15" s="239"/>
      <c r="FDG15" s="239"/>
      <c r="FDH15" s="239"/>
      <c r="FDI15" s="239"/>
      <c r="FDJ15" s="239"/>
      <c r="FDK15" s="239"/>
      <c r="FDL15" s="239"/>
      <c r="FDM15" s="239"/>
      <c r="FDN15" s="239"/>
      <c r="FDO15" s="239"/>
      <c r="FDP15" s="239"/>
      <c r="FDQ15" s="239"/>
      <c r="FDR15" s="239"/>
      <c r="FDS15" s="239"/>
      <c r="FDT15" s="239"/>
      <c r="FDU15" s="239"/>
      <c r="FDV15" s="239"/>
      <c r="FDW15" s="239"/>
      <c r="FDX15" s="239"/>
      <c r="FDY15" s="239"/>
      <c r="FDZ15" s="239"/>
      <c r="FEA15" s="239"/>
      <c r="FEB15" s="239"/>
      <c r="FEC15" s="239"/>
      <c r="FED15" s="239"/>
      <c r="FEE15" s="239"/>
      <c r="FEF15" s="239"/>
      <c r="FEG15" s="239"/>
      <c r="FEH15" s="239"/>
      <c r="FEI15" s="239"/>
      <c r="FEJ15" s="239"/>
      <c r="FEK15" s="239"/>
      <c r="FEL15" s="239"/>
      <c r="FEM15" s="239"/>
      <c r="FEN15" s="239"/>
      <c r="FEO15" s="239"/>
      <c r="FEP15" s="239"/>
      <c r="FEQ15" s="239"/>
      <c r="FER15" s="239"/>
      <c r="FES15" s="239"/>
      <c r="FET15" s="239"/>
      <c r="FEU15" s="239"/>
      <c r="FEV15" s="239"/>
      <c r="FEW15" s="239"/>
      <c r="FEX15" s="239"/>
      <c r="FEY15" s="239"/>
      <c r="FEZ15" s="239"/>
      <c r="FFA15" s="239"/>
      <c r="FFB15" s="239"/>
      <c r="FFC15" s="239"/>
      <c r="FFD15" s="239"/>
      <c r="FFE15" s="239"/>
      <c r="FFF15" s="239"/>
      <c r="FFG15" s="239"/>
      <c r="FFH15" s="239"/>
      <c r="FFI15" s="239"/>
      <c r="FFJ15" s="239"/>
      <c r="FFK15" s="239"/>
      <c r="FFL15" s="239"/>
      <c r="FFM15" s="239"/>
      <c r="FFN15" s="239"/>
      <c r="FFO15" s="239"/>
      <c r="FFP15" s="239"/>
      <c r="FFQ15" s="239"/>
      <c r="FFR15" s="239"/>
      <c r="FFS15" s="239"/>
      <c r="FFT15" s="239"/>
      <c r="FFU15" s="239"/>
      <c r="FFV15" s="239"/>
      <c r="FFW15" s="239"/>
      <c r="FFX15" s="239"/>
      <c r="FFY15" s="239"/>
      <c r="FFZ15" s="239"/>
      <c r="FGA15" s="239"/>
      <c r="FGB15" s="239"/>
      <c r="FGC15" s="239"/>
      <c r="FGD15" s="239"/>
      <c r="FGE15" s="239"/>
      <c r="FGF15" s="239"/>
      <c r="FGG15" s="239"/>
      <c r="FGH15" s="239"/>
      <c r="FGI15" s="239"/>
      <c r="FGJ15" s="239"/>
      <c r="FGK15" s="239"/>
      <c r="FGL15" s="239"/>
      <c r="FGM15" s="239"/>
      <c r="FGN15" s="239"/>
      <c r="FGO15" s="239"/>
      <c r="FGP15" s="239"/>
      <c r="FGQ15" s="239"/>
      <c r="FGR15" s="239"/>
      <c r="FGS15" s="239"/>
      <c r="FGT15" s="239"/>
      <c r="FGU15" s="239"/>
      <c r="FGV15" s="239"/>
      <c r="FGW15" s="239"/>
      <c r="FGX15" s="239"/>
      <c r="FGY15" s="239"/>
      <c r="FGZ15" s="239"/>
      <c r="FHA15" s="239"/>
      <c r="FHB15" s="239"/>
      <c r="FHC15" s="239"/>
      <c r="FHD15" s="239"/>
      <c r="FHE15" s="239"/>
      <c r="FHF15" s="239"/>
      <c r="FHG15" s="239"/>
      <c r="FHH15" s="239"/>
      <c r="FHI15" s="239"/>
      <c r="FHJ15" s="239"/>
      <c r="FHK15" s="239"/>
      <c r="FHL15" s="239"/>
      <c r="FHM15" s="239"/>
      <c r="FHN15" s="239"/>
      <c r="FHO15" s="239"/>
      <c r="FHP15" s="239"/>
      <c r="FHQ15" s="239"/>
      <c r="FHR15" s="239"/>
      <c r="FHS15" s="239"/>
      <c r="FHT15" s="239"/>
      <c r="FHU15" s="239"/>
      <c r="FHV15" s="239"/>
      <c r="FHW15" s="239"/>
      <c r="FHX15" s="239"/>
      <c r="FHY15" s="239"/>
      <c r="FHZ15" s="239"/>
      <c r="FIA15" s="239"/>
      <c r="FIB15" s="239"/>
      <c r="FIC15" s="239"/>
      <c r="FID15" s="239"/>
      <c r="FIE15" s="239"/>
      <c r="FIF15" s="239"/>
      <c r="FIG15" s="239"/>
      <c r="FIH15" s="239"/>
      <c r="FII15" s="239"/>
      <c r="FIJ15" s="239"/>
      <c r="FIK15" s="239"/>
      <c r="FIL15" s="239"/>
      <c r="FIM15" s="239"/>
      <c r="FIN15" s="239"/>
      <c r="FIO15" s="239"/>
      <c r="FIP15" s="239"/>
      <c r="FIQ15" s="239"/>
      <c r="FIR15" s="239"/>
      <c r="FIS15" s="239"/>
      <c r="FIT15" s="239"/>
      <c r="FIU15" s="239"/>
      <c r="FIV15" s="239"/>
      <c r="FIW15" s="239"/>
      <c r="FIX15" s="239"/>
      <c r="FIY15" s="239"/>
      <c r="FIZ15" s="239"/>
      <c r="FJA15" s="239"/>
      <c r="FJB15" s="239"/>
      <c r="FJC15" s="239"/>
      <c r="FJD15" s="239"/>
      <c r="FJE15" s="239"/>
      <c r="FJF15" s="239"/>
      <c r="FJG15" s="239"/>
      <c r="FJH15" s="239"/>
      <c r="FJI15" s="239"/>
      <c r="FJJ15" s="239"/>
      <c r="FJK15" s="239"/>
      <c r="FJL15" s="239"/>
      <c r="FJM15" s="239"/>
      <c r="FJN15" s="239"/>
      <c r="FJO15" s="239"/>
      <c r="FJP15" s="239"/>
      <c r="FJQ15" s="239"/>
      <c r="FJR15" s="239"/>
      <c r="FJS15" s="239"/>
      <c r="FJT15" s="239"/>
      <c r="FJU15" s="239"/>
      <c r="FJV15" s="239"/>
      <c r="FJW15" s="239"/>
      <c r="FJX15" s="239"/>
      <c r="FJY15" s="239"/>
      <c r="FJZ15" s="239"/>
      <c r="FKA15" s="239"/>
      <c r="FKB15" s="239"/>
      <c r="FKC15" s="239"/>
      <c r="FKD15" s="239"/>
      <c r="FKE15" s="239"/>
      <c r="FKF15" s="239"/>
      <c r="FKG15" s="239"/>
      <c r="FKH15" s="239"/>
      <c r="FKI15" s="239"/>
      <c r="FKJ15" s="239"/>
      <c r="FKK15" s="239"/>
      <c r="FKL15" s="239"/>
      <c r="FKM15" s="239"/>
      <c r="FKN15" s="239"/>
      <c r="FKO15" s="239"/>
      <c r="FKP15" s="239"/>
      <c r="FKQ15" s="239"/>
      <c r="FKR15" s="239"/>
      <c r="FKS15" s="239"/>
      <c r="FKT15" s="239"/>
      <c r="FKU15" s="239"/>
      <c r="FKV15" s="239"/>
      <c r="FKW15" s="239"/>
      <c r="FKX15" s="239"/>
      <c r="FKY15" s="239"/>
      <c r="FKZ15" s="239"/>
      <c r="FLA15" s="239"/>
      <c r="FLB15" s="239"/>
      <c r="FLC15" s="239"/>
      <c r="FLD15" s="239"/>
      <c r="FLE15" s="239"/>
      <c r="FLF15" s="239"/>
      <c r="FLG15" s="239"/>
      <c r="FLH15" s="239"/>
      <c r="FLI15" s="239"/>
      <c r="FLJ15" s="239"/>
      <c r="FLK15" s="239"/>
      <c r="FLL15" s="239"/>
      <c r="FLM15" s="239"/>
      <c r="FLN15" s="239"/>
      <c r="FLO15" s="239"/>
      <c r="FLP15" s="239"/>
      <c r="FLQ15" s="239"/>
      <c r="FLR15" s="239"/>
      <c r="FLS15" s="239"/>
      <c r="FLT15" s="239"/>
      <c r="FLU15" s="239"/>
      <c r="FLV15" s="239"/>
      <c r="FLW15" s="239"/>
      <c r="FLX15" s="239"/>
      <c r="FLY15" s="239"/>
      <c r="FLZ15" s="239"/>
      <c r="FMA15" s="239"/>
      <c r="FMB15" s="239"/>
      <c r="FMC15" s="239"/>
      <c r="FMD15" s="239"/>
      <c r="FME15" s="239"/>
      <c r="FMF15" s="239"/>
      <c r="FMG15" s="239"/>
      <c r="FMH15" s="239"/>
      <c r="FMI15" s="239"/>
      <c r="FMJ15" s="239"/>
      <c r="FMK15" s="239"/>
      <c r="FML15" s="239"/>
      <c r="FMM15" s="239"/>
      <c r="FMN15" s="239"/>
      <c r="FMO15" s="239"/>
      <c r="FMP15" s="239"/>
      <c r="FMQ15" s="239"/>
      <c r="FMR15" s="239"/>
      <c r="FMS15" s="239"/>
      <c r="FMT15" s="239"/>
      <c r="FMU15" s="239"/>
      <c r="FMV15" s="239"/>
      <c r="FMW15" s="239"/>
      <c r="FMX15" s="239"/>
      <c r="FMY15" s="239"/>
      <c r="FMZ15" s="239"/>
      <c r="FNA15" s="239"/>
      <c r="FNB15" s="239"/>
      <c r="FNC15" s="239"/>
      <c r="FND15" s="239"/>
      <c r="FNE15" s="239"/>
      <c r="FNF15" s="239"/>
      <c r="FNG15" s="239"/>
      <c r="FNH15" s="239"/>
      <c r="FNI15" s="239"/>
      <c r="FNJ15" s="239"/>
      <c r="FNK15" s="239"/>
      <c r="FNL15" s="239"/>
      <c r="FNM15" s="239"/>
      <c r="FNN15" s="239"/>
      <c r="FNO15" s="239"/>
      <c r="FNP15" s="239"/>
      <c r="FNQ15" s="239"/>
      <c r="FNR15" s="239"/>
      <c r="FNS15" s="239"/>
      <c r="FNT15" s="239"/>
      <c r="FNU15" s="239"/>
      <c r="FNV15" s="239"/>
      <c r="FNW15" s="239"/>
      <c r="FNX15" s="239"/>
      <c r="FNY15" s="239"/>
      <c r="FNZ15" s="239"/>
      <c r="FOA15" s="239"/>
      <c r="FOB15" s="239"/>
      <c r="FOC15" s="239"/>
      <c r="FOD15" s="239"/>
      <c r="FOE15" s="239"/>
      <c r="FOF15" s="239"/>
      <c r="FOG15" s="239"/>
      <c r="FOH15" s="239"/>
      <c r="FOI15" s="239"/>
      <c r="FOJ15" s="239"/>
      <c r="FOK15" s="239"/>
      <c r="FOL15" s="239"/>
      <c r="FOM15" s="239"/>
      <c r="FON15" s="239"/>
      <c r="FOO15" s="239"/>
      <c r="FOP15" s="239"/>
      <c r="FOQ15" s="239"/>
      <c r="FOR15" s="239"/>
      <c r="FOS15" s="239"/>
      <c r="FOT15" s="239"/>
      <c r="FOU15" s="239"/>
      <c r="FOV15" s="239"/>
      <c r="FOW15" s="239"/>
      <c r="FOX15" s="239"/>
      <c r="FOY15" s="239"/>
      <c r="FOZ15" s="239"/>
      <c r="FPA15" s="239"/>
      <c r="FPB15" s="239"/>
      <c r="FPC15" s="239"/>
      <c r="FPD15" s="239"/>
      <c r="FPE15" s="239"/>
      <c r="FPF15" s="239"/>
      <c r="FPG15" s="239"/>
      <c r="FPH15" s="239"/>
      <c r="FPI15" s="239"/>
      <c r="FPJ15" s="239"/>
      <c r="FPK15" s="239"/>
      <c r="FPL15" s="239"/>
      <c r="FPM15" s="239"/>
      <c r="FPN15" s="239"/>
      <c r="FPO15" s="239"/>
      <c r="FPP15" s="239"/>
      <c r="FPQ15" s="239"/>
      <c r="FPR15" s="239"/>
      <c r="FPS15" s="239"/>
      <c r="FPT15" s="239"/>
      <c r="FPU15" s="239"/>
      <c r="FPV15" s="239"/>
      <c r="FPW15" s="239"/>
      <c r="FPX15" s="239"/>
      <c r="FPY15" s="239"/>
      <c r="FPZ15" s="239"/>
      <c r="FQA15" s="239"/>
      <c r="FQB15" s="239"/>
      <c r="FQC15" s="239"/>
      <c r="FQD15" s="239"/>
      <c r="FQE15" s="239"/>
      <c r="FQF15" s="239"/>
      <c r="FQG15" s="239"/>
      <c r="FQH15" s="239"/>
      <c r="FQI15" s="239"/>
      <c r="FQJ15" s="239"/>
      <c r="FQK15" s="239"/>
      <c r="FQL15" s="239"/>
      <c r="FQM15" s="239"/>
      <c r="FQN15" s="239"/>
      <c r="FQO15" s="239"/>
      <c r="FQP15" s="239"/>
      <c r="FQQ15" s="239"/>
      <c r="FQR15" s="239"/>
      <c r="FQS15" s="239"/>
      <c r="FQT15" s="239"/>
      <c r="FQU15" s="239"/>
      <c r="FQV15" s="239"/>
      <c r="FQW15" s="239"/>
      <c r="FQX15" s="239"/>
      <c r="FQY15" s="239"/>
      <c r="FQZ15" s="239"/>
      <c r="FRA15" s="239"/>
      <c r="FRB15" s="239"/>
      <c r="FRC15" s="239"/>
      <c r="FRD15" s="239"/>
      <c r="FRE15" s="239"/>
      <c r="FRF15" s="239"/>
      <c r="FRG15" s="239"/>
      <c r="FRH15" s="239"/>
      <c r="FRI15" s="239"/>
      <c r="FRJ15" s="239"/>
      <c r="FRK15" s="239"/>
      <c r="FRL15" s="239"/>
      <c r="FRM15" s="239"/>
      <c r="FRN15" s="239"/>
      <c r="FRO15" s="239"/>
      <c r="FRP15" s="239"/>
      <c r="FRQ15" s="239"/>
      <c r="FRR15" s="239"/>
      <c r="FRS15" s="239"/>
      <c r="FRT15" s="239"/>
      <c r="FRU15" s="239"/>
      <c r="FRV15" s="239"/>
      <c r="FRW15" s="239"/>
      <c r="FRX15" s="239"/>
      <c r="FRY15" s="239"/>
      <c r="FRZ15" s="239"/>
      <c r="FSA15" s="239"/>
      <c r="FSB15" s="239"/>
      <c r="FSC15" s="239"/>
      <c r="FSD15" s="239"/>
      <c r="FSE15" s="239"/>
      <c r="FSF15" s="239"/>
      <c r="FSG15" s="239"/>
      <c r="FSH15" s="239"/>
      <c r="FSI15" s="239"/>
      <c r="FSJ15" s="239"/>
      <c r="FSK15" s="239"/>
      <c r="FSL15" s="239"/>
      <c r="FSM15" s="239"/>
      <c r="FSN15" s="239"/>
      <c r="FSO15" s="239"/>
      <c r="FSP15" s="239"/>
      <c r="FSQ15" s="239"/>
      <c r="FSR15" s="239"/>
      <c r="FSS15" s="239"/>
      <c r="FST15" s="239"/>
      <c r="FSU15" s="239"/>
      <c r="FSV15" s="239"/>
      <c r="FSW15" s="239"/>
      <c r="FSX15" s="239"/>
      <c r="FSY15" s="239"/>
      <c r="FSZ15" s="239"/>
      <c r="FTA15" s="239"/>
      <c r="FTB15" s="239"/>
      <c r="FTC15" s="239"/>
      <c r="FTD15" s="239"/>
      <c r="FTE15" s="239"/>
      <c r="FTF15" s="239"/>
      <c r="FTG15" s="239"/>
      <c r="FTH15" s="239"/>
      <c r="FTI15" s="239"/>
      <c r="FTJ15" s="239"/>
      <c r="FTK15" s="239"/>
      <c r="FTL15" s="239"/>
      <c r="FTM15" s="239"/>
      <c r="FTN15" s="239"/>
      <c r="FTO15" s="239"/>
      <c r="FTP15" s="239"/>
      <c r="FTQ15" s="239"/>
      <c r="FTR15" s="239"/>
      <c r="FTS15" s="239"/>
      <c r="FTT15" s="239"/>
      <c r="FTU15" s="239"/>
      <c r="FTV15" s="239"/>
      <c r="FTW15" s="239"/>
      <c r="FTX15" s="239"/>
      <c r="FTY15" s="239"/>
      <c r="FTZ15" s="239"/>
      <c r="FUA15" s="239"/>
      <c r="FUB15" s="239"/>
      <c r="FUC15" s="239"/>
      <c r="FUD15" s="239"/>
      <c r="FUE15" s="239"/>
      <c r="FUF15" s="239"/>
      <c r="FUG15" s="239"/>
      <c r="FUH15" s="239"/>
      <c r="FUI15" s="239"/>
      <c r="FUJ15" s="239"/>
      <c r="FUK15" s="239"/>
      <c r="FUL15" s="239"/>
      <c r="FUM15" s="239"/>
      <c r="FUN15" s="239"/>
      <c r="FUO15" s="239"/>
      <c r="FUP15" s="239"/>
      <c r="FUQ15" s="239"/>
      <c r="FUR15" s="239"/>
      <c r="FUS15" s="239"/>
      <c r="FUT15" s="239"/>
      <c r="FUU15" s="239"/>
      <c r="FUV15" s="239"/>
      <c r="FUW15" s="239"/>
      <c r="FUX15" s="239"/>
      <c r="FUY15" s="239"/>
      <c r="FUZ15" s="239"/>
      <c r="FVA15" s="239"/>
      <c r="FVB15" s="239"/>
      <c r="FVC15" s="239"/>
      <c r="FVD15" s="239"/>
      <c r="FVE15" s="239"/>
      <c r="FVF15" s="239"/>
      <c r="FVG15" s="239"/>
      <c r="FVH15" s="239"/>
      <c r="FVI15" s="239"/>
      <c r="FVJ15" s="239"/>
      <c r="FVK15" s="239"/>
      <c r="FVL15" s="239"/>
      <c r="FVM15" s="239"/>
      <c r="FVN15" s="239"/>
      <c r="FVO15" s="239"/>
      <c r="FVP15" s="239"/>
      <c r="FVQ15" s="239"/>
      <c r="FVR15" s="239"/>
      <c r="FVS15" s="239"/>
      <c r="FVT15" s="239"/>
      <c r="FVU15" s="239"/>
      <c r="FVV15" s="239"/>
      <c r="FVW15" s="239"/>
      <c r="FVX15" s="239"/>
      <c r="FVY15" s="239"/>
      <c r="FVZ15" s="239"/>
      <c r="FWA15" s="239"/>
      <c r="FWB15" s="239"/>
      <c r="FWC15" s="239"/>
      <c r="FWD15" s="239"/>
      <c r="FWE15" s="239"/>
      <c r="FWF15" s="239"/>
      <c r="FWG15" s="239"/>
      <c r="FWH15" s="239"/>
      <c r="FWI15" s="239"/>
      <c r="FWJ15" s="239"/>
      <c r="FWK15" s="239"/>
      <c r="FWL15" s="239"/>
      <c r="FWM15" s="239"/>
      <c r="FWN15" s="239"/>
      <c r="FWO15" s="239"/>
      <c r="FWP15" s="239"/>
      <c r="FWQ15" s="239"/>
      <c r="FWR15" s="239"/>
      <c r="FWS15" s="239"/>
      <c r="FWT15" s="239"/>
      <c r="FWU15" s="239"/>
      <c r="FWV15" s="239"/>
      <c r="FWW15" s="239"/>
      <c r="FWX15" s="239"/>
      <c r="FWY15" s="239"/>
      <c r="FWZ15" s="239"/>
      <c r="FXA15" s="239"/>
      <c r="FXB15" s="239"/>
      <c r="FXC15" s="239"/>
      <c r="FXD15" s="239"/>
      <c r="FXE15" s="239"/>
      <c r="FXF15" s="239"/>
      <c r="FXG15" s="239"/>
      <c r="FXH15" s="239"/>
      <c r="FXI15" s="239"/>
      <c r="FXJ15" s="239"/>
      <c r="FXK15" s="239"/>
      <c r="FXL15" s="239"/>
      <c r="FXM15" s="239"/>
      <c r="FXN15" s="239"/>
      <c r="FXO15" s="239"/>
      <c r="FXP15" s="239"/>
      <c r="FXQ15" s="239"/>
      <c r="FXR15" s="239"/>
      <c r="FXS15" s="239"/>
      <c r="FXT15" s="239"/>
      <c r="FXU15" s="239"/>
      <c r="FXV15" s="239"/>
      <c r="FXW15" s="239"/>
      <c r="FXX15" s="239"/>
      <c r="FXY15" s="239"/>
      <c r="FXZ15" s="239"/>
      <c r="FYA15" s="239"/>
      <c r="FYB15" s="239"/>
      <c r="FYC15" s="239"/>
      <c r="FYD15" s="239"/>
      <c r="FYE15" s="239"/>
      <c r="FYF15" s="239"/>
      <c r="FYG15" s="239"/>
      <c r="FYH15" s="239"/>
      <c r="FYI15" s="239"/>
      <c r="FYJ15" s="239"/>
      <c r="FYK15" s="239"/>
      <c r="FYL15" s="239"/>
      <c r="FYM15" s="239"/>
      <c r="FYN15" s="239"/>
      <c r="FYO15" s="239"/>
      <c r="FYP15" s="239"/>
      <c r="FYQ15" s="239"/>
      <c r="FYR15" s="239"/>
      <c r="FYS15" s="239"/>
      <c r="FYT15" s="239"/>
      <c r="FYU15" s="239"/>
      <c r="FYV15" s="239"/>
      <c r="FYW15" s="239"/>
      <c r="FYX15" s="239"/>
      <c r="FYY15" s="239"/>
      <c r="FYZ15" s="239"/>
      <c r="FZA15" s="239"/>
      <c r="FZB15" s="239"/>
      <c r="FZC15" s="239"/>
      <c r="FZD15" s="239"/>
      <c r="FZE15" s="239"/>
      <c r="FZF15" s="239"/>
      <c r="FZG15" s="239"/>
      <c r="FZH15" s="239"/>
      <c r="FZI15" s="239"/>
      <c r="FZJ15" s="239"/>
      <c r="FZK15" s="239"/>
      <c r="FZL15" s="239"/>
      <c r="FZM15" s="239"/>
      <c r="FZN15" s="239"/>
      <c r="FZO15" s="239"/>
      <c r="FZP15" s="239"/>
      <c r="FZQ15" s="239"/>
      <c r="FZR15" s="239"/>
      <c r="FZS15" s="239"/>
      <c r="FZT15" s="239"/>
      <c r="FZU15" s="239"/>
      <c r="FZV15" s="239"/>
      <c r="FZW15" s="239"/>
      <c r="FZX15" s="239"/>
      <c r="FZY15" s="239"/>
      <c r="FZZ15" s="239"/>
      <c r="GAA15" s="239"/>
      <c r="GAB15" s="239"/>
      <c r="GAC15" s="239"/>
      <c r="GAD15" s="239"/>
      <c r="GAE15" s="239"/>
      <c r="GAF15" s="239"/>
      <c r="GAG15" s="239"/>
      <c r="GAH15" s="239"/>
      <c r="GAI15" s="239"/>
      <c r="GAJ15" s="239"/>
      <c r="GAK15" s="239"/>
      <c r="GAL15" s="239"/>
      <c r="GAM15" s="239"/>
      <c r="GAN15" s="239"/>
      <c r="GAO15" s="239"/>
      <c r="GAP15" s="239"/>
      <c r="GAQ15" s="239"/>
      <c r="GAR15" s="239"/>
      <c r="GAS15" s="239"/>
      <c r="GAT15" s="239"/>
      <c r="GAU15" s="239"/>
      <c r="GAV15" s="239"/>
      <c r="GAW15" s="239"/>
      <c r="GAX15" s="239"/>
      <c r="GAY15" s="239"/>
      <c r="GAZ15" s="239"/>
      <c r="GBA15" s="239"/>
      <c r="GBB15" s="239"/>
      <c r="GBC15" s="239"/>
      <c r="GBD15" s="239"/>
      <c r="GBE15" s="239"/>
      <c r="GBF15" s="239"/>
      <c r="GBG15" s="239"/>
      <c r="GBH15" s="239"/>
      <c r="GBI15" s="239"/>
      <c r="GBJ15" s="239"/>
      <c r="GBK15" s="239"/>
      <c r="GBL15" s="239"/>
      <c r="GBM15" s="239"/>
      <c r="GBN15" s="239"/>
      <c r="GBO15" s="239"/>
      <c r="GBP15" s="239"/>
      <c r="GBQ15" s="239"/>
      <c r="GBR15" s="239"/>
      <c r="GBS15" s="239"/>
      <c r="GBT15" s="239"/>
      <c r="GBU15" s="239"/>
      <c r="GBV15" s="239"/>
      <c r="GBW15" s="239"/>
      <c r="GBX15" s="239"/>
      <c r="GBY15" s="239"/>
      <c r="GBZ15" s="239"/>
      <c r="GCA15" s="239"/>
      <c r="GCB15" s="239"/>
      <c r="GCC15" s="239"/>
      <c r="GCD15" s="239"/>
      <c r="GCE15" s="239"/>
      <c r="GCF15" s="239"/>
      <c r="GCG15" s="239"/>
      <c r="GCH15" s="239"/>
      <c r="GCI15" s="239"/>
      <c r="GCJ15" s="239"/>
      <c r="GCK15" s="239"/>
      <c r="GCL15" s="239"/>
      <c r="GCM15" s="239"/>
      <c r="GCN15" s="239"/>
      <c r="GCO15" s="239"/>
      <c r="GCP15" s="239"/>
      <c r="GCQ15" s="239"/>
      <c r="GCR15" s="239"/>
      <c r="GCS15" s="239"/>
      <c r="GCT15" s="239"/>
      <c r="GCU15" s="239"/>
      <c r="GCV15" s="239"/>
      <c r="GCW15" s="239"/>
      <c r="GCX15" s="239"/>
      <c r="GCY15" s="239"/>
      <c r="GCZ15" s="239"/>
      <c r="GDA15" s="239"/>
      <c r="GDB15" s="239"/>
      <c r="GDC15" s="239"/>
      <c r="GDD15" s="239"/>
      <c r="GDE15" s="239"/>
      <c r="GDF15" s="239"/>
      <c r="GDG15" s="239"/>
      <c r="GDH15" s="239"/>
      <c r="GDI15" s="239"/>
      <c r="GDJ15" s="239"/>
      <c r="GDK15" s="239"/>
      <c r="GDL15" s="239"/>
      <c r="GDM15" s="239"/>
      <c r="GDN15" s="239"/>
      <c r="GDO15" s="239"/>
      <c r="GDP15" s="239"/>
      <c r="GDQ15" s="239"/>
      <c r="GDR15" s="239"/>
      <c r="GDS15" s="239"/>
      <c r="GDT15" s="239"/>
      <c r="GDU15" s="239"/>
      <c r="GDV15" s="239"/>
      <c r="GDW15" s="239"/>
      <c r="GDX15" s="239"/>
      <c r="GDY15" s="239"/>
      <c r="GDZ15" s="239"/>
      <c r="GEA15" s="239"/>
      <c r="GEB15" s="239"/>
      <c r="GEC15" s="239"/>
      <c r="GED15" s="239"/>
      <c r="GEE15" s="239"/>
      <c r="GEF15" s="239"/>
      <c r="GEG15" s="239"/>
      <c r="GEH15" s="239"/>
      <c r="GEI15" s="239"/>
      <c r="GEJ15" s="239"/>
      <c r="GEK15" s="239"/>
      <c r="GEL15" s="239"/>
      <c r="GEM15" s="239"/>
      <c r="GEN15" s="239"/>
      <c r="GEO15" s="239"/>
      <c r="GEP15" s="239"/>
      <c r="GEQ15" s="239"/>
      <c r="GER15" s="239"/>
      <c r="GES15" s="239"/>
      <c r="GET15" s="239"/>
      <c r="GEU15" s="239"/>
      <c r="GEV15" s="239"/>
      <c r="GEW15" s="239"/>
      <c r="GEX15" s="239"/>
      <c r="GEY15" s="239"/>
      <c r="GEZ15" s="239"/>
      <c r="GFA15" s="239"/>
      <c r="GFB15" s="239"/>
      <c r="GFC15" s="239"/>
      <c r="GFD15" s="239"/>
      <c r="GFE15" s="239"/>
      <c r="GFF15" s="239"/>
      <c r="GFG15" s="239"/>
      <c r="GFH15" s="239"/>
      <c r="GFI15" s="239"/>
      <c r="GFJ15" s="239"/>
      <c r="GFK15" s="239"/>
      <c r="GFL15" s="239"/>
      <c r="GFM15" s="239"/>
      <c r="GFN15" s="239"/>
      <c r="GFO15" s="239"/>
      <c r="GFP15" s="239"/>
      <c r="GFQ15" s="239"/>
      <c r="GFR15" s="239"/>
      <c r="GFS15" s="239"/>
      <c r="GFT15" s="239"/>
      <c r="GFU15" s="239"/>
      <c r="GFV15" s="239"/>
      <c r="GFW15" s="239"/>
      <c r="GFX15" s="239"/>
      <c r="GFY15" s="239"/>
      <c r="GFZ15" s="239"/>
      <c r="GGA15" s="239"/>
      <c r="GGB15" s="239"/>
      <c r="GGC15" s="239"/>
      <c r="GGD15" s="239"/>
      <c r="GGE15" s="239"/>
      <c r="GGF15" s="239"/>
      <c r="GGG15" s="239"/>
      <c r="GGH15" s="239"/>
      <c r="GGI15" s="239"/>
      <c r="GGJ15" s="239"/>
      <c r="GGK15" s="239"/>
      <c r="GGL15" s="239"/>
      <c r="GGM15" s="239"/>
      <c r="GGN15" s="239"/>
      <c r="GGO15" s="239"/>
      <c r="GGP15" s="239"/>
      <c r="GGQ15" s="239"/>
      <c r="GGR15" s="239"/>
      <c r="GGS15" s="239"/>
      <c r="GGT15" s="239"/>
      <c r="GGU15" s="239"/>
      <c r="GGV15" s="239"/>
      <c r="GGW15" s="239"/>
      <c r="GGX15" s="239"/>
      <c r="GGY15" s="239"/>
      <c r="GGZ15" s="239"/>
      <c r="GHA15" s="239"/>
      <c r="GHB15" s="239"/>
      <c r="GHC15" s="239"/>
      <c r="GHD15" s="239"/>
      <c r="GHE15" s="239"/>
      <c r="GHF15" s="239"/>
      <c r="GHG15" s="239"/>
      <c r="GHH15" s="239"/>
      <c r="GHI15" s="239"/>
      <c r="GHJ15" s="239"/>
      <c r="GHK15" s="239"/>
      <c r="GHL15" s="239"/>
      <c r="GHM15" s="239"/>
      <c r="GHN15" s="239"/>
      <c r="GHO15" s="239"/>
      <c r="GHP15" s="239"/>
      <c r="GHQ15" s="239"/>
      <c r="GHR15" s="239"/>
      <c r="GHS15" s="239"/>
      <c r="GHT15" s="239"/>
      <c r="GHU15" s="239"/>
      <c r="GHV15" s="239"/>
      <c r="GHW15" s="239"/>
      <c r="GHX15" s="239"/>
      <c r="GHY15" s="239"/>
      <c r="GHZ15" s="239"/>
      <c r="GIA15" s="239"/>
      <c r="GIB15" s="239"/>
      <c r="GIC15" s="239"/>
      <c r="GID15" s="239"/>
      <c r="GIE15" s="239"/>
      <c r="GIF15" s="239"/>
      <c r="GIG15" s="239"/>
      <c r="GIH15" s="239"/>
      <c r="GII15" s="239"/>
      <c r="GIJ15" s="239"/>
      <c r="GIK15" s="239"/>
      <c r="GIL15" s="239"/>
      <c r="GIM15" s="239"/>
      <c r="GIN15" s="239"/>
      <c r="GIO15" s="239"/>
      <c r="GIP15" s="239"/>
      <c r="GIQ15" s="239"/>
      <c r="GIR15" s="239"/>
      <c r="GIS15" s="239"/>
      <c r="GIT15" s="239"/>
      <c r="GIU15" s="239"/>
      <c r="GIV15" s="239"/>
      <c r="GIW15" s="239"/>
      <c r="GIX15" s="239"/>
      <c r="GIY15" s="239"/>
      <c r="GIZ15" s="239"/>
      <c r="GJA15" s="239"/>
      <c r="GJB15" s="239"/>
      <c r="GJC15" s="239"/>
      <c r="GJD15" s="239"/>
      <c r="GJE15" s="239"/>
      <c r="GJF15" s="239"/>
      <c r="GJG15" s="239"/>
      <c r="GJH15" s="239"/>
      <c r="GJI15" s="239"/>
      <c r="GJJ15" s="239"/>
      <c r="GJK15" s="239"/>
      <c r="GJL15" s="239"/>
      <c r="GJM15" s="239"/>
      <c r="GJN15" s="239"/>
      <c r="GJO15" s="239"/>
      <c r="GJP15" s="239"/>
      <c r="GJQ15" s="239"/>
      <c r="GJR15" s="239"/>
      <c r="GJS15" s="239"/>
      <c r="GJT15" s="239"/>
      <c r="GJU15" s="239"/>
      <c r="GJV15" s="239"/>
      <c r="GJW15" s="239"/>
      <c r="GJX15" s="239"/>
      <c r="GJY15" s="239"/>
      <c r="GJZ15" s="239"/>
      <c r="GKA15" s="239"/>
      <c r="GKB15" s="239"/>
      <c r="GKC15" s="239"/>
      <c r="GKD15" s="239"/>
      <c r="GKE15" s="239"/>
      <c r="GKF15" s="239"/>
      <c r="GKG15" s="239"/>
      <c r="GKH15" s="239"/>
      <c r="GKI15" s="239"/>
      <c r="GKJ15" s="239"/>
      <c r="GKK15" s="239"/>
      <c r="GKL15" s="239"/>
      <c r="GKM15" s="239"/>
      <c r="GKN15" s="239"/>
      <c r="GKO15" s="239"/>
      <c r="GKP15" s="239"/>
      <c r="GKQ15" s="239"/>
      <c r="GKR15" s="239"/>
      <c r="GKS15" s="239"/>
      <c r="GKT15" s="239"/>
      <c r="GKU15" s="239"/>
      <c r="GKV15" s="239"/>
      <c r="GKW15" s="239"/>
      <c r="GKX15" s="239"/>
      <c r="GKY15" s="239"/>
      <c r="GKZ15" s="239"/>
      <c r="GLA15" s="239"/>
      <c r="GLB15" s="239"/>
      <c r="GLC15" s="239"/>
      <c r="GLD15" s="239"/>
      <c r="GLE15" s="239"/>
      <c r="GLF15" s="239"/>
      <c r="GLG15" s="239"/>
      <c r="GLH15" s="239"/>
      <c r="GLI15" s="239"/>
      <c r="GLJ15" s="239"/>
      <c r="GLK15" s="239"/>
      <c r="GLL15" s="239"/>
      <c r="GLM15" s="239"/>
      <c r="GLN15" s="239"/>
      <c r="GLO15" s="239"/>
      <c r="GLP15" s="239"/>
      <c r="GLQ15" s="239"/>
      <c r="GLR15" s="239"/>
      <c r="GLS15" s="239"/>
      <c r="GLT15" s="239"/>
      <c r="GLU15" s="239"/>
      <c r="GLV15" s="239"/>
      <c r="GLW15" s="239"/>
      <c r="GLX15" s="239"/>
      <c r="GLY15" s="239"/>
      <c r="GLZ15" s="239"/>
      <c r="GMA15" s="239"/>
      <c r="GMB15" s="239"/>
      <c r="GMC15" s="239"/>
      <c r="GMD15" s="239"/>
      <c r="GME15" s="239"/>
      <c r="GMF15" s="239"/>
      <c r="GMG15" s="239"/>
      <c r="GMH15" s="239"/>
      <c r="GMI15" s="239"/>
      <c r="GMJ15" s="239"/>
      <c r="GMK15" s="239"/>
      <c r="GML15" s="239"/>
      <c r="GMM15" s="239"/>
      <c r="GMN15" s="239"/>
      <c r="GMO15" s="239"/>
      <c r="GMP15" s="239"/>
      <c r="GMQ15" s="239"/>
      <c r="GMR15" s="239"/>
      <c r="GMS15" s="239"/>
      <c r="GMT15" s="239"/>
      <c r="GMU15" s="239"/>
      <c r="GMV15" s="239"/>
      <c r="GMW15" s="239"/>
      <c r="GMX15" s="239"/>
      <c r="GMY15" s="239"/>
      <c r="GMZ15" s="239"/>
      <c r="GNA15" s="239"/>
      <c r="GNB15" s="239"/>
      <c r="GNC15" s="239"/>
      <c r="GND15" s="239"/>
      <c r="GNE15" s="239"/>
      <c r="GNF15" s="239"/>
      <c r="GNG15" s="239"/>
      <c r="GNH15" s="239"/>
      <c r="GNI15" s="239"/>
      <c r="GNJ15" s="239"/>
      <c r="GNK15" s="239"/>
      <c r="GNL15" s="239"/>
      <c r="GNM15" s="239"/>
      <c r="GNN15" s="239"/>
      <c r="GNO15" s="239"/>
      <c r="GNP15" s="239"/>
      <c r="GNQ15" s="239"/>
      <c r="GNR15" s="239"/>
      <c r="GNS15" s="239"/>
      <c r="GNT15" s="239"/>
      <c r="GNU15" s="239"/>
      <c r="GNV15" s="239"/>
      <c r="GNW15" s="239"/>
      <c r="GNX15" s="239"/>
      <c r="GNY15" s="239"/>
      <c r="GNZ15" s="239"/>
      <c r="GOA15" s="239"/>
      <c r="GOB15" s="239"/>
      <c r="GOC15" s="239"/>
      <c r="GOD15" s="239"/>
      <c r="GOE15" s="239"/>
      <c r="GOF15" s="239"/>
      <c r="GOG15" s="239"/>
      <c r="GOH15" s="239"/>
      <c r="GOI15" s="239"/>
      <c r="GOJ15" s="239"/>
      <c r="GOK15" s="239"/>
      <c r="GOL15" s="239"/>
      <c r="GOM15" s="239"/>
      <c r="GON15" s="239"/>
      <c r="GOO15" s="239"/>
      <c r="GOP15" s="239"/>
      <c r="GOQ15" s="239"/>
      <c r="GOR15" s="239"/>
      <c r="GOS15" s="239"/>
      <c r="GOT15" s="239"/>
      <c r="GOU15" s="239"/>
      <c r="GOV15" s="239"/>
      <c r="GOW15" s="239"/>
      <c r="GOX15" s="239"/>
      <c r="GOY15" s="239"/>
      <c r="GOZ15" s="239"/>
      <c r="GPA15" s="239"/>
      <c r="GPB15" s="239"/>
      <c r="GPC15" s="239"/>
      <c r="GPD15" s="239"/>
      <c r="GPE15" s="239"/>
      <c r="GPF15" s="239"/>
      <c r="GPG15" s="239"/>
      <c r="GPH15" s="239"/>
      <c r="GPI15" s="239"/>
      <c r="GPJ15" s="239"/>
      <c r="GPK15" s="239"/>
      <c r="GPL15" s="239"/>
      <c r="GPM15" s="239"/>
      <c r="GPN15" s="239"/>
      <c r="GPO15" s="239"/>
      <c r="GPP15" s="239"/>
      <c r="GPQ15" s="239"/>
      <c r="GPR15" s="239"/>
      <c r="GPS15" s="239"/>
      <c r="GPT15" s="239"/>
      <c r="GPU15" s="239"/>
      <c r="GPV15" s="239"/>
      <c r="GPW15" s="239"/>
      <c r="GPX15" s="239"/>
      <c r="GPY15" s="239"/>
      <c r="GPZ15" s="239"/>
      <c r="GQA15" s="239"/>
      <c r="GQB15" s="239"/>
      <c r="GQC15" s="239"/>
      <c r="GQD15" s="239"/>
      <c r="GQE15" s="239"/>
      <c r="GQF15" s="239"/>
      <c r="GQG15" s="239"/>
      <c r="GQH15" s="239"/>
      <c r="GQI15" s="239"/>
      <c r="GQJ15" s="239"/>
      <c r="GQK15" s="239"/>
      <c r="GQL15" s="239"/>
      <c r="GQM15" s="239"/>
      <c r="GQN15" s="239"/>
      <c r="GQO15" s="239"/>
      <c r="GQP15" s="239"/>
      <c r="GQQ15" s="239"/>
      <c r="GQR15" s="239"/>
      <c r="GQS15" s="239"/>
      <c r="GQT15" s="239"/>
      <c r="GQU15" s="239"/>
      <c r="GQV15" s="239"/>
      <c r="GQW15" s="239"/>
      <c r="GQX15" s="239"/>
      <c r="GQY15" s="239"/>
      <c r="GQZ15" s="239"/>
      <c r="GRA15" s="239"/>
      <c r="GRB15" s="239"/>
      <c r="GRC15" s="239"/>
      <c r="GRD15" s="239"/>
      <c r="GRE15" s="239"/>
      <c r="GRF15" s="239"/>
      <c r="GRG15" s="239"/>
      <c r="GRH15" s="239"/>
      <c r="GRI15" s="239"/>
      <c r="GRJ15" s="239"/>
      <c r="GRK15" s="239"/>
      <c r="GRL15" s="239"/>
      <c r="GRM15" s="239"/>
      <c r="GRN15" s="239"/>
      <c r="GRO15" s="239"/>
      <c r="GRP15" s="239"/>
      <c r="GRQ15" s="239"/>
      <c r="GRR15" s="239"/>
      <c r="GRS15" s="239"/>
      <c r="GRT15" s="239"/>
      <c r="GRU15" s="239"/>
      <c r="GRV15" s="239"/>
      <c r="GRW15" s="239"/>
      <c r="GRX15" s="239"/>
      <c r="GRY15" s="239"/>
      <c r="GRZ15" s="239"/>
      <c r="GSA15" s="239"/>
      <c r="GSB15" s="239"/>
      <c r="GSC15" s="239"/>
      <c r="GSD15" s="239"/>
      <c r="GSE15" s="239"/>
      <c r="GSF15" s="239"/>
      <c r="GSG15" s="239"/>
      <c r="GSH15" s="239"/>
      <c r="GSI15" s="239"/>
      <c r="GSJ15" s="239"/>
      <c r="GSK15" s="239"/>
      <c r="GSL15" s="239"/>
      <c r="GSM15" s="239"/>
      <c r="GSN15" s="239"/>
      <c r="GSO15" s="239"/>
      <c r="GSP15" s="239"/>
      <c r="GSQ15" s="239"/>
      <c r="GSR15" s="239"/>
      <c r="GSS15" s="239"/>
      <c r="GST15" s="239"/>
      <c r="GSU15" s="239"/>
      <c r="GSV15" s="239"/>
      <c r="GSW15" s="239"/>
      <c r="GSX15" s="239"/>
      <c r="GSY15" s="239"/>
      <c r="GSZ15" s="239"/>
      <c r="GTA15" s="239"/>
      <c r="GTB15" s="239"/>
      <c r="GTC15" s="239"/>
      <c r="GTD15" s="239"/>
      <c r="GTE15" s="239"/>
      <c r="GTF15" s="239"/>
      <c r="GTG15" s="239"/>
      <c r="GTH15" s="239"/>
      <c r="GTI15" s="239"/>
      <c r="GTJ15" s="239"/>
      <c r="GTK15" s="239"/>
      <c r="GTL15" s="239"/>
      <c r="GTM15" s="239"/>
      <c r="GTN15" s="239"/>
      <c r="GTO15" s="239"/>
      <c r="GTP15" s="239"/>
      <c r="GTQ15" s="239"/>
      <c r="GTR15" s="239"/>
      <c r="GTS15" s="239"/>
      <c r="GTT15" s="239"/>
      <c r="GTU15" s="239"/>
      <c r="GTV15" s="239"/>
      <c r="GTW15" s="239"/>
      <c r="GTX15" s="239"/>
      <c r="GTY15" s="239"/>
      <c r="GTZ15" s="239"/>
      <c r="GUA15" s="239"/>
      <c r="GUB15" s="239"/>
      <c r="GUC15" s="239"/>
      <c r="GUD15" s="239"/>
      <c r="GUE15" s="239"/>
      <c r="GUF15" s="239"/>
      <c r="GUG15" s="239"/>
      <c r="GUH15" s="239"/>
      <c r="GUI15" s="239"/>
      <c r="GUJ15" s="239"/>
      <c r="GUK15" s="239"/>
      <c r="GUL15" s="239"/>
      <c r="GUM15" s="239"/>
      <c r="GUN15" s="239"/>
      <c r="GUO15" s="239"/>
      <c r="GUP15" s="239"/>
      <c r="GUQ15" s="239"/>
      <c r="GUR15" s="239"/>
      <c r="GUS15" s="239"/>
      <c r="GUT15" s="239"/>
      <c r="GUU15" s="239"/>
      <c r="GUV15" s="239"/>
      <c r="GUW15" s="239"/>
      <c r="GUX15" s="239"/>
      <c r="GUY15" s="239"/>
      <c r="GUZ15" s="239"/>
      <c r="GVA15" s="239"/>
      <c r="GVB15" s="239"/>
      <c r="GVC15" s="239"/>
      <c r="GVD15" s="239"/>
      <c r="GVE15" s="239"/>
      <c r="GVF15" s="239"/>
      <c r="GVG15" s="239"/>
      <c r="GVH15" s="239"/>
      <c r="GVI15" s="239"/>
      <c r="GVJ15" s="239"/>
      <c r="GVK15" s="239"/>
      <c r="GVL15" s="239"/>
      <c r="GVM15" s="239"/>
      <c r="GVN15" s="239"/>
      <c r="GVO15" s="239"/>
      <c r="GVP15" s="239"/>
      <c r="GVQ15" s="239"/>
      <c r="GVR15" s="239"/>
      <c r="GVS15" s="239"/>
      <c r="GVT15" s="239"/>
      <c r="GVU15" s="239"/>
      <c r="GVV15" s="239"/>
      <c r="GVW15" s="239"/>
      <c r="GVX15" s="239"/>
      <c r="GVY15" s="239"/>
      <c r="GVZ15" s="239"/>
      <c r="GWA15" s="239"/>
      <c r="GWB15" s="239"/>
      <c r="GWC15" s="239"/>
      <c r="GWD15" s="239"/>
      <c r="GWE15" s="239"/>
      <c r="GWF15" s="239"/>
      <c r="GWG15" s="239"/>
      <c r="GWH15" s="239"/>
      <c r="GWI15" s="239"/>
      <c r="GWJ15" s="239"/>
      <c r="GWK15" s="239"/>
      <c r="GWL15" s="239"/>
      <c r="GWM15" s="239"/>
      <c r="GWN15" s="239"/>
      <c r="GWO15" s="239"/>
      <c r="GWP15" s="239"/>
      <c r="GWQ15" s="239"/>
      <c r="GWR15" s="239"/>
      <c r="GWS15" s="239"/>
      <c r="GWT15" s="239"/>
      <c r="GWU15" s="239"/>
      <c r="GWV15" s="239"/>
      <c r="GWW15" s="239"/>
      <c r="GWX15" s="239"/>
      <c r="GWY15" s="239"/>
      <c r="GWZ15" s="239"/>
      <c r="GXA15" s="239"/>
      <c r="GXB15" s="239"/>
      <c r="GXC15" s="239"/>
      <c r="GXD15" s="239"/>
      <c r="GXE15" s="239"/>
      <c r="GXF15" s="239"/>
      <c r="GXG15" s="239"/>
      <c r="GXH15" s="239"/>
      <c r="GXI15" s="239"/>
      <c r="GXJ15" s="239"/>
      <c r="GXK15" s="239"/>
      <c r="GXL15" s="239"/>
      <c r="GXM15" s="239"/>
      <c r="GXN15" s="239"/>
      <c r="GXO15" s="239"/>
      <c r="GXP15" s="239"/>
      <c r="GXQ15" s="239"/>
      <c r="GXR15" s="239"/>
      <c r="GXS15" s="239"/>
      <c r="GXT15" s="239"/>
      <c r="GXU15" s="239"/>
      <c r="GXV15" s="239"/>
      <c r="GXW15" s="239"/>
      <c r="GXX15" s="239"/>
      <c r="GXY15" s="239"/>
      <c r="GXZ15" s="239"/>
      <c r="GYA15" s="239"/>
      <c r="GYB15" s="239"/>
      <c r="GYC15" s="239"/>
      <c r="GYD15" s="239"/>
      <c r="GYE15" s="239"/>
      <c r="GYF15" s="239"/>
      <c r="GYG15" s="239"/>
      <c r="GYH15" s="239"/>
      <c r="GYI15" s="239"/>
      <c r="GYJ15" s="239"/>
      <c r="GYK15" s="239"/>
      <c r="GYL15" s="239"/>
      <c r="GYM15" s="239"/>
      <c r="GYN15" s="239"/>
      <c r="GYO15" s="239"/>
      <c r="GYP15" s="239"/>
      <c r="GYQ15" s="239"/>
      <c r="GYR15" s="239"/>
      <c r="GYS15" s="239"/>
      <c r="GYT15" s="239"/>
      <c r="GYU15" s="239"/>
      <c r="GYV15" s="239"/>
      <c r="GYW15" s="239"/>
      <c r="GYX15" s="239"/>
      <c r="GYY15" s="239"/>
      <c r="GYZ15" s="239"/>
      <c r="GZA15" s="239"/>
      <c r="GZB15" s="239"/>
      <c r="GZC15" s="239"/>
      <c r="GZD15" s="239"/>
      <c r="GZE15" s="239"/>
      <c r="GZF15" s="239"/>
      <c r="GZG15" s="239"/>
      <c r="GZH15" s="239"/>
      <c r="GZI15" s="239"/>
      <c r="GZJ15" s="239"/>
      <c r="GZK15" s="239"/>
      <c r="GZL15" s="239"/>
      <c r="GZM15" s="239"/>
      <c r="GZN15" s="239"/>
      <c r="GZO15" s="239"/>
      <c r="GZP15" s="239"/>
      <c r="GZQ15" s="239"/>
      <c r="GZR15" s="239"/>
      <c r="GZS15" s="239"/>
      <c r="GZT15" s="239"/>
      <c r="GZU15" s="239"/>
      <c r="GZV15" s="239"/>
      <c r="GZW15" s="239"/>
      <c r="GZX15" s="239"/>
      <c r="GZY15" s="239"/>
      <c r="GZZ15" s="239"/>
      <c r="HAA15" s="239"/>
      <c r="HAB15" s="239"/>
      <c r="HAC15" s="239"/>
      <c r="HAD15" s="239"/>
      <c r="HAE15" s="239"/>
      <c r="HAF15" s="239"/>
      <c r="HAG15" s="239"/>
      <c r="HAH15" s="239"/>
      <c r="HAI15" s="239"/>
      <c r="HAJ15" s="239"/>
      <c r="HAK15" s="239"/>
      <c r="HAL15" s="239"/>
      <c r="HAM15" s="239"/>
      <c r="HAN15" s="239"/>
      <c r="HAO15" s="239"/>
      <c r="HAP15" s="239"/>
      <c r="HAQ15" s="239"/>
      <c r="HAR15" s="239"/>
      <c r="HAS15" s="239"/>
      <c r="HAT15" s="239"/>
      <c r="HAU15" s="239"/>
      <c r="HAV15" s="239"/>
      <c r="HAW15" s="239"/>
      <c r="HAX15" s="239"/>
      <c r="HAY15" s="239"/>
      <c r="HAZ15" s="239"/>
      <c r="HBA15" s="239"/>
      <c r="HBB15" s="239"/>
      <c r="HBC15" s="239"/>
      <c r="HBD15" s="239"/>
      <c r="HBE15" s="239"/>
      <c r="HBF15" s="239"/>
      <c r="HBG15" s="239"/>
      <c r="HBH15" s="239"/>
      <c r="HBI15" s="239"/>
      <c r="HBJ15" s="239"/>
      <c r="HBK15" s="239"/>
      <c r="HBL15" s="239"/>
      <c r="HBM15" s="239"/>
      <c r="HBN15" s="239"/>
      <c r="HBO15" s="239"/>
      <c r="HBP15" s="239"/>
      <c r="HBQ15" s="239"/>
      <c r="HBR15" s="239"/>
      <c r="HBS15" s="239"/>
      <c r="HBT15" s="239"/>
      <c r="HBU15" s="239"/>
      <c r="HBV15" s="239"/>
      <c r="HBW15" s="239"/>
      <c r="HBX15" s="239"/>
      <c r="HBY15" s="239"/>
      <c r="HBZ15" s="239"/>
      <c r="HCA15" s="239"/>
      <c r="HCB15" s="239"/>
      <c r="HCC15" s="239"/>
      <c r="HCD15" s="239"/>
      <c r="HCE15" s="239"/>
      <c r="HCF15" s="239"/>
      <c r="HCG15" s="239"/>
      <c r="HCH15" s="239"/>
      <c r="HCI15" s="239"/>
      <c r="HCJ15" s="239"/>
      <c r="HCK15" s="239"/>
      <c r="HCL15" s="239"/>
      <c r="HCM15" s="239"/>
      <c r="HCN15" s="239"/>
      <c r="HCO15" s="239"/>
      <c r="HCP15" s="239"/>
      <c r="HCQ15" s="239"/>
      <c r="HCR15" s="239"/>
      <c r="HCS15" s="239"/>
      <c r="HCT15" s="239"/>
      <c r="HCU15" s="239"/>
      <c r="HCV15" s="239"/>
      <c r="HCW15" s="239"/>
      <c r="HCX15" s="239"/>
      <c r="HCY15" s="239"/>
      <c r="HCZ15" s="239"/>
      <c r="HDA15" s="239"/>
      <c r="HDB15" s="239"/>
      <c r="HDC15" s="239"/>
      <c r="HDD15" s="239"/>
      <c r="HDE15" s="239"/>
      <c r="HDF15" s="239"/>
      <c r="HDG15" s="239"/>
      <c r="HDH15" s="239"/>
      <c r="HDI15" s="239"/>
      <c r="HDJ15" s="239"/>
      <c r="HDK15" s="239"/>
      <c r="HDL15" s="239"/>
      <c r="HDM15" s="239"/>
      <c r="HDN15" s="239"/>
      <c r="HDO15" s="239"/>
      <c r="HDP15" s="239"/>
      <c r="HDQ15" s="239"/>
      <c r="HDR15" s="239"/>
      <c r="HDS15" s="239"/>
      <c r="HDT15" s="239"/>
      <c r="HDU15" s="239"/>
      <c r="HDV15" s="239"/>
      <c r="HDW15" s="239"/>
      <c r="HDX15" s="239"/>
      <c r="HDY15" s="239"/>
      <c r="HDZ15" s="239"/>
      <c r="HEA15" s="239"/>
      <c r="HEB15" s="239"/>
      <c r="HEC15" s="239"/>
      <c r="HED15" s="239"/>
      <c r="HEE15" s="239"/>
      <c r="HEF15" s="239"/>
      <c r="HEG15" s="239"/>
      <c r="HEH15" s="239"/>
      <c r="HEI15" s="239"/>
      <c r="HEJ15" s="239"/>
      <c r="HEK15" s="239"/>
      <c r="HEL15" s="239"/>
      <c r="HEM15" s="239"/>
      <c r="HEN15" s="239"/>
      <c r="HEO15" s="239"/>
      <c r="HEP15" s="239"/>
      <c r="HEQ15" s="239"/>
      <c r="HER15" s="239"/>
      <c r="HES15" s="239"/>
      <c r="HET15" s="239"/>
      <c r="HEU15" s="239"/>
      <c r="HEV15" s="239"/>
      <c r="HEW15" s="239"/>
      <c r="HEX15" s="239"/>
      <c r="HEY15" s="239"/>
      <c r="HEZ15" s="239"/>
      <c r="HFA15" s="239"/>
      <c r="HFB15" s="239"/>
      <c r="HFC15" s="239"/>
      <c r="HFD15" s="239"/>
      <c r="HFE15" s="239"/>
      <c r="HFF15" s="239"/>
      <c r="HFG15" s="239"/>
      <c r="HFH15" s="239"/>
      <c r="HFI15" s="239"/>
      <c r="HFJ15" s="239"/>
      <c r="HFK15" s="239"/>
      <c r="HFL15" s="239"/>
      <c r="HFM15" s="239"/>
      <c r="HFN15" s="239"/>
      <c r="HFO15" s="239"/>
      <c r="HFP15" s="239"/>
      <c r="HFQ15" s="239"/>
      <c r="HFR15" s="239"/>
      <c r="HFS15" s="239"/>
      <c r="HFT15" s="239"/>
      <c r="HFU15" s="239"/>
      <c r="HFV15" s="239"/>
      <c r="HFW15" s="239"/>
      <c r="HFX15" s="239"/>
      <c r="HFY15" s="239"/>
      <c r="HFZ15" s="239"/>
      <c r="HGA15" s="239"/>
      <c r="HGB15" s="239"/>
      <c r="HGC15" s="239"/>
      <c r="HGD15" s="239"/>
      <c r="HGE15" s="239"/>
      <c r="HGF15" s="239"/>
      <c r="HGG15" s="239"/>
      <c r="HGH15" s="239"/>
      <c r="HGI15" s="239"/>
      <c r="HGJ15" s="239"/>
      <c r="HGK15" s="239"/>
      <c r="HGL15" s="239"/>
      <c r="HGM15" s="239"/>
      <c r="HGN15" s="239"/>
      <c r="HGO15" s="239"/>
      <c r="HGP15" s="239"/>
      <c r="HGQ15" s="239"/>
      <c r="HGR15" s="239"/>
      <c r="HGS15" s="239"/>
      <c r="HGT15" s="239"/>
      <c r="HGU15" s="239"/>
      <c r="HGV15" s="239"/>
      <c r="HGW15" s="239"/>
      <c r="HGX15" s="239"/>
      <c r="HGY15" s="239"/>
      <c r="HGZ15" s="239"/>
      <c r="HHA15" s="239"/>
      <c r="HHB15" s="239"/>
      <c r="HHC15" s="239"/>
      <c r="HHD15" s="239"/>
      <c r="HHE15" s="239"/>
      <c r="HHF15" s="239"/>
      <c r="HHG15" s="239"/>
      <c r="HHH15" s="239"/>
      <c r="HHI15" s="239"/>
      <c r="HHJ15" s="239"/>
      <c r="HHK15" s="239"/>
      <c r="HHL15" s="239"/>
      <c r="HHM15" s="239"/>
      <c r="HHN15" s="239"/>
      <c r="HHO15" s="239"/>
      <c r="HHP15" s="239"/>
      <c r="HHQ15" s="239"/>
      <c r="HHR15" s="239"/>
      <c r="HHS15" s="239"/>
      <c r="HHT15" s="239"/>
      <c r="HHU15" s="239"/>
      <c r="HHV15" s="239"/>
      <c r="HHW15" s="239"/>
      <c r="HHX15" s="239"/>
      <c r="HHY15" s="239"/>
      <c r="HHZ15" s="239"/>
      <c r="HIA15" s="239"/>
      <c r="HIB15" s="239"/>
      <c r="HIC15" s="239"/>
      <c r="HID15" s="239"/>
      <c r="HIE15" s="239"/>
      <c r="HIF15" s="239"/>
      <c r="HIG15" s="239"/>
      <c r="HIH15" s="239"/>
      <c r="HII15" s="239"/>
      <c r="HIJ15" s="239"/>
      <c r="HIK15" s="239"/>
      <c r="HIL15" s="239"/>
      <c r="HIM15" s="239"/>
      <c r="HIN15" s="239"/>
      <c r="HIO15" s="239"/>
      <c r="HIP15" s="239"/>
      <c r="HIQ15" s="239"/>
      <c r="HIR15" s="239"/>
      <c r="HIS15" s="239"/>
      <c r="HIT15" s="239"/>
      <c r="HIU15" s="239"/>
      <c r="HIV15" s="239"/>
      <c r="HIW15" s="239"/>
      <c r="HIX15" s="239"/>
      <c r="HIY15" s="239"/>
      <c r="HIZ15" s="239"/>
      <c r="HJA15" s="239"/>
      <c r="HJB15" s="239"/>
      <c r="HJC15" s="239"/>
      <c r="HJD15" s="239"/>
      <c r="HJE15" s="239"/>
      <c r="HJF15" s="239"/>
      <c r="HJG15" s="239"/>
      <c r="HJH15" s="239"/>
      <c r="HJI15" s="239"/>
      <c r="HJJ15" s="239"/>
      <c r="HJK15" s="239"/>
      <c r="HJL15" s="239"/>
      <c r="HJM15" s="239"/>
      <c r="HJN15" s="239"/>
      <c r="HJO15" s="239"/>
      <c r="HJP15" s="239"/>
      <c r="HJQ15" s="239"/>
      <c r="HJR15" s="239"/>
      <c r="HJS15" s="239"/>
      <c r="HJT15" s="239"/>
      <c r="HJU15" s="239"/>
      <c r="HJV15" s="239"/>
      <c r="HJW15" s="239"/>
      <c r="HJX15" s="239"/>
      <c r="HJY15" s="239"/>
      <c r="HJZ15" s="239"/>
      <c r="HKA15" s="239"/>
      <c r="HKB15" s="239"/>
      <c r="HKC15" s="239"/>
      <c r="HKD15" s="239"/>
      <c r="HKE15" s="239"/>
      <c r="HKF15" s="239"/>
      <c r="HKG15" s="239"/>
      <c r="HKH15" s="239"/>
      <c r="HKI15" s="239"/>
      <c r="HKJ15" s="239"/>
      <c r="HKK15" s="239"/>
      <c r="HKL15" s="239"/>
      <c r="HKM15" s="239"/>
      <c r="HKN15" s="239"/>
      <c r="HKO15" s="239"/>
      <c r="HKP15" s="239"/>
      <c r="HKQ15" s="239"/>
      <c r="HKR15" s="239"/>
      <c r="HKS15" s="239"/>
      <c r="HKT15" s="239"/>
      <c r="HKU15" s="239"/>
      <c r="HKV15" s="239"/>
      <c r="HKW15" s="239"/>
      <c r="HKX15" s="239"/>
      <c r="HKY15" s="239"/>
      <c r="HKZ15" s="239"/>
      <c r="HLA15" s="239"/>
      <c r="HLB15" s="239"/>
      <c r="HLC15" s="239"/>
      <c r="HLD15" s="239"/>
      <c r="HLE15" s="239"/>
      <c r="HLF15" s="239"/>
      <c r="HLG15" s="239"/>
      <c r="HLH15" s="239"/>
      <c r="HLI15" s="239"/>
      <c r="HLJ15" s="239"/>
      <c r="HLK15" s="239"/>
      <c r="HLL15" s="239"/>
      <c r="HLM15" s="239"/>
      <c r="HLN15" s="239"/>
      <c r="HLO15" s="239"/>
      <c r="HLP15" s="239"/>
      <c r="HLQ15" s="239"/>
      <c r="HLR15" s="239"/>
      <c r="HLS15" s="239"/>
      <c r="HLT15" s="239"/>
      <c r="HLU15" s="239"/>
      <c r="HLV15" s="239"/>
      <c r="HLW15" s="239"/>
      <c r="HLX15" s="239"/>
      <c r="HLY15" s="239"/>
      <c r="HLZ15" s="239"/>
      <c r="HMA15" s="239"/>
      <c r="HMB15" s="239"/>
      <c r="HMC15" s="239"/>
      <c r="HMD15" s="239"/>
      <c r="HME15" s="239"/>
      <c r="HMF15" s="239"/>
      <c r="HMG15" s="239"/>
      <c r="HMH15" s="239"/>
      <c r="HMI15" s="239"/>
      <c r="HMJ15" s="239"/>
      <c r="HMK15" s="239"/>
      <c r="HML15" s="239"/>
      <c r="HMM15" s="239"/>
      <c r="HMN15" s="239"/>
      <c r="HMO15" s="239"/>
      <c r="HMP15" s="239"/>
      <c r="HMQ15" s="239"/>
      <c r="HMR15" s="239"/>
      <c r="HMS15" s="239"/>
      <c r="HMT15" s="239"/>
      <c r="HMU15" s="239"/>
      <c r="HMV15" s="239"/>
      <c r="HMW15" s="239"/>
      <c r="HMX15" s="239"/>
      <c r="HMY15" s="239"/>
      <c r="HMZ15" s="239"/>
      <c r="HNA15" s="239"/>
      <c r="HNB15" s="239"/>
      <c r="HNC15" s="239"/>
      <c r="HND15" s="239"/>
      <c r="HNE15" s="239"/>
      <c r="HNF15" s="239"/>
      <c r="HNG15" s="239"/>
      <c r="HNH15" s="239"/>
      <c r="HNI15" s="239"/>
      <c r="HNJ15" s="239"/>
      <c r="HNK15" s="239"/>
      <c r="HNL15" s="239"/>
      <c r="HNM15" s="239"/>
      <c r="HNN15" s="239"/>
      <c r="HNO15" s="239"/>
      <c r="HNP15" s="239"/>
      <c r="HNQ15" s="239"/>
      <c r="HNR15" s="239"/>
      <c r="HNS15" s="239"/>
      <c r="HNT15" s="239"/>
      <c r="HNU15" s="239"/>
      <c r="HNV15" s="239"/>
      <c r="HNW15" s="239"/>
      <c r="HNX15" s="239"/>
      <c r="HNY15" s="239"/>
      <c r="HNZ15" s="239"/>
      <c r="HOA15" s="239"/>
      <c r="HOB15" s="239"/>
      <c r="HOC15" s="239"/>
      <c r="HOD15" s="239"/>
      <c r="HOE15" s="239"/>
      <c r="HOF15" s="239"/>
      <c r="HOG15" s="239"/>
      <c r="HOH15" s="239"/>
      <c r="HOI15" s="239"/>
      <c r="HOJ15" s="239"/>
      <c r="HOK15" s="239"/>
      <c r="HOL15" s="239"/>
      <c r="HOM15" s="239"/>
      <c r="HON15" s="239"/>
      <c r="HOO15" s="239"/>
      <c r="HOP15" s="239"/>
      <c r="HOQ15" s="239"/>
      <c r="HOR15" s="239"/>
      <c r="HOS15" s="239"/>
      <c r="HOT15" s="239"/>
      <c r="HOU15" s="239"/>
      <c r="HOV15" s="239"/>
      <c r="HOW15" s="239"/>
      <c r="HOX15" s="239"/>
      <c r="HOY15" s="239"/>
      <c r="HOZ15" s="239"/>
      <c r="HPA15" s="239"/>
      <c r="HPB15" s="239"/>
      <c r="HPC15" s="239"/>
      <c r="HPD15" s="239"/>
      <c r="HPE15" s="239"/>
      <c r="HPF15" s="239"/>
      <c r="HPG15" s="239"/>
      <c r="HPH15" s="239"/>
      <c r="HPI15" s="239"/>
      <c r="HPJ15" s="239"/>
      <c r="HPK15" s="239"/>
      <c r="HPL15" s="239"/>
      <c r="HPM15" s="239"/>
      <c r="HPN15" s="239"/>
      <c r="HPO15" s="239"/>
      <c r="HPP15" s="239"/>
      <c r="HPQ15" s="239"/>
      <c r="HPR15" s="239"/>
      <c r="HPS15" s="239"/>
      <c r="HPT15" s="239"/>
      <c r="HPU15" s="239"/>
      <c r="HPV15" s="239"/>
      <c r="HPW15" s="239"/>
      <c r="HPX15" s="239"/>
      <c r="HPY15" s="239"/>
      <c r="HPZ15" s="239"/>
      <c r="HQA15" s="239"/>
      <c r="HQB15" s="239"/>
      <c r="HQC15" s="239"/>
      <c r="HQD15" s="239"/>
      <c r="HQE15" s="239"/>
      <c r="HQF15" s="239"/>
      <c r="HQG15" s="239"/>
      <c r="HQH15" s="239"/>
      <c r="HQI15" s="239"/>
      <c r="HQJ15" s="239"/>
      <c r="HQK15" s="239"/>
      <c r="HQL15" s="239"/>
      <c r="HQM15" s="239"/>
      <c r="HQN15" s="239"/>
      <c r="HQO15" s="239"/>
      <c r="HQP15" s="239"/>
      <c r="HQQ15" s="239"/>
      <c r="HQR15" s="239"/>
      <c r="HQS15" s="239"/>
      <c r="HQT15" s="239"/>
      <c r="HQU15" s="239"/>
      <c r="HQV15" s="239"/>
      <c r="HQW15" s="239"/>
      <c r="HQX15" s="239"/>
      <c r="HQY15" s="239"/>
      <c r="HQZ15" s="239"/>
      <c r="HRA15" s="239"/>
      <c r="HRB15" s="239"/>
      <c r="HRC15" s="239"/>
      <c r="HRD15" s="239"/>
      <c r="HRE15" s="239"/>
      <c r="HRF15" s="239"/>
      <c r="HRG15" s="239"/>
      <c r="HRH15" s="239"/>
      <c r="HRI15" s="239"/>
      <c r="HRJ15" s="239"/>
      <c r="HRK15" s="239"/>
      <c r="HRL15" s="239"/>
      <c r="HRM15" s="239"/>
      <c r="HRN15" s="239"/>
      <c r="HRO15" s="239"/>
      <c r="HRP15" s="239"/>
      <c r="HRQ15" s="239"/>
      <c r="HRR15" s="239"/>
      <c r="HRS15" s="239"/>
      <c r="HRT15" s="239"/>
      <c r="HRU15" s="239"/>
      <c r="HRV15" s="239"/>
      <c r="HRW15" s="239"/>
      <c r="HRX15" s="239"/>
      <c r="HRY15" s="239"/>
      <c r="HRZ15" s="239"/>
      <c r="HSA15" s="239"/>
      <c r="HSB15" s="239"/>
      <c r="HSC15" s="239"/>
      <c r="HSD15" s="239"/>
      <c r="HSE15" s="239"/>
      <c r="HSF15" s="239"/>
      <c r="HSG15" s="239"/>
      <c r="HSH15" s="239"/>
      <c r="HSI15" s="239"/>
      <c r="HSJ15" s="239"/>
      <c r="HSK15" s="239"/>
      <c r="HSL15" s="239"/>
      <c r="HSM15" s="239"/>
      <c r="HSN15" s="239"/>
      <c r="HSO15" s="239"/>
      <c r="HSP15" s="239"/>
      <c r="HSQ15" s="239"/>
      <c r="HSR15" s="239"/>
      <c r="HSS15" s="239"/>
      <c r="HST15" s="239"/>
      <c r="HSU15" s="239"/>
      <c r="HSV15" s="239"/>
      <c r="HSW15" s="239"/>
      <c r="HSX15" s="239"/>
      <c r="HSY15" s="239"/>
      <c r="HSZ15" s="239"/>
      <c r="HTA15" s="239"/>
      <c r="HTB15" s="239"/>
      <c r="HTC15" s="239"/>
      <c r="HTD15" s="239"/>
      <c r="HTE15" s="239"/>
      <c r="HTF15" s="239"/>
      <c r="HTG15" s="239"/>
      <c r="HTH15" s="239"/>
      <c r="HTI15" s="239"/>
      <c r="HTJ15" s="239"/>
      <c r="HTK15" s="239"/>
      <c r="HTL15" s="239"/>
      <c r="HTM15" s="239"/>
      <c r="HTN15" s="239"/>
      <c r="HTO15" s="239"/>
      <c r="HTP15" s="239"/>
      <c r="HTQ15" s="239"/>
      <c r="HTR15" s="239"/>
      <c r="HTS15" s="239"/>
      <c r="HTT15" s="239"/>
      <c r="HTU15" s="239"/>
      <c r="HTV15" s="239"/>
      <c r="HTW15" s="239"/>
      <c r="HTX15" s="239"/>
      <c r="HTY15" s="239"/>
      <c r="HTZ15" s="239"/>
      <c r="HUA15" s="239"/>
      <c r="HUB15" s="239"/>
      <c r="HUC15" s="239"/>
      <c r="HUD15" s="239"/>
      <c r="HUE15" s="239"/>
      <c r="HUF15" s="239"/>
      <c r="HUG15" s="239"/>
      <c r="HUH15" s="239"/>
      <c r="HUI15" s="239"/>
      <c r="HUJ15" s="239"/>
      <c r="HUK15" s="239"/>
      <c r="HUL15" s="239"/>
      <c r="HUM15" s="239"/>
      <c r="HUN15" s="239"/>
      <c r="HUO15" s="239"/>
      <c r="HUP15" s="239"/>
      <c r="HUQ15" s="239"/>
      <c r="HUR15" s="239"/>
      <c r="HUS15" s="239"/>
      <c r="HUT15" s="239"/>
      <c r="HUU15" s="239"/>
      <c r="HUV15" s="239"/>
      <c r="HUW15" s="239"/>
      <c r="HUX15" s="239"/>
      <c r="HUY15" s="239"/>
      <c r="HUZ15" s="239"/>
      <c r="HVA15" s="239"/>
      <c r="HVB15" s="239"/>
      <c r="HVC15" s="239"/>
      <c r="HVD15" s="239"/>
      <c r="HVE15" s="239"/>
      <c r="HVF15" s="239"/>
      <c r="HVG15" s="239"/>
      <c r="HVH15" s="239"/>
      <c r="HVI15" s="239"/>
      <c r="HVJ15" s="239"/>
      <c r="HVK15" s="239"/>
      <c r="HVL15" s="239"/>
      <c r="HVM15" s="239"/>
      <c r="HVN15" s="239"/>
      <c r="HVO15" s="239"/>
      <c r="HVP15" s="239"/>
      <c r="HVQ15" s="239"/>
      <c r="HVR15" s="239"/>
      <c r="HVS15" s="239"/>
      <c r="HVT15" s="239"/>
      <c r="HVU15" s="239"/>
      <c r="HVV15" s="239"/>
      <c r="HVW15" s="239"/>
      <c r="HVX15" s="239"/>
      <c r="HVY15" s="239"/>
      <c r="HVZ15" s="239"/>
      <c r="HWA15" s="239"/>
      <c r="HWB15" s="239"/>
      <c r="HWC15" s="239"/>
      <c r="HWD15" s="239"/>
      <c r="HWE15" s="239"/>
      <c r="HWF15" s="239"/>
      <c r="HWG15" s="239"/>
      <c r="HWH15" s="239"/>
      <c r="HWI15" s="239"/>
      <c r="HWJ15" s="239"/>
      <c r="HWK15" s="239"/>
      <c r="HWL15" s="239"/>
      <c r="HWM15" s="239"/>
      <c r="HWN15" s="239"/>
      <c r="HWO15" s="239"/>
      <c r="HWP15" s="239"/>
      <c r="HWQ15" s="239"/>
      <c r="HWR15" s="239"/>
      <c r="HWS15" s="239"/>
      <c r="HWT15" s="239"/>
      <c r="HWU15" s="239"/>
      <c r="HWV15" s="239"/>
      <c r="HWW15" s="239"/>
      <c r="HWX15" s="239"/>
      <c r="HWY15" s="239"/>
      <c r="HWZ15" s="239"/>
      <c r="HXA15" s="239"/>
      <c r="HXB15" s="239"/>
      <c r="HXC15" s="239"/>
      <c r="HXD15" s="239"/>
      <c r="HXE15" s="239"/>
      <c r="HXF15" s="239"/>
      <c r="HXG15" s="239"/>
      <c r="HXH15" s="239"/>
      <c r="HXI15" s="239"/>
      <c r="HXJ15" s="239"/>
      <c r="HXK15" s="239"/>
      <c r="HXL15" s="239"/>
      <c r="HXM15" s="239"/>
      <c r="HXN15" s="239"/>
      <c r="HXO15" s="239"/>
      <c r="HXP15" s="239"/>
      <c r="HXQ15" s="239"/>
      <c r="HXR15" s="239"/>
      <c r="HXS15" s="239"/>
      <c r="HXT15" s="239"/>
      <c r="HXU15" s="239"/>
      <c r="HXV15" s="239"/>
      <c r="HXW15" s="239"/>
      <c r="HXX15" s="239"/>
      <c r="HXY15" s="239"/>
      <c r="HXZ15" s="239"/>
      <c r="HYA15" s="239"/>
      <c r="HYB15" s="239"/>
      <c r="HYC15" s="239"/>
      <c r="HYD15" s="239"/>
      <c r="HYE15" s="239"/>
      <c r="HYF15" s="239"/>
      <c r="HYG15" s="239"/>
      <c r="HYH15" s="239"/>
      <c r="HYI15" s="239"/>
      <c r="HYJ15" s="239"/>
      <c r="HYK15" s="239"/>
      <c r="HYL15" s="239"/>
      <c r="HYM15" s="239"/>
      <c r="HYN15" s="239"/>
      <c r="HYO15" s="239"/>
      <c r="HYP15" s="239"/>
      <c r="HYQ15" s="239"/>
      <c r="HYR15" s="239"/>
      <c r="HYS15" s="239"/>
      <c r="HYT15" s="239"/>
      <c r="HYU15" s="239"/>
      <c r="HYV15" s="239"/>
      <c r="HYW15" s="239"/>
      <c r="HYX15" s="239"/>
      <c r="HYY15" s="239"/>
      <c r="HYZ15" s="239"/>
      <c r="HZA15" s="239"/>
      <c r="HZB15" s="239"/>
      <c r="HZC15" s="239"/>
      <c r="HZD15" s="239"/>
      <c r="HZE15" s="239"/>
      <c r="HZF15" s="239"/>
      <c r="HZG15" s="239"/>
      <c r="HZH15" s="239"/>
      <c r="HZI15" s="239"/>
      <c r="HZJ15" s="239"/>
      <c r="HZK15" s="239"/>
      <c r="HZL15" s="239"/>
      <c r="HZM15" s="239"/>
      <c r="HZN15" s="239"/>
      <c r="HZO15" s="239"/>
      <c r="HZP15" s="239"/>
      <c r="HZQ15" s="239"/>
      <c r="HZR15" s="239"/>
      <c r="HZS15" s="239"/>
      <c r="HZT15" s="239"/>
      <c r="HZU15" s="239"/>
      <c r="HZV15" s="239"/>
      <c r="HZW15" s="239"/>
      <c r="HZX15" s="239"/>
      <c r="HZY15" s="239"/>
      <c r="HZZ15" s="239"/>
      <c r="IAA15" s="239"/>
      <c r="IAB15" s="239"/>
      <c r="IAC15" s="239"/>
      <c r="IAD15" s="239"/>
      <c r="IAE15" s="239"/>
      <c r="IAF15" s="239"/>
      <c r="IAG15" s="239"/>
      <c r="IAH15" s="239"/>
      <c r="IAI15" s="239"/>
      <c r="IAJ15" s="239"/>
      <c r="IAK15" s="239"/>
      <c r="IAL15" s="239"/>
      <c r="IAM15" s="239"/>
      <c r="IAN15" s="239"/>
      <c r="IAO15" s="239"/>
      <c r="IAP15" s="239"/>
      <c r="IAQ15" s="239"/>
      <c r="IAR15" s="239"/>
      <c r="IAS15" s="239"/>
      <c r="IAT15" s="239"/>
      <c r="IAU15" s="239"/>
      <c r="IAV15" s="239"/>
      <c r="IAW15" s="239"/>
      <c r="IAX15" s="239"/>
      <c r="IAY15" s="239"/>
      <c r="IAZ15" s="239"/>
      <c r="IBA15" s="239"/>
      <c r="IBB15" s="239"/>
      <c r="IBC15" s="239"/>
      <c r="IBD15" s="239"/>
      <c r="IBE15" s="239"/>
      <c r="IBF15" s="239"/>
      <c r="IBG15" s="239"/>
      <c r="IBH15" s="239"/>
      <c r="IBI15" s="239"/>
      <c r="IBJ15" s="239"/>
      <c r="IBK15" s="239"/>
      <c r="IBL15" s="239"/>
      <c r="IBM15" s="239"/>
      <c r="IBN15" s="239"/>
      <c r="IBO15" s="239"/>
      <c r="IBP15" s="239"/>
      <c r="IBQ15" s="239"/>
      <c r="IBR15" s="239"/>
      <c r="IBS15" s="239"/>
      <c r="IBT15" s="239"/>
      <c r="IBU15" s="239"/>
      <c r="IBV15" s="239"/>
      <c r="IBW15" s="239"/>
      <c r="IBX15" s="239"/>
      <c r="IBY15" s="239"/>
      <c r="IBZ15" s="239"/>
      <c r="ICA15" s="239"/>
      <c r="ICB15" s="239"/>
      <c r="ICC15" s="239"/>
      <c r="ICD15" s="239"/>
      <c r="ICE15" s="239"/>
      <c r="ICF15" s="239"/>
      <c r="ICG15" s="239"/>
      <c r="ICH15" s="239"/>
      <c r="ICI15" s="239"/>
      <c r="ICJ15" s="239"/>
      <c r="ICK15" s="239"/>
      <c r="ICL15" s="239"/>
      <c r="ICM15" s="239"/>
      <c r="ICN15" s="239"/>
      <c r="ICO15" s="239"/>
      <c r="ICP15" s="239"/>
      <c r="ICQ15" s="239"/>
      <c r="ICR15" s="239"/>
      <c r="ICS15" s="239"/>
      <c r="ICT15" s="239"/>
      <c r="ICU15" s="239"/>
      <c r="ICV15" s="239"/>
      <c r="ICW15" s="239"/>
      <c r="ICX15" s="239"/>
      <c r="ICY15" s="239"/>
      <c r="ICZ15" s="239"/>
      <c r="IDA15" s="239"/>
      <c r="IDB15" s="239"/>
      <c r="IDC15" s="239"/>
      <c r="IDD15" s="239"/>
      <c r="IDE15" s="239"/>
      <c r="IDF15" s="239"/>
      <c r="IDG15" s="239"/>
      <c r="IDH15" s="239"/>
      <c r="IDI15" s="239"/>
      <c r="IDJ15" s="239"/>
      <c r="IDK15" s="239"/>
      <c r="IDL15" s="239"/>
      <c r="IDM15" s="239"/>
      <c r="IDN15" s="239"/>
      <c r="IDO15" s="239"/>
      <c r="IDP15" s="239"/>
      <c r="IDQ15" s="239"/>
      <c r="IDR15" s="239"/>
      <c r="IDS15" s="239"/>
      <c r="IDT15" s="239"/>
      <c r="IDU15" s="239"/>
      <c r="IDV15" s="239"/>
      <c r="IDW15" s="239"/>
      <c r="IDX15" s="239"/>
      <c r="IDY15" s="239"/>
      <c r="IDZ15" s="239"/>
      <c r="IEA15" s="239"/>
      <c r="IEB15" s="239"/>
      <c r="IEC15" s="239"/>
      <c r="IED15" s="239"/>
      <c r="IEE15" s="239"/>
      <c r="IEF15" s="239"/>
      <c r="IEG15" s="239"/>
      <c r="IEH15" s="239"/>
      <c r="IEI15" s="239"/>
      <c r="IEJ15" s="239"/>
      <c r="IEK15" s="239"/>
      <c r="IEL15" s="239"/>
      <c r="IEM15" s="239"/>
      <c r="IEN15" s="239"/>
      <c r="IEO15" s="239"/>
      <c r="IEP15" s="239"/>
      <c r="IEQ15" s="239"/>
      <c r="IER15" s="239"/>
      <c r="IES15" s="239"/>
      <c r="IET15" s="239"/>
      <c r="IEU15" s="239"/>
      <c r="IEV15" s="239"/>
      <c r="IEW15" s="239"/>
      <c r="IEX15" s="239"/>
      <c r="IEY15" s="239"/>
      <c r="IEZ15" s="239"/>
      <c r="IFA15" s="239"/>
      <c r="IFB15" s="239"/>
      <c r="IFC15" s="239"/>
      <c r="IFD15" s="239"/>
      <c r="IFE15" s="239"/>
      <c r="IFF15" s="239"/>
      <c r="IFG15" s="239"/>
      <c r="IFH15" s="239"/>
      <c r="IFI15" s="239"/>
      <c r="IFJ15" s="239"/>
      <c r="IFK15" s="239"/>
      <c r="IFL15" s="239"/>
      <c r="IFM15" s="239"/>
      <c r="IFN15" s="239"/>
      <c r="IFO15" s="239"/>
      <c r="IFP15" s="239"/>
      <c r="IFQ15" s="239"/>
      <c r="IFR15" s="239"/>
      <c r="IFS15" s="239"/>
      <c r="IFT15" s="239"/>
      <c r="IFU15" s="239"/>
      <c r="IFV15" s="239"/>
      <c r="IFW15" s="239"/>
      <c r="IFX15" s="239"/>
      <c r="IFY15" s="239"/>
      <c r="IFZ15" s="239"/>
      <c r="IGA15" s="239"/>
      <c r="IGB15" s="239"/>
      <c r="IGC15" s="239"/>
      <c r="IGD15" s="239"/>
      <c r="IGE15" s="239"/>
      <c r="IGF15" s="239"/>
      <c r="IGG15" s="239"/>
      <c r="IGH15" s="239"/>
      <c r="IGI15" s="239"/>
      <c r="IGJ15" s="239"/>
      <c r="IGK15" s="239"/>
      <c r="IGL15" s="239"/>
      <c r="IGM15" s="239"/>
      <c r="IGN15" s="239"/>
      <c r="IGO15" s="239"/>
      <c r="IGP15" s="239"/>
      <c r="IGQ15" s="239"/>
      <c r="IGR15" s="239"/>
      <c r="IGS15" s="239"/>
      <c r="IGT15" s="239"/>
      <c r="IGU15" s="239"/>
      <c r="IGV15" s="239"/>
      <c r="IGW15" s="239"/>
      <c r="IGX15" s="239"/>
      <c r="IGY15" s="239"/>
      <c r="IGZ15" s="239"/>
      <c r="IHA15" s="239"/>
      <c r="IHB15" s="239"/>
      <c r="IHC15" s="239"/>
      <c r="IHD15" s="239"/>
      <c r="IHE15" s="239"/>
      <c r="IHF15" s="239"/>
      <c r="IHG15" s="239"/>
      <c r="IHH15" s="239"/>
      <c r="IHI15" s="239"/>
      <c r="IHJ15" s="239"/>
      <c r="IHK15" s="239"/>
      <c r="IHL15" s="239"/>
      <c r="IHM15" s="239"/>
      <c r="IHN15" s="239"/>
      <c r="IHO15" s="239"/>
      <c r="IHP15" s="239"/>
      <c r="IHQ15" s="239"/>
      <c r="IHR15" s="239"/>
      <c r="IHS15" s="239"/>
      <c r="IHT15" s="239"/>
      <c r="IHU15" s="239"/>
      <c r="IHV15" s="239"/>
      <c r="IHW15" s="239"/>
      <c r="IHX15" s="239"/>
      <c r="IHY15" s="239"/>
      <c r="IHZ15" s="239"/>
      <c r="IIA15" s="239"/>
      <c r="IIB15" s="239"/>
      <c r="IIC15" s="239"/>
      <c r="IID15" s="239"/>
      <c r="IIE15" s="239"/>
      <c r="IIF15" s="239"/>
      <c r="IIG15" s="239"/>
      <c r="IIH15" s="239"/>
      <c r="III15" s="239"/>
      <c r="IIJ15" s="239"/>
      <c r="IIK15" s="239"/>
      <c r="IIL15" s="239"/>
      <c r="IIM15" s="239"/>
      <c r="IIN15" s="239"/>
      <c r="IIO15" s="239"/>
      <c r="IIP15" s="239"/>
      <c r="IIQ15" s="239"/>
      <c r="IIR15" s="239"/>
      <c r="IIS15" s="239"/>
      <c r="IIT15" s="239"/>
      <c r="IIU15" s="239"/>
      <c r="IIV15" s="239"/>
      <c r="IIW15" s="239"/>
      <c r="IIX15" s="239"/>
      <c r="IIY15" s="239"/>
      <c r="IIZ15" s="239"/>
      <c r="IJA15" s="239"/>
      <c r="IJB15" s="239"/>
      <c r="IJC15" s="239"/>
      <c r="IJD15" s="239"/>
      <c r="IJE15" s="239"/>
      <c r="IJF15" s="239"/>
      <c r="IJG15" s="239"/>
      <c r="IJH15" s="239"/>
      <c r="IJI15" s="239"/>
      <c r="IJJ15" s="239"/>
      <c r="IJK15" s="239"/>
      <c r="IJL15" s="239"/>
      <c r="IJM15" s="239"/>
      <c r="IJN15" s="239"/>
      <c r="IJO15" s="239"/>
      <c r="IJP15" s="239"/>
      <c r="IJQ15" s="239"/>
      <c r="IJR15" s="239"/>
      <c r="IJS15" s="239"/>
      <c r="IJT15" s="239"/>
      <c r="IJU15" s="239"/>
      <c r="IJV15" s="239"/>
      <c r="IJW15" s="239"/>
      <c r="IJX15" s="239"/>
      <c r="IJY15" s="239"/>
      <c r="IJZ15" s="239"/>
      <c r="IKA15" s="239"/>
      <c r="IKB15" s="239"/>
      <c r="IKC15" s="239"/>
      <c r="IKD15" s="239"/>
      <c r="IKE15" s="239"/>
      <c r="IKF15" s="239"/>
      <c r="IKG15" s="239"/>
      <c r="IKH15" s="239"/>
      <c r="IKI15" s="239"/>
      <c r="IKJ15" s="239"/>
      <c r="IKK15" s="239"/>
      <c r="IKL15" s="239"/>
      <c r="IKM15" s="239"/>
      <c r="IKN15" s="239"/>
      <c r="IKO15" s="239"/>
      <c r="IKP15" s="239"/>
      <c r="IKQ15" s="239"/>
      <c r="IKR15" s="239"/>
      <c r="IKS15" s="239"/>
      <c r="IKT15" s="239"/>
      <c r="IKU15" s="239"/>
      <c r="IKV15" s="239"/>
      <c r="IKW15" s="239"/>
      <c r="IKX15" s="239"/>
      <c r="IKY15" s="239"/>
      <c r="IKZ15" s="239"/>
      <c r="ILA15" s="239"/>
      <c r="ILB15" s="239"/>
      <c r="ILC15" s="239"/>
      <c r="ILD15" s="239"/>
      <c r="ILE15" s="239"/>
      <c r="ILF15" s="239"/>
      <c r="ILG15" s="239"/>
      <c r="ILH15" s="239"/>
      <c r="ILI15" s="239"/>
      <c r="ILJ15" s="239"/>
      <c r="ILK15" s="239"/>
      <c r="ILL15" s="239"/>
      <c r="ILM15" s="239"/>
      <c r="ILN15" s="239"/>
      <c r="ILO15" s="239"/>
      <c r="ILP15" s="239"/>
      <c r="ILQ15" s="239"/>
      <c r="ILR15" s="239"/>
      <c r="ILS15" s="239"/>
      <c r="ILT15" s="239"/>
      <c r="ILU15" s="239"/>
      <c r="ILV15" s="239"/>
      <c r="ILW15" s="239"/>
      <c r="ILX15" s="239"/>
      <c r="ILY15" s="239"/>
      <c r="ILZ15" s="239"/>
      <c r="IMA15" s="239"/>
      <c r="IMB15" s="239"/>
      <c r="IMC15" s="239"/>
      <c r="IMD15" s="239"/>
      <c r="IME15" s="239"/>
      <c r="IMF15" s="239"/>
      <c r="IMG15" s="239"/>
      <c r="IMH15" s="239"/>
      <c r="IMI15" s="239"/>
      <c r="IMJ15" s="239"/>
      <c r="IMK15" s="239"/>
      <c r="IML15" s="239"/>
      <c r="IMM15" s="239"/>
      <c r="IMN15" s="239"/>
      <c r="IMO15" s="239"/>
      <c r="IMP15" s="239"/>
      <c r="IMQ15" s="239"/>
      <c r="IMR15" s="239"/>
      <c r="IMS15" s="239"/>
      <c r="IMT15" s="239"/>
      <c r="IMU15" s="239"/>
      <c r="IMV15" s="239"/>
      <c r="IMW15" s="239"/>
      <c r="IMX15" s="239"/>
      <c r="IMY15" s="239"/>
      <c r="IMZ15" s="239"/>
      <c r="INA15" s="239"/>
      <c r="INB15" s="239"/>
      <c r="INC15" s="239"/>
      <c r="IND15" s="239"/>
      <c r="INE15" s="239"/>
      <c r="INF15" s="239"/>
      <c r="ING15" s="239"/>
      <c r="INH15" s="239"/>
      <c r="INI15" s="239"/>
      <c r="INJ15" s="239"/>
      <c r="INK15" s="239"/>
      <c r="INL15" s="239"/>
      <c r="INM15" s="239"/>
      <c r="INN15" s="239"/>
      <c r="INO15" s="239"/>
      <c r="INP15" s="239"/>
      <c r="INQ15" s="239"/>
      <c r="INR15" s="239"/>
      <c r="INS15" s="239"/>
      <c r="INT15" s="239"/>
      <c r="INU15" s="239"/>
      <c r="INV15" s="239"/>
      <c r="INW15" s="239"/>
      <c r="INX15" s="239"/>
      <c r="INY15" s="239"/>
      <c r="INZ15" s="239"/>
      <c r="IOA15" s="239"/>
      <c r="IOB15" s="239"/>
      <c r="IOC15" s="239"/>
      <c r="IOD15" s="239"/>
      <c r="IOE15" s="239"/>
      <c r="IOF15" s="239"/>
      <c r="IOG15" s="239"/>
      <c r="IOH15" s="239"/>
      <c r="IOI15" s="239"/>
      <c r="IOJ15" s="239"/>
      <c r="IOK15" s="239"/>
      <c r="IOL15" s="239"/>
      <c r="IOM15" s="239"/>
      <c r="ION15" s="239"/>
      <c r="IOO15" s="239"/>
      <c r="IOP15" s="239"/>
      <c r="IOQ15" s="239"/>
      <c r="IOR15" s="239"/>
      <c r="IOS15" s="239"/>
      <c r="IOT15" s="239"/>
      <c r="IOU15" s="239"/>
      <c r="IOV15" s="239"/>
      <c r="IOW15" s="239"/>
      <c r="IOX15" s="239"/>
      <c r="IOY15" s="239"/>
      <c r="IOZ15" s="239"/>
      <c r="IPA15" s="239"/>
      <c r="IPB15" s="239"/>
      <c r="IPC15" s="239"/>
      <c r="IPD15" s="239"/>
      <c r="IPE15" s="239"/>
      <c r="IPF15" s="239"/>
      <c r="IPG15" s="239"/>
      <c r="IPH15" s="239"/>
      <c r="IPI15" s="239"/>
      <c r="IPJ15" s="239"/>
      <c r="IPK15" s="239"/>
      <c r="IPL15" s="239"/>
      <c r="IPM15" s="239"/>
      <c r="IPN15" s="239"/>
      <c r="IPO15" s="239"/>
      <c r="IPP15" s="239"/>
      <c r="IPQ15" s="239"/>
      <c r="IPR15" s="239"/>
      <c r="IPS15" s="239"/>
      <c r="IPT15" s="239"/>
      <c r="IPU15" s="239"/>
      <c r="IPV15" s="239"/>
      <c r="IPW15" s="239"/>
      <c r="IPX15" s="239"/>
      <c r="IPY15" s="239"/>
      <c r="IPZ15" s="239"/>
      <c r="IQA15" s="239"/>
      <c r="IQB15" s="239"/>
      <c r="IQC15" s="239"/>
      <c r="IQD15" s="239"/>
      <c r="IQE15" s="239"/>
      <c r="IQF15" s="239"/>
      <c r="IQG15" s="239"/>
      <c r="IQH15" s="239"/>
      <c r="IQI15" s="239"/>
      <c r="IQJ15" s="239"/>
      <c r="IQK15" s="239"/>
      <c r="IQL15" s="239"/>
      <c r="IQM15" s="239"/>
      <c r="IQN15" s="239"/>
      <c r="IQO15" s="239"/>
      <c r="IQP15" s="239"/>
      <c r="IQQ15" s="239"/>
      <c r="IQR15" s="239"/>
      <c r="IQS15" s="239"/>
      <c r="IQT15" s="239"/>
      <c r="IQU15" s="239"/>
      <c r="IQV15" s="239"/>
      <c r="IQW15" s="239"/>
      <c r="IQX15" s="239"/>
      <c r="IQY15" s="239"/>
      <c r="IQZ15" s="239"/>
      <c r="IRA15" s="239"/>
      <c r="IRB15" s="239"/>
      <c r="IRC15" s="239"/>
      <c r="IRD15" s="239"/>
      <c r="IRE15" s="239"/>
      <c r="IRF15" s="239"/>
      <c r="IRG15" s="239"/>
      <c r="IRH15" s="239"/>
      <c r="IRI15" s="239"/>
      <c r="IRJ15" s="239"/>
      <c r="IRK15" s="239"/>
      <c r="IRL15" s="239"/>
      <c r="IRM15" s="239"/>
      <c r="IRN15" s="239"/>
      <c r="IRO15" s="239"/>
      <c r="IRP15" s="239"/>
      <c r="IRQ15" s="239"/>
      <c r="IRR15" s="239"/>
      <c r="IRS15" s="239"/>
      <c r="IRT15" s="239"/>
      <c r="IRU15" s="239"/>
      <c r="IRV15" s="239"/>
      <c r="IRW15" s="239"/>
      <c r="IRX15" s="239"/>
      <c r="IRY15" s="239"/>
      <c r="IRZ15" s="239"/>
      <c r="ISA15" s="239"/>
      <c r="ISB15" s="239"/>
      <c r="ISC15" s="239"/>
      <c r="ISD15" s="239"/>
      <c r="ISE15" s="239"/>
      <c r="ISF15" s="239"/>
      <c r="ISG15" s="239"/>
      <c r="ISH15" s="239"/>
      <c r="ISI15" s="239"/>
      <c r="ISJ15" s="239"/>
      <c r="ISK15" s="239"/>
      <c r="ISL15" s="239"/>
      <c r="ISM15" s="239"/>
      <c r="ISN15" s="239"/>
      <c r="ISO15" s="239"/>
      <c r="ISP15" s="239"/>
      <c r="ISQ15" s="239"/>
      <c r="ISR15" s="239"/>
      <c r="ISS15" s="239"/>
      <c r="IST15" s="239"/>
      <c r="ISU15" s="239"/>
      <c r="ISV15" s="239"/>
      <c r="ISW15" s="239"/>
      <c r="ISX15" s="239"/>
      <c r="ISY15" s="239"/>
      <c r="ISZ15" s="239"/>
      <c r="ITA15" s="239"/>
      <c r="ITB15" s="239"/>
      <c r="ITC15" s="239"/>
      <c r="ITD15" s="239"/>
      <c r="ITE15" s="239"/>
      <c r="ITF15" s="239"/>
      <c r="ITG15" s="239"/>
      <c r="ITH15" s="239"/>
      <c r="ITI15" s="239"/>
      <c r="ITJ15" s="239"/>
      <c r="ITK15" s="239"/>
      <c r="ITL15" s="239"/>
      <c r="ITM15" s="239"/>
      <c r="ITN15" s="239"/>
      <c r="ITO15" s="239"/>
      <c r="ITP15" s="239"/>
      <c r="ITQ15" s="239"/>
      <c r="ITR15" s="239"/>
      <c r="ITS15" s="239"/>
      <c r="ITT15" s="239"/>
      <c r="ITU15" s="239"/>
      <c r="ITV15" s="239"/>
      <c r="ITW15" s="239"/>
      <c r="ITX15" s="239"/>
      <c r="ITY15" s="239"/>
      <c r="ITZ15" s="239"/>
      <c r="IUA15" s="239"/>
      <c r="IUB15" s="239"/>
      <c r="IUC15" s="239"/>
      <c r="IUD15" s="239"/>
      <c r="IUE15" s="239"/>
      <c r="IUF15" s="239"/>
      <c r="IUG15" s="239"/>
      <c r="IUH15" s="239"/>
      <c r="IUI15" s="239"/>
      <c r="IUJ15" s="239"/>
      <c r="IUK15" s="239"/>
      <c r="IUL15" s="239"/>
      <c r="IUM15" s="239"/>
      <c r="IUN15" s="239"/>
      <c r="IUO15" s="239"/>
      <c r="IUP15" s="239"/>
      <c r="IUQ15" s="239"/>
      <c r="IUR15" s="239"/>
      <c r="IUS15" s="239"/>
      <c r="IUT15" s="239"/>
      <c r="IUU15" s="239"/>
      <c r="IUV15" s="239"/>
      <c r="IUW15" s="239"/>
      <c r="IUX15" s="239"/>
      <c r="IUY15" s="239"/>
      <c r="IUZ15" s="239"/>
      <c r="IVA15" s="239"/>
      <c r="IVB15" s="239"/>
      <c r="IVC15" s="239"/>
      <c r="IVD15" s="239"/>
      <c r="IVE15" s="239"/>
      <c r="IVF15" s="239"/>
      <c r="IVG15" s="239"/>
      <c r="IVH15" s="239"/>
      <c r="IVI15" s="239"/>
      <c r="IVJ15" s="239"/>
      <c r="IVK15" s="239"/>
      <c r="IVL15" s="239"/>
      <c r="IVM15" s="239"/>
      <c r="IVN15" s="239"/>
      <c r="IVO15" s="239"/>
      <c r="IVP15" s="239"/>
      <c r="IVQ15" s="239"/>
      <c r="IVR15" s="239"/>
      <c r="IVS15" s="239"/>
      <c r="IVT15" s="239"/>
      <c r="IVU15" s="239"/>
      <c r="IVV15" s="239"/>
      <c r="IVW15" s="239"/>
      <c r="IVX15" s="239"/>
      <c r="IVY15" s="239"/>
      <c r="IVZ15" s="239"/>
      <c r="IWA15" s="239"/>
      <c r="IWB15" s="239"/>
      <c r="IWC15" s="239"/>
      <c r="IWD15" s="239"/>
      <c r="IWE15" s="239"/>
      <c r="IWF15" s="239"/>
      <c r="IWG15" s="239"/>
      <c r="IWH15" s="239"/>
      <c r="IWI15" s="239"/>
      <c r="IWJ15" s="239"/>
      <c r="IWK15" s="239"/>
      <c r="IWL15" s="239"/>
      <c r="IWM15" s="239"/>
      <c r="IWN15" s="239"/>
      <c r="IWO15" s="239"/>
      <c r="IWP15" s="239"/>
      <c r="IWQ15" s="239"/>
      <c r="IWR15" s="239"/>
      <c r="IWS15" s="239"/>
      <c r="IWT15" s="239"/>
      <c r="IWU15" s="239"/>
      <c r="IWV15" s="239"/>
      <c r="IWW15" s="239"/>
      <c r="IWX15" s="239"/>
      <c r="IWY15" s="239"/>
      <c r="IWZ15" s="239"/>
      <c r="IXA15" s="239"/>
      <c r="IXB15" s="239"/>
      <c r="IXC15" s="239"/>
      <c r="IXD15" s="239"/>
      <c r="IXE15" s="239"/>
      <c r="IXF15" s="239"/>
      <c r="IXG15" s="239"/>
      <c r="IXH15" s="239"/>
      <c r="IXI15" s="239"/>
      <c r="IXJ15" s="239"/>
      <c r="IXK15" s="239"/>
      <c r="IXL15" s="239"/>
      <c r="IXM15" s="239"/>
      <c r="IXN15" s="239"/>
      <c r="IXO15" s="239"/>
      <c r="IXP15" s="239"/>
      <c r="IXQ15" s="239"/>
      <c r="IXR15" s="239"/>
      <c r="IXS15" s="239"/>
      <c r="IXT15" s="239"/>
      <c r="IXU15" s="239"/>
      <c r="IXV15" s="239"/>
      <c r="IXW15" s="239"/>
      <c r="IXX15" s="239"/>
      <c r="IXY15" s="239"/>
      <c r="IXZ15" s="239"/>
      <c r="IYA15" s="239"/>
      <c r="IYB15" s="239"/>
      <c r="IYC15" s="239"/>
      <c r="IYD15" s="239"/>
      <c r="IYE15" s="239"/>
      <c r="IYF15" s="239"/>
      <c r="IYG15" s="239"/>
      <c r="IYH15" s="239"/>
      <c r="IYI15" s="239"/>
      <c r="IYJ15" s="239"/>
      <c r="IYK15" s="239"/>
      <c r="IYL15" s="239"/>
      <c r="IYM15" s="239"/>
      <c r="IYN15" s="239"/>
      <c r="IYO15" s="239"/>
      <c r="IYP15" s="239"/>
      <c r="IYQ15" s="239"/>
      <c r="IYR15" s="239"/>
      <c r="IYS15" s="239"/>
      <c r="IYT15" s="239"/>
      <c r="IYU15" s="239"/>
      <c r="IYV15" s="239"/>
      <c r="IYW15" s="239"/>
      <c r="IYX15" s="239"/>
      <c r="IYY15" s="239"/>
      <c r="IYZ15" s="239"/>
      <c r="IZA15" s="239"/>
      <c r="IZB15" s="239"/>
      <c r="IZC15" s="239"/>
      <c r="IZD15" s="239"/>
      <c r="IZE15" s="239"/>
      <c r="IZF15" s="239"/>
      <c r="IZG15" s="239"/>
      <c r="IZH15" s="239"/>
      <c r="IZI15" s="239"/>
      <c r="IZJ15" s="239"/>
      <c r="IZK15" s="239"/>
      <c r="IZL15" s="239"/>
      <c r="IZM15" s="239"/>
      <c r="IZN15" s="239"/>
      <c r="IZO15" s="239"/>
      <c r="IZP15" s="239"/>
      <c r="IZQ15" s="239"/>
      <c r="IZR15" s="239"/>
      <c r="IZS15" s="239"/>
      <c r="IZT15" s="239"/>
      <c r="IZU15" s="239"/>
      <c r="IZV15" s="239"/>
      <c r="IZW15" s="239"/>
      <c r="IZX15" s="239"/>
      <c r="IZY15" s="239"/>
      <c r="IZZ15" s="239"/>
      <c r="JAA15" s="239"/>
      <c r="JAB15" s="239"/>
      <c r="JAC15" s="239"/>
      <c r="JAD15" s="239"/>
      <c r="JAE15" s="239"/>
      <c r="JAF15" s="239"/>
      <c r="JAG15" s="239"/>
      <c r="JAH15" s="239"/>
      <c r="JAI15" s="239"/>
      <c r="JAJ15" s="239"/>
      <c r="JAK15" s="239"/>
      <c r="JAL15" s="239"/>
      <c r="JAM15" s="239"/>
      <c r="JAN15" s="239"/>
      <c r="JAO15" s="239"/>
      <c r="JAP15" s="239"/>
      <c r="JAQ15" s="239"/>
      <c r="JAR15" s="239"/>
      <c r="JAS15" s="239"/>
      <c r="JAT15" s="239"/>
      <c r="JAU15" s="239"/>
      <c r="JAV15" s="239"/>
      <c r="JAW15" s="239"/>
      <c r="JAX15" s="239"/>
      <c r="JAY15" s="239"/>
      <c r="JAZ15" s="239"/>
      <c r="JBA15" s="239"/>
      <c r="JBB15" s="239"/>
      <c r="JBC15" s="239"/>
      <c r="JBD15" s="239"/>
      <c r="JBE15" s="239"/>
      <c r="JBF15" s="239"/>
      <c r="JBG15" s="239"/>
      <c r="JBH15" s="239"/>
      <c r="JBI15" s="239"/>
      <c r="JBJ15" s="239"/>
      <c r="JBK15" s="239"/>
      <c r="JBL15" s="239"/>
      <c r="JBM15" s="239"/>
      <c r="JBN15" s="239"/>
      <c r="JBO15" s="239"/>
      <c r="JBP15" s="239"/>
      <c r="JBQ15" s="239"/>
      <c r="JBR15" s="239"/>
      <c r="JBS15" s="239"/>
      <c r="JBT15" s="239"/>
      <c r="JBU15" s="239"/>
      <c r="JBV15" s="239"/>
      <c r="JBW15" s="239"/>
      <c r="JBX15" s="239"/>
      <c r="JBY15" s="239"/>
      <c r="JBZ15" s="239"/>
      <c r="JCA15" s="239"/>
      <c r="JCB15" s="239"/>
      <c r="JCC15" s="239"/>
      <c r="JCD15" s="239"/>
      <c r="JCE15" s="239"/>
      <c r="JCF15" s="239"/>
      <c r="JCG15" s="239"/>
      <c r="JCH15" s="239"/>
      <c r="JCI15" s="239"/>
      <c r="JCJ15" s="239"/>
      <c r="JCK15" s="239"/>
      <c r="JCL15" s="239"/>
      <c r="JCM15" s="239"/>
      <c r="JCN15" s="239"/>
      <c r="JCO15" s="239"/>
      <c r="JCP15" s="239"/>
      <c r="JCQ15" s="239"/>
      <c r="JCR15" s="239"/>
      <c r="JCS15" s="239"/>
      <c r="JCT15" s="239"/>
      <c r="JCU15" s="239"/>
      <c r="JCV15" s="239"/>
      <c r="JCW15" s="239"/>
      <c r="JCX15" s="239"/>
      <c r="JCY15" s="239"/>
      <c r="JCZ15" s="239"/>
      <c r="JDA15" s="239"/>
      <c r="JDB15" s="239"/>
      <c r="JDC15" s="239"/>
      <c r="JDD15" s="239"/>
      <c r="JDE15" s="239"/>
      <c r="JDF15" s="239"/>
      <c r="JDG15" s="239"/>
      <c r="JDH15" s="239"/>
      <c r="JDI15" s="239"/>
      <c r="JDJ15" s="239"/>
      <c r="JDK15" s="239"/>
      <c r="JDL15" s="239"/>
      <c r="JDM15" s="239"/>
      <c r="JDN15" s="239"/>
      <c r="JDO15" s="239"/>
      <c r="JDP15" s="239"/>
      <c r="JDQ15" s="239"/>
      <c r="JDR15" s="239"/>
      <c r="JDS15" s="239"/>
      <c r="JDT15" s="239"/>
      <c r="JDU15" s="239"/>
      <c r="JDV15" s="239"/>
      <c r="JDW15" s="239"/>
      <c r="JDX15" s="239"/>
      <c r="JDY15" s="239"/>
      <c r="JDZ15" s="239"/>
      <c r="JEA15" s="239"/>
      <c r="JEB15" s="239"/>
      <c r="JEC15" s="239"/>
      <c r="JED15" s="239"/>
      <c r="JEE15" s="239"/>
      <c r="JEF15" s="239"/>
      <c r="JEG15" s="239"/>
      <c r="JEH15" s="239"/>
      <c r="JEI15" s="239"/>
      <c r="JEJ15" s="239"/>
      <c r="JEK15" s="239"/>
      <c r="JEL15" s="239"/>
      <c r="JEM15" s="239"/>
      <c r="JEN15" s="239"/>
      <c r="JEO15" s="239"/>
      <c r="JEP15" s="239"/>
      <c r="JEQ15" s="239"/>
      <c r="JER15" s="239"/>
      <c r="JES15" s="239"/>
      <c r="JET15" s="239"/>
      <c r="JEU15" s="239"/>
      <c r="JEV15" s="239"/>
      <c r="JEW15" s="239"/>
      <c r="JEX15" s="239"/>
      <c r="JEY15" s="239"/>
      <c r="JEZ15" s="239"/>
      <c r="JFA15" s="239"/>
      <c r="JFB15" s="239"/>
      <c r="JFC15" s="239"/>
      <c r="JFD15" s="239"/>
      <c r="JFE15" s="239"/>
      <c r="JFF15" s="239"/>
      <c r="JFG15" s="239"/>
      <c r="JFH15" s="239"/>
      <c r="JFI15" s="239"/>
      <c r="JFJ15" s="239"/>
      <c r="JFK15" s="239"/>
      <c r="JFL15" s="239"/>
      <c r="JFM15" s="239"/>
      <c r="JFN15" s="239"/>
      <c r="JFO15" s="239"/>
      <c r="JFP15" s="239"/>
      <c r="JFQ15" s="239"/>
      <c r="JFR15" s="239"/>
      <c r="JFS15" s="239"/>
      <c r="JFT15" s="239"/>
      <c r="JFU15" s="239"/>
      <c r="JFV15" s="239"/>
      <c r="JFW15" s="239"/>
      <c r="JFX15" s="239"/>
      <c r="JFY15" s="239"/>
      <c r="JFZ15" s="239"/>
      <c r="JGA15" s="239"/>
      <c r="JGB15" s="239"/>
      <c r="JGC15" s="239"/>
      <c r="JGD15" s="239"/>
      <c r="JGE15" s="239"/>
      <c r="JGF15" s="239"/>
      <c r="JGG15" s="239"/>
      <c r="JGH15" s="239"/>
      <c r="JGI15" s="239"/>
      <c r="JGJ15" s="239"/>
      <c r="JGK15" s="239"/>
      <c r="JGL15" s="239"/>
      <c r="JGM15" s="239"/>
      <c r="JGN15" s="239"/>
      <c r="JGO15" s="239"/>
      <c r="JGP15" s="239"/>
      <c r="JGQ15" s="239"/>
      <c r="JGR15" s="239"/>
      <c r="JGS15" s="239"/>
      <c r="JGT15" s="239"/>
      <c r="JGU15" s="239"/>
      <c r="JGV15" s="239"/>
      <c r="JGW15" s="239"/>
      <c r="JGX15" s="239"/>
      <c r="JGY15" s="239"/>
      <c r="JGZ15" s="239"/>
      <c r="JHA15" s="239"/>
      <c r="JHB15" s="239"/>
      <c r="JHC15" s="239"/>
      <c r="JHD15" s="239"/>
      <c r="JHE15" s="239"/>
      <c r="JHF15" s="239"/>
      <c r="JHG15" s="239"/>
      <c r="JHH15" s="239"/>
      <c r="JHI15" s="239"/>
      <c r="JHJ15" s="239"/>
      <c r="JHK15" s="239"/>
      <c r="JHL15" s="239"/>
      <c r="JHM15" s="239"/>
      <c r="JHN15" s="239"/>
      <c r="JHO15" s="239"/>
      <c r="JHP15" s="239"/>
      <c r="JHQ15" s="239"/>
      <c r="JHR15" s="239"/>
      <c r="JHS15" s="239"/>
      <c r="JHT15" s="239"/>
      <c r="JHU15" s="239"/>
      <c r="JHV15" s="239"/>
      <c r="JHW15" s="239"/>
      <c r="JHX15" s="239"/>
      <c r="JHY15" s="239"/>
      <c r="JHZ15" s="239"/>
      <c r="JIA15" s="239"/>
      <c r="JIB15" s="239"/>
      <c r="JIC15" s="239"/>
      <c r="JID15" s="239"/>
      <c r="JIE15" s="239"/>
      <c r="JIF15" s="239"/>
      <c r="JIG15" s="239"/>
      <c r="JIH15" s="239"/>
      <c r="JII15" s="239"/>
      <c r="JIJ15" s="239"/>
      <c r="JIK15" s="239"/>
      <c r="JIL15" s="239"/>
      <c r="JIM15" s="239"/>
      <c r="JIN15" s="239"/>
      <c r="JIO15" s="239"/>
      <c r="JIP15" s="239"/>
      <c r="JIQ15" s="239"/>
      <c r="JIR15" s="239"/>
      <c r="JIS15" s="239"/>
      <c r="JIT15" s="239"/>
      <c r="JIU15" s="239"/>
      <c r="JIV15" s="239"/>
      <c r="JIW15" s="239"/>
      <c r="JIX15" s="239"/>
      <c r="JIY15" s="239"/>
      <c r="JIZ15" s="239"/>
      <c r="JJA15" s="239"/>
      <c r="JJB15" s="239"/>
      <c r="JJC15" s="239"/>
      <c r="JJD15" s="239"/>
      <c r="JJE15" s="239"/>
      <c r="JJF15" s="239"/>
      <c r="JJG15" s="239"/>
      <c r="JJH15" s="239"/>
      <c r="JJI15" s="239"/>
      <c r="JJJ15" s="239"/>
      <c r="JJK15" s="239"/>
      <c r="JJL15" s="239"/>
      <c r="JJM15" s="239"/>
      <c r="JJN15" s="239"/>
      <c r="JJO15" s="239"/>
      <c r="JJP15" s="239"/>
      <c r="JJQ15" s="239"/>
      <c r="JJR15" s="239"/>
      <c r="JJS15" s="239"/>
      <c r="JJT15" s="239"/>
      <c r="JJU15" s="239"/>
      <c r="JJV15" s="239"/>
      <c r="JJW15" s="239"/>
      <c r="JJX15" s="239"/>
      <c r="JJY15" s="239"/>
      <c r="JJZ15" s="239"/>
      <c r="JKA15" s="239"/>
      <c r="JKB15" s="239"/>
      <c r="JKC15" s="239"/>
      <c r="JKD15" s="239"/>
      <c r="JKE15" s="239"/>
      <c r="JKF15" s="239"/>
      <c r="JKG15" s="239"/>
      <c r="JKH15" s="239"/>
      <c r="JKI15" s="239"/>
      <c r="JKJ15" s="239"/>
      <c r="JKK15" s="239"/>
      <c r="JKL15" s="239"/>
      <c r="JKM15" s="239"/>
      <c r="JKN15" s="239"/>
      <c r="JKO15" s="239"/>
      <c r="JKP15" s="239"/>
      <c r="JKQ15" s="239"/>
      <c r="JKR15" s="239"/>
      <c r="JKS15" s="239"/>
      <c r="JKT15" s="239"/>
      <c r="JKU15" s="239"/>
      <c r="JKV15" s="239"/>
      <c r="JKW15" s="239"/>
      <c r="JKX15" s="239"/>
      <c r="JKY15" s="239"/>
      <c r="JKZ15" s="239"/>
      <c r="JLA15" s="239"/>
      <c r="JLB15" s="239"/>
      <c r="JLC15" s="239"/>
      <c r="JLD15" s="239"/>
      <c r="JLE15" s="239"/>
      <c r="JLF15" s="239"/>
      <c r="JLG15" s="239"/>
      <c r="JLH15" s="239"/>
      <c r="JLI15" s="239"/>
      <c r="JLJ15" s="239"/>
      <c r="JLK15" s="239"/>
      <c r="JLL15" s="239"/>
      <c r="JLM15" s="239"/>
      <c r="JLN15" s="239"/>
      <c r="JLO15" s="239"/>
      <c r="JLP15" s="239"/>
      <c r="JLQ15" s="239"/>
      <c r="JLR15" s="239"/>
      <c r="JLS15" s="239"/>
      <c r="JLT15" s="239"/>
      <c r="JLU15" s="239"/>
      <c r="JLV15" s="239"/>
      <c r="JLW15" s="239"/>
      <c r="JLX15" s="239"/>
      <c r="JLY15" s="239"/>
      <c r="JLZ15" s="239"/>
      <c r="JMA15" s="239"/>
      <c r="JMB15" s="239"/>
      <c r="JMC15" s="239"/>
      <c r="JMD15" s="239"/>
      <c r="JME15" s="239"/>
      <c r="JMF15" s="239"/>
      <c r="JMG15" s="239"/>
      <c r="JMH15" s="239"/>
      <c r="JMI15" s="239"/>
      <c r="JMJ15" s="239"/>
      <c r="JMK15" s="239"/>
      <c r="JML15" s="239"/>
      <c r="JMM15" s="239"/>
      <c r="JMN15" s="239"/>
      <c r="JMO15" s="239"/>
      <c r="JMP15" s="239"/>
      <c r="JMQ15" s="239"/>
      <c r="JMR15" s="239"/>
      <c r="JMS15" s="239"/>
      <c r="JMT15" s="239"/>
      <c r="JMU15" s="239"/>
      <c r="JMV15" s="239"/>
      <c r="JMW15" s="239"/>
      <c r="JMX15" s="239"/>
      <c r="JMY15" s="239"/>
      <c r="JMZ15" s="239"/>
      <c r="JNA15" s="239"/>
      <c r="JNB15" s="239"/>
      <c r="JNC15" s="239"/>
      <c r="JND15" s="239"/>
      <c r="JNE15" s="239"/>
      <c r="JNF15" s="239"/>
      <c r="JNG15" s="239"/>
      <c r="JNH15" s="239"/>
      <c r="JNI15" s="239"/>
      <c r="JNJ15" s="239"/>
      <c r="JNK15" s="239"/>
      <c r="JNL15" s="239"/>
      <c r="JNM15" s="239"/>
      <c r="JNN15" s="239"/>
      <c r="JNO15" s="239"/>
      <c r="JNP15" s="239"/>
      <c r="JNQ15" s="239"/>
      <c r="JNR15" s="239"/>
      <c r="JNS15" s="239"/>
      <c r="JNT15" s="239"/>
      <c r="JNU15" s="239"/>
      <c r="JNV15" s="239"/>
      <c r="JNW15" s="239"/>
      <c r="JNX15" s="239"/>
      <c r="JNY15" s="239"/>
      <c r="JNZ15" s="239"/>
      <c r="JOA15" s="239"/>
      <c r="JOB15" s="239"/>
      <c r="JOC15" s="239"/>
      <c r="JOD15" s="239"/>
      <c r="JOE15" s="239"/>
      <c r="JOF15" s="239"/>
      <c r="JOG15" s="239"/>
      <c r="JOH15" s="239"/>
      <c r="JOI15" s="239"/>
      <c r="JOJ15" s="239"/>
      <c r="JOK15" s="239"/>
      <c r="JOL15" s="239"/>
      <c r="JOM15" s="239"/>
      <c r="JON15" s="239"/>
      <c r="JOO15" s="239"/>
      <c r="JOP15" s="239"/>
      <c r="JOQ15" s="239"/>
      <c r="JOR15" s="239"/>
      <c r="JOS15" s="239"/>
      <c r="JOT15" s="239"/>
      <c r="JOU15" s="239"/>
      <c r="JOV15" s="239"/>
      <c r="JOW15" s="239"/>
      <c r="JOX15" s="239"/>
      <c r="JOY15" s="239"/>
      <c r="JOZ15" s="239"/>
      <c r="JPA15" s="239"/>
      <c r="JPB15" s="239"/>
      <c r="JPC15" s="239"/>
      <c r="JPD15" s="239"/>
      <c r="JPE15" s="239"/>
      <c r="JPF15" s="239"/>
      <c r="JPG15" s="239"/>
      <c r="JPH15" s="239"/>
      <c r="JPI15" s="239"/>
      <c r="JPJ15" s="239"/>
      <c r="JPK15" s="239"/>
      <c r="JPL15" s="239"/>
      <c r="JPM15" s="239"/>
      <c r="JPN15" s="239"/>
      <c r="JPO15" s="239"/>
      <c r="JPP15" s="239"/>
      <c r="JPQ15" s="239"/>
      <c r="JPR15" s="239"/>
      <c r="JPS15" s="239"/>
      <c r="JPT15" s="239"/>
      <c r="JPU15" s="239"/>
      <c r="JPV15" s="239"/>
      <c r="JPW15" s="239"/>
      <c r="JPX15" s="239"/>
      <c r="JPY15" s="239"/>
      <c r="JPZ15" s="239"/>
      <c r="JQA15" s="239"/>
      <c r="JQB15" s="239"/>
      <c r="JQC15" s="239"/>
      <c r="JQD15" s="239"/>
      <c r="JQE15" s="239"/>
      <c r="JQF15" s="239"/>
      <c r="JQG15" s="239"/>
      <c r="JQH15" s="239"/>
      <c r="JQI15" s="239"/>
      <c r="JQJ15" s="239"/>
      <c r="JQK15" s="239"/>
      <c r="JQL15" s="239"/>
      <c r="JQM15" s="239"/>
      <c r="JQN15" s="239"/>
      <c r="JQO15" s="239"/>
      <c r="JQP15" s="239"/>
      <c r="JQQ15" s="239"/>
      <c r="JQR15" s="239"/>
      <c r="JQS15" s="239"/>
      <c r="JQT15" s="239"/>
      <c r="JQU15" s="239"/>
      <c r="JQV15" s="239"/>
      <c r="JQW15" s="239"/>
      <c r="JQX15" s="239"/>
      <c r="JQY15" s="239"/>
      <c r="JQZ15" s="239"/>
      <c r="JRA15" s="239"/>
      <c r="JRB15" s="239"/>
      <c r="JRC15" s="239"/>
      <c r="JRD15" s="239"/>
      <c r="JRE15" s="239"/>
      <c r="JRF15" s="239"/>
      <c r="JRG15" s="239"/>
      <c r="JRH15" s="239"/>
      <c r="JRI15" s="239"/>
      <c r="JRJ15" s="239"/>
      <c r="JRK15" s="239"/>
      <c r="JRL15" s="239"/>
      <c r="JRM15" s="239"/>
      <c r="JRN15" s="239"/>
      <c r="JRO15" s="239"/>
      <c r="JRP15" s="239"/>
      <c r="JRQ15" s="239"/>
      <c r="JRR15" s="239"/>
      <c r="JRS15" s="239"/>
      <c r="JRT15" s="239"/>
      <c r="JRU15" s="239"/>
      <c r="JRV15" s="239"/>
      <c r="JRW15" s="239"/>
      <c r="JRX15" s="239"/>
      <c r="JRY15" s="239"/>
      <c r="JRZ15" s="239"/>
      <c r="JSA15" s="239"/>
      <c r="JSB15" s="239"/>
      <c r="JSC15" s="239"/>
      <c r="JSD15" s="239"/>
      <c r="JSE15" s="239"/>
      <c r="JSF15" s="239"/>
      <c r="JSG15" s="239"/>
      <c r="JSH15" s="239"/>
      <c r="JSI15" s="239"/>
      <c r="JSJ15" s="239"/>
      <c r="JSK15" s="239"/>
      <c r="JSL15" s="239"/>
      <c r="JSM15" s="239"/>
      <c r="JSN15" s="239"/>
      <c r="JSO15" s="239"/>
      <c r="JSP15" s="239"/>
      <c r="JSQ15" s="239"/>
      <c r="JSR15" s="239"/>
      <c r="JSS15" s="239"/>
      <c r="JST15" s="239"/>
      <c r="JSU15" s="239"/>
      <c r="JSV15" s="239"/>
      <c r="JSW15" s="239"/>
      <c r="JSX15" s="239"/>
      <c r="JSY15" s="239"/>
      <c r="JSZ15" s="239"/>
      <c r="JTA15" s="239"/>
      <c r="JTB15" s="239"/>
      <c r="JTC15" s="239"/>
      <c r="JTD15" s="239"/>
      <c r="JTE15" s="239"/>
      <c r="JTF15" s="239"/>
      <c r="JTG15" s="239"/>
      <c r="JTH15" s="239"/>
      <c r="JTI15" s="239"/>
      <c r="JTJ15" s="239"/>
      <c r="JTK15" s="239"/>
      <c r="JTL15" s="239"/>
      <c r="JTM15" s="239"/>
      <c r="JTN15" s="239"/>
      <c r="JTO15" s="239"/>
      <c r="JTP15" s="239"/>
      <c r="JTQ15" s="239"/>
      <c r="JTR15" s="239"/>
      <c r="JTS15" s="239"/>
      <c r="JTT15" s="239"/>
      <c r="JTU15" s="239"/>
      <c r="JTV15" s="239"/>
      <c r="JTW15" s="239"/>
      <c r="JTX15" s="239"/>
      <c r="JTY15" s="239"/>
      <c r="JTZ15" s="239"/>
      <c r="JUA15" s="239"/>
      <c r="JUB15" s="239"/>
      <c r="JUC15" s="239"/>
      <c r="JUD15" s="239"/>
      <c r="JUE15" s="239"/>
      <c r="JUF15" s="239"/>
      <c r="JUG15" s="239"/>
      <c r="JUH15" s="239"/>
      <c r="JUI15" s="239"/>
      <c r="JUJ15" s="239"/>
      <c r="JUK15" s="239"/>
      <c r="JUL15" s="239"/>
      <c r="JUM15" s="239"/>
      <c r="JUN15" s="239"/>
      <c r="JUO15" s="239"/>
      <c r="JUP15" s="239"/>
      <c r="JUQ15" s="239"/>
      <c r="JUR15" s="239"/>
      <c r="JUS15" s="239"/>
      <c r="JUT15" s="239"/>
      <c r="JUU15" s="239"/>
      <c r="JUV15" s="239"/>
      <c r="JUW15" s="239"/>
      <c r="JUX15" s="239"/>
      <c r="JUY15" s="239"/>
      <c r="JUZ15" s="239"/>
      <c r="JVA15" s="239"/>
      <c r="JVB15" s="239"/>
      <c r="JVC15" s="239"/>
      <c r="JVD15" s="239"/>
      <c r="JVE15" s="239"/>
      <c r="JVF15" s="239"/>
      <c r="JVG15" s="239"/>
      <c r="JVH15" s="239"/>
      <c r="JVI15" s="239"/>
      <c r="JVJ15" s="239"/>
      <c r="JVK15" s="239"/>
      <c r="JVL15" s="239"/>
      <c r="JVM15" s="239"/>
      <c r="JVN15" s="239"/>
      <c r="JVO15" s="239"/>
      <c r="JVP15" s="239"/>
      <c r="JVQ15" s="239"/>
      <c r="JVR15" s="239"/>
      <c r="JVS15" s="239"/>
      <c r="JVT15" s="239"/>
      <c r="JVU15" s="239"/>
      <c r="JVV15" s="239"/>
      <c r="JVW15" s="239"/>
      <c r="JVX15" s="239"/>
      <c r="JVY15" s="239"/>
      <c r="JVZ15" s="239"/>
      <c r="JWA15" s="239"/>
      <c r="JWB15" s="239"/>
      <c r="JWC15" s="239"/>
      <c r="JWD15" s="239"/>
      <c r="JWE15" s="239"/>
      <c r="JWF15" s="239"/>
      <c r="JWG15" s="239"/>
      <c r="JWH15" s="239"/>
      <c r="JWI15" s="239"/>
      <c r="JWJ15" s="239"/>
      <c r="JWK15" s="239"/>
      <c r="JWL15" s="239"/>
      <c r="JWM15" s="239"/>
      <c r="JWN15" s="239"/>
      <c r="JWO15" s="239"/>
      <c r="JWP15" s="239"/>
      <c r="JWQ15" s="239"/>
      <c r="JWR15" s="239"/>
      <c r="JWS15" s="239"/>
      <c r="JWT15" s="239"/>
      <c r="JWU15" s="239"/>
      <c r="JWV15" s="239"/>
      <c r="JWW15" s="239"/>
      <c r="JWX15" s="239"/>
      <c r="JWY15" s="239"/>
      <c r="JWZ15" s="239"/>
      <c r="JXA15" s="239"/>
      <c r="JXB15" s="239"/>
      <c r="JXC15" s="239"/>
      <c r="JXD15" s="239"/>
      <c r="JXE15" s="239"/>
      <c r="JXF15" s="239"/>
      <c r="JXG15" s="239"/>
      <c r="JXH15" s="239"/>
      <c r="JXI15" s="239"/>
      <c r="JXJ15" s="239"/>
      <c r="JXK15" s="239"/>
      <c r="JXL15" s="239"/>
      <c r="JXM15" s="239"/>
      <c r="JXN15" s="239"/>
      <c r="JXO15" s="239"/>
      <c r="JXP15" s="239"/>
      <c r="JXQ15" s="239"/>
      <c r="JXR15" s="239"/>
      <c r="JXS15" s="239"/>
      <c r="JXT15" s="239"/>
      <c r="JXU15" s="239"/>
      <c r="JXV15" s="239"/>
      <c r="JXW15" s="239"/>
      <c r="JXX15" s="239"/>
      <c r="JXY15" s="239"/>
      <c r="JXZ15" s="239"/>
      <c r="JYA15" s="239"/>
      <c r="JYB15" s="239"/>
      <c r="JYC15" s="239"/>
      <c r="JYD15" s="239"/>
      <c r="JYE15" s="239"/>
      <c r="JYF15" s="239"/>
      <c r="JYG15" s="239"/>
      <c r="JYH15" s="239"/>
      <c r="JYI15" s="239"/>
      <c r="JYJ15" s="239"/>
      <c r="JYK15" s="239"/>
      <c r="JYL15" s="239"/>
      <c r="JYM15" s="239"/>
      <c r="JYN15" s="239"/>
      <c r="JYO15" s="239"/>
      <c r="JYP15" s="239"/>
      <c r="JYQ15" s="239"/>
      <c r="JYR15" s="239"/>
      <c r="JYS15" s="239"/>
      <c r="JYT15" s="239"/>
      <c r="JYU15" s="239"/>
      <c r="JYV15" s="239"/>
      <c r="JYW15" s="239"/>
      <c r="JYX15" s="239"/>
      <c r="JYY15" s="239"/>
      <c r="JYZ15" s="239"/>
      <c r="JZA15" s="239"/>
      <c r="JZB15" s="239"/>
      <c r="JZC15" s="239"/>
      <c r="JZD15" s="239"/>
      <c r="JZE15" s="239"/>
      <c r="JZF15" s="239"/>
      <c r="JZG15" s="239"/>
      <c r="JZH15" s="239"/>
      <c r="JZI15" s="239"/>
      <c r="JZJ15" s="239"/>
      <c r="JZK15" s="239"/>
      <c r="JZL15" s="239"/>
      <c r="JZM15" s="239"/>
      <c r="JZN15" s="239"/>
      <c r="JZO15" s="239"/>
      <c r="JZP15" s="239"/>
      <c r="JZQ15" s="239"/>
      <c r="JZR15" s="239"/>
      <c r="JZS15" s="239"/>
      <c r="JZT15" s="239"/>
      <c r="JZU15" s="239"/>
      <c r="JZV15" s="239"/>
      <c r="JZW15" s="239"/>
      <c r="JZX15" s="239"/>
      <c r="JZY15" s="239"/>
      <c r="JZZ15" s="239"/>
      <c r="KAA15" s="239"/>
      <c r="KAB15" s="239"/>
      <c r="KAC15" s="239"/>
      <c r="KAD15" s="239"/>
      <c r="KAE15" s="239"/>
      <c r="KAF15" s="239"/>
      <c r="KAG15" s="239"/>
      <c r="KAH15" s="239"/>
      <c r="KAI15" s="239"/>
      <c r="KAJ15" s="239"/>
      <c r="KAK15" s="239"/>
      <c r="KAL15" s="239"/>
      <c r="KAM15" s="239"/>
      <c r="KAN15" s="239"/>
      <c r="KAO15" s="239"/>
      <c r="KAP15" s="239"/>
      <c r="KAQ15" s="239"/>
      <c r="KAR15" s="239"/>
      <c r="KAS15" s="239"/>
      <c r="KAT15" s="239"/>
      <c r="KAU15" s="239"/>
      <c r="KAV15" s="239"/>
      <c r="KAW15" s="239"/>
      <c r="KAX15" s="239"/>
      <c r="KAY15" s="239"/>
      <c r="KAZ15" s="239"/>
      <c r="KBA15" s="239"/>
      <c r="KBB15" s="239"/>
      <c r="KBC15" s="239"/>
      <c r="KBD15" s="239"/>
      <c r="KBE15" s="239"/>
      <c r="KBF15" s="239"/>
      <c r="KBG15" s="239"/>
      <c r="KBH15" s="239"/>
      <c r="KBI15" s="239"/>
      <c r="KBJ15" s="239"/>
      <c r="KBK15" s="239"/>
      <c r="KBL15" s="239"/>
      <c r="KBM15" s="239"/>
      <c r="KBN15" s="239"/>
      <c r="KBO15" s="239"/>
      <c r="KBP15" s="239"/>
      <c r="KBQ15" s="239"/>
      <c r="KBR15" s="239"/>
      <c r="KBS15" s="239"/>
      <c r="KBT15" s="239"/>
      <c r="KBU15" s="239"/>
      <c r="KBV15" s="239"/>
      <c r="KBW15" s="239"/>
      <c r="KBX15" s="239"/>
      <c r="KBY15" s="239"/>
      <c r="KBZ15" s="239"/>
      <c r="KCA15" s="239"/>
      <c r="KCB15" s="239"/>
      <c r="KCC15" s="239"/>
      <c r="KCD15" s="239"/>
      <c r="KCE15" s="239"/>
      <c r="KCF15" s="239"/>
      <c r="KCG15" s="239"/>
      <c r="KCH15" s="239"/>
      <c r="KCI15" s="239"/>
      <c r="KCJ15" s="239"/>
      <c r="KCK15" s="239"/>
      <c r="KCL15" s="239"/>
      <c r="KCM15" s="239"/>
      <c r="KCN15" s="239"/>
      <c r="KCO15" s="239"/>
      <c r="KCP15" s="239"/>
      <c r="KCQ15" s="239"/>
      <c r="KCR15" s="239"/>
      <c r="KCS15" s="239"/>
      <c r="KCT15" s="239"/>
      <c r="KCU15" s="239"/>
      <c r="KCV15" s="239"/>
      <c r="KCW15" s="239"/>
      <c r="KCX15" s="239"/>
      <c r="KCY15" s="239"/>
      <c r="KCZ15" s="239"/>
      <c r="KDA15" s="239"/>
      <c r="KDB15" s="239"/>
      <c r="KDC15" s="239"/>
      <c r="KDD15" s="239"/>
      <c r="KDE15" s="239"/>
      <c r="KDF15" s="239"/>
      <c r="KDG15" s="239"/>
      <c r="KDH15" s="239"/>
      <c r="KDI15" s="239"/>
      <c r="KDJ15" s="239"/>
      <c r="KDK15" s="239"/>
      <c r="KDL15" s="239"/>
      <c r="KDM15" s="239"/>
      <c r="KDN15" s="239"/>
      <c r="KDO15" s="239"/>
      <c r="KDP15" s="239"/>
      <c r="KDQ15" s="239"/>
      <c r="KDR15" s="239"/>
      <c r="KDS15" s="239"/>
      <c r="KDT15" s="239"/>
      <c r="KDU15" s="239"/>
      <c r="KDV15" s="239"/>
      <c r="KDW15" s="239"/>
      <c r="KDX15" s="239"/>
      <c r="KDY15" s="239"/>
      <c r="KDZ15" s="239"/>
      <c r="KEA15" s="239"/>
      <c r="KEB15" s="239"/>
      <c r="KEC15" s="239"/>
      <c r="KED15" s="239"/>
      <c r="KEE15" s="239"/>
      <c r="KEF15" s="239"/>
      <c r="KEG15" s="239"/>
      <c r="KEH15" s="239"/>
      <c r="KEI15" s="239"/>
      <c r="KEJ15" s="239"/>
      <c r="KEK15" s="239"/>
      <c r="KEL15" s="239"/>
      <c r="KEM15" s="239"/>
      <c r="KEN15" s="239"/>
      <c r="KEO15" s="239"/>
      <c r="KEP15" s="239"/>
      <c r="KEQ15" s="239"/>
      <c r="KER15" s="239"/>
      <c r="KES15" s="239"/>
      <c r="KET15" s="239"/>
      <c r="KEU15" s="239"/>
      <c r="KEV15" s="239"/>
      <c r="KEW15" s="239"/>
      <c r="KEX15" s="239"/>
      <c r="KEY15" s="239"/>
      <c r="KEZ15" s="239"/>
      <c r="KFA15" s="239"/>
      <c r="KFB15" s="239"/>
      <c r="KFC15" s="239"/>
      <c r="KFD15" s="239"/>
      <c r="KFE15" s="239"/>
      <c r="KFF15" s="239"/>
      <c r="KFG15" s="239"/>
      <c r="KFH15" s="239"/>
      <c r="KFI15" s="239"/>
      <c r="KFJ15" s="239"/>
      <c r="KFK15" s="239"/>
      <c r="KFL15" s="239"/>
      <c r="KFM15" s="239"/>
      <c r="KFN15" s="239"/>
      <c r="KFO15" s="239"/>
      <c r="KFP15" s="239"/>
      <c r="KFQ15" s="239"/>
      <c r="KFR15" s="239"/>
      <c r="KFS15" s="239"/>
      <c r="KFT15" s="239"/>
      <c r="KFU15" s="239"/>
      <c r="KFV15" s="239"/>
      <c r="KFW15" s="239"/>
      <c r="KFX15" s="239"/>
      <c r="KFY15" s="239"/>
      <c r="KFZ15" s="239"/>
      <c r="KGA15" s="239"/>
      <c r="KGB15" s="239"/>
      <c r="KGC15" s="239"/>
      <c r="KGD15" s="239"/>
      <c r="KGE15" s="239"/>
      <c r="KGF15" s="239"/>
      <c r="KGG15" s="239"/>
      <c r="KGH15" s="239"/>
      <c r="KGI15" s="239"/>
      <c r="KGJ15" s="239"/>
      <c r="KGK15" s="239"/>
      <c r="KGL15" s="239"/>
      <c r="KGM15" s="239"/>
      <c r="KGN15" s="239"/>
      <c r="KGO15" s="239"/>
      <c r="KGP15" s="239"/>
      <c r="KGQ15" s="239"/>
      <c r="KGR15" s="239"/>
      <c r="KGS15" s="239"/>
      <c r="KGT15" s="239"/>
      <c r="KGU15" s="239"/>
      <c r="KGV15" s="239"/>
      <c r="KGW15" s="239"/>
      <c r="KGX15" s="239"/>
      <c r="KGY15" s="239"/>
      <c r="KGZ15" s="239"/>
      <c r="KHA15" s="239"/>
      <c r="KHB15" s="239"/>
      <c r="KHC15" s="239"/>
      <c r="KHD15" s="239"/>
      <c r="KHE15" s="239"/>
      <c r="KHF15" s="239"/>
      <c r="KHG15" s="239"/>
      <c r="KHH15" s="239"/>
      <c r="KHI15" s="239"/>
      <c r="KHJ15" s="239"/>
      <c r="KHK15" s="239"/>
      <c r="KHL15" s="239"/>
      <c r="KHM15" s="239"/>
      <c r="KHN15" s="239"/>
      <c r="KHO15" s="239"/>
      <c r="KHP15" s="239"/>
      <c r="KHQ15" s="239"/>
      <c r="KHR15" s="239"/>
      <c r="KHS15" s="239"/>
      <c r="KHT15" s="239"/>
      <c r="KHU15" s="239"/>
      <c r="KHV15" s="239"/>
      <c r="KHW15" s="239"/>
      <c r="KHX15" s="239"/>
      <c r="KHY15" s="239"/>
      <c r="KHZ15" s="239"/>
      <c r="KIA15" s="239"/>
      <c r="KIB15" s="239"/>
      <c r="KIC15" s="239"/>
      <c r="KID15" s="239"/>
      <c r="KIE15" s="239"/>
      <c r="KIF15" s="239"/>
      <c r="KIG15" s="239"/>
      <c r="KIH15" s="239"/>
      <c r="KII15" s="239"/>
      <c r="KIJ15" s="239"/>
      <c r="KIK15" s="239"/>
      <c r="KIL15" s="239"/>
      <c r="KIM15" s="239"/>
      <c r="KIN15" s="239"/>
      <c r="KIO15" s="239"/>
      <c r="KIP15" s="239"/>
      <c r="KIQ15" s="239"/>
      <c r="KIR15" s="239"/>
      <c r="KIS15" s="239"/>
      <c r="KIT15" s="239"/>
      <c r="KIU15" s="239"/>
      <c r="KIV15" s="239"/>
      <c r="KIW15" s="239"/>
      <c r="KIX15" s="239"/>
      <c r="KIY15" s="239"/>
      <c r="KIZ15" s="239"/>
      <c r="KJA15" s="239"/>
      <c r="KJB15" s="239"/>
      <c r="KJC15" s="239"/>
      <c r="KJD15" s="239"/>
      <c r="KJE15" s="239"/>
      <c r="KJF15" s="239"/>
      <c r="KJG15" s="239"/>
      <c r="KJH15" s="239"/>
      <c r="KJI15" s="239"/>
      <c r="KJJ15" s="239"/>
      <c r="KJK15" s="239"/>
      <c r="KJL15" s="239"/>
      <c r="KJM15" s="239"/>
      <c r="KJN15" s="239"/>
      <c r="KJO15" s="239"/>
      <c r="KJP15" s="239"/>
      <c r="KJQ15" s="239"/>
      <c r="KJR15" s="239"/>
      <c r="KJS15" s="239"/>
      <c r="KJT15" s="239"/>
      <c r="KJU15" s="239"/>
      <c r="KJV15" s="239"/>
      <c r="KJW15" s="239"/>
      <c r="KJX15" s="239"/>
      <c r="KJY15" s="239"/>
      <c r="KJZ15" s="239"/>
      <c r="KKA15" s="239"/>
      <c r="KKB15" s="239"/>
      <c r="KKC15" s="239"/>
      <c r="KKD15" s="239"/>
      <c r="KKE15" s="239"/>
      <c r="KKF15" s="239"/>
      <c r="KKG15" s="239"/>
      <c r="KKH15" s="239"/>
      <c r="KKI15" s="239"/>
      <c r="KKJ15" s="239"/>
      <c r="KKK15" s="239"/>
      <c r="KKL15" s="239"/>
      <c r="KKM15" s="239"/>
      <c r="KKN15" s="239"/>
      <c r="KKO15" s="239"/>
      <c r="KKP15" s="239"/>
      <c r="KKQ15" s="239"/>
      <c r="KKR15" s="239"/>
      <c r="KKS15" s="239"/>
      <c r="KKT15" s="239"/>
      <c r="KKU15" s="239"/>
      <c r="KKV15" s="239"/>
      <c r="KKW15" s="239"/>
      <c r="KKX15" s="239"/>
      <c r="KKY15" s="239"/>
      <c r="KKZ15" s="239"/>
      <c r="KLA15" s="239"/>
      <c r="KLB15" s="239"/>
      <c r="KLC15" s="239"/>
      <c r="KLD15" s="239"/>
      <c r="KLE15" s="239"/>
      <c r="KLF15" s="239"/>
      <c r="KLG15" s="239"/>
      <c r="KLH15" s="239"/>
      <c r="KLI15" s="239"/>
      <c r="KLJ15" s="239"/>
      <c r="KLK15" s="239"/>
      <c r="KLL15" s="239"/>
      <c r="KLM15" s="239"/>
      <c r="KLN15" s="239"/>
      <c r="KLO15" s="239"/>
      <c r="KLP15" s="239"/>
      <c r="KLQ15" s="239"/>
      <c r="KLR15" s="239"/>
      <c r="KLS15" s="239"/>
      <c r="KLT15" s="239"/>
      <c r="KLU15" s="239"/>
      <c r="KLV15" s="239"/>
      <c r="KLW15" s="239"/>
      <c r="KLX15" s="239"/>
      <c r="KLY15" s="239"/>
      <c r="KLZ15" s="239"/>
      <c r="KMA15" s="239"/>
      <c r="KMB15" s="239"/>
      <c r="KMC15" s="239"/>
      <c r="KMD15" s="239"/>
      <c r="KME15" s="239"/>
      <c r="KMF15" s="239"/>
      <c r="KMG15" s="239"/>
      <c r="KMH15" s="239"/>
      <c r="KMI15" s="239"/>
      <c r="KMJ15" s="239"/>
      <c r="KMK15" s="239"/>
      <c r="KML15" s="239"/>
      <c r="KMM15" s="239"/>
      <c r="KMN15" s="239"/>
      <c r="KMO15" s="239"/>
      <c r="KMP15" s="239"/>
      <c r="KMQ15" s="239"/>
      <c r="KMR15" s="239"/>
      <c r="KMS15" s="239"/>
      <c r="KMT15" s="239"/>
      <c r="KMU15" s="239"/>
      <c r="KMV15" s="239"/>
      <c r="KMW15" s="239"/>
      <c r="KMX15" s="239"/>
      <c r="KMY15" s="239"/>
      <c r="KMZ15" s="239"/>
      <c r="KNA15" s="239"/>
      <c r="KNB15" s="239"/>
      <c r="KNC15" s="239"/>
      <c r="KND15" s="239"/>
      <c r="KNE15" s="239"/>
      <c r="KNF15" s="239"/>
      <c r="KNG15" s="239"/>
      <c r="KNH15" s="239"/>
      <c r="KNI15" s="239"/>
      <c r="KNJ15" s="239"/>
      <c r="KNK15" s="239"/>
      <c r="KNL15" s="239"/>
      <c r="KNM15" s="239"/>
      <c r="KNN15" s="239"/>
      <c r="KNO15" s="239"/>
      <c r="KNP15" s="239"/>
      <c r="KNQ15" s="239"/>
      <c r="KNR15" s="239"/>
      <c r="KNS15" s="239"/>
      <c r="KNT15" s="239"/>
      <c r="KNU15" s="239"/>
      <c r="KNV15" s="239"/>
      <c r="KNW15" s="239"/>
      <c r="KNX15" s="239"/>
      <c r="KNY15" s="239"/>
      <c r="KNZ15" s="239"/>
      <c r="KOA15" s="239"/>
      <c r="KOB15" s="239"/>
      <c r="KOC15" s="239"/>
      <c r="KOD15" s="239"/>
      <c r="KOE15" s="239"/>
      <c r="KOF15" s="239"/>
      <c r="KOG15" s="239"/>
      <c r="KOH15" s="239"/>
      <c r="KOI15" s="239"/>
      <c r="KOJ15" s="239"/>
      <c r="KOK15" s="239"/>
      <c r="KOL15" s="239"/>
      <c r="KOM15" s="239"/>
      <c r="KON15" s="239"/>
      <c r="KOO15" s="239"/>
      <c r="KOP15" s="239"/>
      <c r="KOQ15" s="239"/>
      <c r="KOR15" s="239"/>
      <c r="KOS15" s="239"/>
      <c r="KOT15" s="239"/>
      <c r="KOU15" s="239"/>
      <c r="KOV15" s="239"/>
      <c r="KOW15" s="239"/>
      <c r="KOX15" s="239"/>
      <c r="KOY15" s="239"/>
      <c r="KOZ15" s="239"/>
      <c r="KPA15" s="239"/>
      <c r="KPB15" s="239"/>
      <c r="KPC15" s="239"/>
      <c r="KPD15" s="239"/>
      <c r="KPE15" s="239"/>
      <c r="KPF15" s="239"/>
      <c r="KPG15" s="239"/>
      <c r="KPH15" s="239"/>
      <c r="KPI15" s="239"/>
      <c r="KPJ15" s="239"/>
      <c r="KPK15" s="239"/>
      <c r="KPL15" s="239"/>
      <c r="KPM15" s="239"/>
      <c r="KPN15" s="239"/>
      <c r="KPO15" s="239"/>
      <c r="KPP15" s="239"/>
      <c r="KPQ15" s="239"/>
      <c r="KPR15" s="239"/>
      <c r="KPS15" s="239"/>
      <c r="KPT15" s="239"/>
      <c r="KPU15" s="239"/>
      <c r="KPV15" s="239"/>
      <c r="KPW15" s="239"/>
      <c r="KPX15" s="239"/>
      <c r="KPY15" s="239"/>
      <c r="KPZ15" s="239"/>
      <c r="KQA15" s="239"/>
      <c r="KQB15" s="239"/>
      <c r="KQC15" s="239"/>
      <c r="KQD15" s="239"/>
      <c r="KQE15" s="239"/>
      <c r="KQF15" s="239"/>
      <c r="KQG15" s="239"/>
      <c r="KQH15" s="239"/>
      <c r="KQI15" s="239"/>
      <c r="KQJ15" s="239"/>
      <c r="KQK15" s="239"/>
      <c r="KQL15" s="239"/>
      <c r="KQM15" s="239"/>
      <c r="KQN15" s="239"/>
      <c r="KQO15" s="239"/>
      <c r="KQP15" s="239"/>
      <c r="KQQ15" s="239"/>
      <c r="KQR15" s="239"/>
      <c r="KQS15" s="239"/>
      <c r="KQT15" s="239"/>
      <c r="KQU15" s="239"/>
      <c r="KQV15" s="239"/>
      <c r="KQW15" s="239"/>
      <c r="KQX15" s="239"/>
      <c r="KQY15" s="239"/>
      <c r="KQZ15" s="239"/>
      <c r="KRA15" s="239"/>
      <c r="KRB15" s="239"/>
      <c r="KRC15" s="239"/>
      <c r="KRD15" s="239"/>
      <c r="KRE15" s="239"/>
      <c r="KRF15" s="239"/>
      <c r="KRG15" s="239"/>
      <c r="KRH15" s="239"/>
      <c r="KRI15" s="239"/>
      <c r="KRJ15" s="239"/>
      <c r="KRK15" s="239"/>
      <c r="KRL15" s="239"/>
      <c r="KRM15" s="239"/>
      <c r="KRN15" s="239"/>
      <c r="KRO15" s="239"/>
      <c r="KRP15" s="239"/>
      <c r="KRQ15" s="239"/>
      <c r="KRR15" s="239"/>
      <c r="KRS15" s="239"/>
      <c r="KRT15" s="239"/>
      <c r="KRU15" s="239"/>
      <c r="KRV15" s="239"/>
      <c r="KRW15" s="239"/>
      <c r="KRX15" s="239"/>
      <c r="KRY15" s="239"/>
      <c r="KRZ15" s="239"/>
      <c r="KSA15" s="239"/>
      <c r="KSB15" s="239"/>
      <c r="KSC15" s="239"/>
      <c r="KSD15" s="239"/>
      <c r="KSE15" s="239"/>
      <c r="KSF15" s="239"/>
      <c r="KSG15" s="239"/>
      <c r="KSH15" s="239"/>
      <c r="KSI15" s="239"/>
      <c r="KSJ15" s="239"/>
      <c r="KSK15" s="239"/>
      <c r="KSL15" s="239"/>
      <c r="KSM15" s="239"/>
      <c r="KSN15" s="239"/>
      <c r="KSO15" s="239"/>
      <c r="KSP15" s="239"/>
      <c r="KSQ15" s="239"/>
      <c r="KSR15" s="239"/>
      <c r="KSS15" s="239"/>
      <c r="KST15" s="239"/>
      <c r="KSU15" s="239"/>
      <c r="KSV15" s="239"/>
      <c r="KSW15" s="239"/>
      <c r="KSX15" s="239"/>
      <c r="KSY15" s="239"/>
      <c r="KSZ15" s="239"/>
      <c r="KTA15" s="239"/>
      <c r="KTB15" s="239"/>
      <c r="KTC15" s="239"/>
      <c r="KTD15" s="239"/>
      <c r="KTE15" s="239"/>
      <c r="KTF15" s="239"/>
      <c r="KTG15" s="239"/>
      <c r="KTH15" s="239"/>
      <c r="KTI15" s="239"/>
      <c r="KTJ15" s="239"/>
      <c r="KTK15" s="239"/>
      <c r="KTL15" s="239"/>
      <c r="KTM15" s="239"/>
      <c r="KTN15" s="239"/>
      <c r="KTO15" s="239"/>
      <c r="KTP15" s="239"/>
      <c r="KTQ15" s="239"/>
      <c r="KTR15" s="239"/>
      <c r="KTS15" s="239"/>
      <c r="KTT15" s="239"/>
      <c r="KTU15" s="239"/>
      <c r="KTV15" s="239"/>
      <c r="KTW15" s="239"/>
      <c r="KTX15" s="239"/>
      <c r="KTY15" s="239"/>
      <c r="KTZ15" s="239"/>
      <c r="KUA15" s="239"/>
      <c r="KUB15" s="239"/>
      <c r="KUC15" s="239"/>
      <c r="KUD15" s="239"/>
      <c r="KUE15" s="239"/>
      <c r="KUF15" s="239"/>
      <c r="KUG15" s="239"/>
      <c r="KUH15" s="239"/>
      <c r="KUI15" s="239"/>
      <c r="KUJ15" s="239"/>
      <c r="KUK15" s="239"/>
      <c r="KUL15" s="239"/>
      <c r="KUM15" s="239"/>
      <c r="KUN15" s="239"/>
      <c r="KUO15" s="239"/>
      <c r="KUP15" s="239"/>
      <c r="KUQ15" s="239"/>
      <c r="KUR15" s="239"/>
      <c r="KUS15" s="239"/>
      <c r="KUT15" s="239"/>
      <c r="KUU15" s="239"/>
      <c r="KUV15" s="239"/>
      <c r="KUW15" s="239"/>
      <c r="KUX15" s="239"/>
      <c r="KUY15" s="239"/>
      <c r="KUZ15" s="239"/>
      <c r="KVA15" s="239"/>
      <c r="KVB15" s="239"/>
      <c r="KVC15" s="239"/>
      <c r="KVD15" s="239"/>
      <c r="KVE15" s="239"/>
      <c r="KVF15" s="239"/>
      <c r="KVG15" s="239"/>
      <c r="KVH15" s="239"/>
      <c r="KVI15" s="239"/>
      <c r="KVJ15" s="239"/>
      <c r="KVK15" s="239"/>
      <c r="KVL15" s="239"/>
      <c r="KVM15" s="239"/>
      <c r="KVN15" s="239"/>
      <c r="KVO15" s="239"/>
      <c r="KVP15" s="239"/>
      <c r="KVQ15" s="239"/>
      <c r="KVR15" s="239"/>
      <c r="KVS15" s="239"/>
      <c r="KVT15" s="239"/>
      <c r="KVU15" s="239"/>
      <c r="KVV15" s="239"/>
      <c r="KVW15" s="239"/>
      <c r="KVX15" s="239"/>
      <c r="KVY15" s="239"/>
      <c r="KVZ15" s="239"/>
      <c r="KWA15" s="239"/>
      <c r="KWB15" s="239"/>
      <c r="KWC15" s="239"/>
      <c r="KWD15" s="239"/>
      <c r="KWE15" s="239"/>
      <c r="KWF15" s="239"/>
      <c r="KWG15" s="239"/>
      <c r="KWH15" s="239"/>
      <c r="KWI15" s="239"/>
      <c r="KWJ15" s="239"/>
      <c r="KWK15" s="239"/>
      <c r="KWL15" s="239"/>
      <c r="KWM15" s="239"/>
      <c r="KWN15" s="239"/>
      <c r="KWO15" s="239"/>
      <c r="KWP15" s="239"/>
      <c r="KWQ15" s="239"/>
      <c r="KWR15" s="239"/>
      <c r="KWS15" s="239"/>
      <c r="KWT15" s="239"/>
      <c r="KWU15" s="239"/>
      <c r="KWV15" s="239"/>
      <c r="KWW15" s="239"/>
      <c r="KWX15" s="239"/>
      <c r="KWY15" s="239"/>
      <c r="KWZ15" s="239"/>
      <c r="KXA15" s="239"/>
      <c r="KXB15" s="239"/>
      <c r="KXC15" s="239"/>
      <c r="KXD15" s="239"/>
      <c r="KXE15" s="239"/>
      <c r="KXF15" s="239"/>
      <c r="KXG15" s="239"/>
      <c r="KXH15" s="239"/>
      <c r="KXI15" s="239"/>
      <c r="KXJ15" s="239"/>
      <c r="KXK15" s="239"/>
      <c r="KXL15" s="239"/>
      <c r="KXM15" s="239"/>
      <c r="KXN15" s="239"/>
      <c r="KXO15" s="239"/>
      <c r="KXP15" s="239"/>
      <c r="KXQ15" s="239"/>
      <c r="KXR15" s="239"/>
      <c r="KXS15" s="239"/>
      <c r="KXT15" s="239"/>
      <c r="KXU15" s="239"/>
      <c r="KXV15" s="239"/>
      <c r="KXW15" s="239"/>
      <c r="KXX15" s="239"/>
      <c r="KXY15" s="239"/>
      <c r="KXZ15" s="239"/>
      <c r="KYA15" s="239"/>
      <c r="KYB15" s="239"/>
      <c r="KYC15" s="239"/>
      <c r="KYD15" s="239"/>
      <c r="KYE15" s="239"/>
      <c r="KYF15" s="239"/>
      <c r="KYG15" s="239"/>
      <c r="KYH15" s="239"/>
      <c r="KYI15" s="239"/>
      <c r="KYJ15" s="239"/>
      <c r="KYK15" s="239"/>
      <c r="KYL15" s="239"/>
      <c r="KYM15" s="239"/>
      <c r="KYN15" s="239"/>
      <c r="KYO15" s="239"/>
      <c r="KYP15" s="239"/>
      <c r="KYQ15" s="239"/>
      <c r="KYR15" s="239"/>
      <c r="KYS15" s="239"/>
      <c r="KYT15" s="239"/>
      <c r="KYU15" s="239"/>
      <c r="KYV15" s="239"/>
      <c r="KYW15" s="239"/>
      <c r="KYX15" s="239"/>
      <c r="KYY15" s="239"/>
      <c r="KYZ15" s="239"/>
      <c r="KZA15" s="239"/>
      <c r="KZB15" s="239"/>
      <c r="KZC15" s="239"/>
      <c r="KZD15" s="239"/>
      <c r="KZE15" s="239"/>
      <c r="KZF15" s="239"/>
      <c r="KZG15" s="239"/>
      <c r="KZH15" s="239"/>
      <c r="KZI15" s="239"/>
      <c r="KZJ15" s="239"/>
      <c r="KZK15" s="239"/>
      <c r="KZL15" s="239"/>
      <c r="KZM15" s="239"/>
      <c r="KZN15" s="239"/>
      <c r="KZO15" s="239"/>
      <c r="KZP15" s="239"/>
      <c r="KZQ15" s="239"/>
      <c r="KZR15" s="239"/>
      <c r="KZS15" s="239"/>
      <c r="KZT15" s="239"/>
      <c r="KZU15" s="239"/>
      <c r="KZV15" s="239"/>
      <c r="KZW15" s="239"/>
      <c r="KZX15" s="239"/>
      <c r="KZY15" s="239"/>
      <c r="KZZ15" s="239"/>
      <c r="LAA15" s="239"/>
      <c r="LAB15" s="239"/>
      <c r="LAC15" s="239"/>
      <c r="LAD15" s="239"/>
      <c r="LAE15" s="239"/>
      <c r="LAF15" s="239"/>
      <c r="LAG15" s="239"/>
      <c r="LAH15" s="239"/>
      <c r="LAI15" s="239"/>
      <c r="LAJ15" s="239"/>
      <c r="LAK15" s="239"/>
      <c r="LAL15" s="239"/>
      <c r="LAM15" s="239"/>
      <c r="LAN15" s="239"/>
      <c r="LAO15" s="239"/>
      <c r="LAP15" s="239"/>
      <c r="LAQ15" s="239"/>
      <c r="LAR15" s="239"/>
      <c r="LAS15" s="239"/>
      <c r="LAT15" s="239"/>
      <c r="LAU15" s="239"/>
      <c r="LAV15" s="239"/>
      <c r="LAW15" s="239"/>
      <c r="LAX15" s="239"/>
      <c r="LAY15" s="239"/>
      <c r="LAZ15" s="239"/>
      <c r="LBA15" s="239"/>
      <c r="LBB15" s="239"/>
      <c r="LBC15" s="239"/>
      <c r="LBD15" s="239"/>
      <c r="LBE15" s="239"/>
      <c r="LBF15" s="239"/>
      <c r="LBG15" s="239"/>
      <c r="LBH15" s="239"/>
      <c r="LBI15" s="239"/>
      <c r="LBJ15" s="239"/>
      <c r="LBK15" s="239"/>
      <c r="LBL15" s="239"/>
      <c r="LBM15" s="239"/>
      <c r="LBN15" s="239"/>
      <c r="LBO15" s="239"/>
      <c r="LBP15" s="239"/>
      <c r="LBQ15" s="239"/>
      <c r="LBR15" s="239"/>
      <c r="LBS15" s="239"/>
      <c r="LBT15" s="239"/>
      <c r="LBU15" s="239"/>
      <c r="LBV15" s="239"/>
      <c r="LBW15" s="239"/>
      <c r="LBX15" s="239"/>
      <c r="LBY15" s="239"/>
      <c r="LBZ15" s="239"/>
      <c r="LCA15" s="239"/>
      <c r="LCB15" s="239"/>
      <c r="LCC15" s="239"/>
      <c r="LCD15" s="239"/>
      <c r="LCE15" s="239"/>
      <c r="LCF15" s="239"/>
      <c r="LCG15" s="239"/>
      <c r="LCH15" s="239"/>
      <c r="LCI15" s="239"/>
      <c r="LCJ15" s="239"/>
      <c r="LCK15" s="239"/>
      <c r="LCL15" s="239"/>
      <c r="LCM15" s="239"/>
      <c r="LCN15" s="239"/>
      <c r="LCO15" s="239"/>
      <c r="LCP15" s="239"/>
      <c r="LCQ15" s="239"/>
      <c r="LCR15" s="239"/>
      <c r="LCS15" s="239"/>
      <c r="LCT15" s="239"/>
      <c r="LCU15" s="239"/>
      <c r="LCV15" s="239"/>
      <c r="LCW15" s="239"/>
      <c r="LCX15" s="239"/>
      <c r="LCY15" s="239"/>
      <c r="LCZ15" s="239"/>
      <c r="LDA15" s="239"/>
      <c r="LDB15" s="239"/>
      <c r="LDC15" s="239"/>
      <c r="LDD15" s="239"/>
      <c r="LDE15" s="239"/>
      <c r="LDF15" s="239"/>
      <c r="LDG15" s="239"/>
      <c r="LDH15" s="239"/>
      <c r="LDI15" s="239"/>
      <c r="LDJ15" s="239"/>
      <c r="LDK15" s="239"/>
      <c r="LDL15" s="239"/>
      <c r="LDM15" s="239"/>
      <c r="LDN15" s="239"/>
      <c r="LDO15" s="239"/>
      <c r="LDP15" s="239"/>
      <c r="LDQ15" s="239"/>
      <c r="LDR15" s="239"/>
      <c r="LDS15" s="239"/>
      <c r="LDT15" s="239"/>
      <c r="LDU15" s="239"/>
      <c r="LDV15" s="239"/>
      <c r="LDW15" s="239"/>
      <c r="LDX15" s="239"/>
      <c r="LDY15" s="239"/>
      <c r="LDZ15" s="239"/>
      <c r="LEA15" s="239"/>
      <c r="LEB15" s="239"/>
      <c r="LEC15" s="239"/>
      <c r="LED15" s="239"/>
      <c r="LEE15" s="239"/>
      <c r="LEF15" s="239"/>
      <c r="LEG15" s="239"/>
      <c r="LEH15" s="239"/>
      <c r="LEI15" s="239"/>
      <c r="LEJ15" s="239"/>
      <c r="LEK15" s="239"/>
      <c r="LEL15" s="239"/>
      <c r="LEM15" s="239"/>
      <c r="LEN15" s="239"/>
      <c r="LEO15" s="239"/>
      <c r="LEP15" s="239"/>
      <c r="LEQ15" s="239"/>
      <c r="LER15" s="239"/>
      <c r="LES15" s="239"/>
      <c r="LET15" s="239"/>
      <c r="LEU15" s="239"/>
      <c r="LEV15" s="239"/>
      <c r="LEW15" s="239"/>
      <c r="LEX15" s="239"/>
      <c r="LEY15" s="239"/>
      <c r="LEZ15" s="239"/>
      <c r="LFA15" s="239"/>
      <c r="LFB15" s="239"/>
      <c r="LFC15" s="239"/>
      <c r="LFD15" s="239"/>
      <c r="LFE15" s="239"/>
      <c r="LFF15" s="239"/>
      <c r="LFG15" s="239"/>
      <c r="LFH15" s="239"/>
      <c r="LFI15" s="239"/>
      <c r="LFJ15" s="239"/>
      <c r="LFK15" s="239"/>
      <c r="LFL15" s="239"/>
      <c r="LFM15" s="239"/>
      <c r="LFN15" s="239"/>
      <c r="LFO15" s="239"/>
      <c r="LFP15" s="239"/>
      <c r="LFQ15" s="239"/>
      <c r="LFR15" s="239"/>
      <c r="LFS15" s="239"/>
      <c r="LFT15" s="239"/>
      <c r="LFU15" s="239"/>
      <c r="LFV15" s="239"/>
      <c r="LFW15" s="239"/>
      <c r="LFX15" s="239"/>
      <c r="LFY15" s="239"/>
      <c r="LFZ15" s="239"/>
      <c r="LGA15" s="239"/>
      <c r="LGB15" s="239"/>
      <c r="LGC15" s="239"/>
      <c r="LGD15" s="239"/>
      <c r="LGE15" s="239"/>
      <c r="LGF15" s="239"/>
      <c r="LGG15" s="239"/>
      <c r="LGH15" s="239"/>
      <c r="LGI15" s="239"/>
      <c r="LGJ15" s="239"/>
      <c r="LGK15" s="239"/>
      <c r="LGL15" s="239"/>
      <c r="LGM15" s="239"/>
      <c r="LGN15" s="239"/>
      <c r="LGO15" s="239"/>
      <c r="LGP15" s="239"/>
      <c r="LGQ15" s="239"/>
      <c r="LGR15" s="239"/>
      <c r="LGS15" s="239"/>
      <c r="LGT15" s="239"/>
      <c r="LGU15" s="239"/>
      <c r="LGV15" s="239"/>
      <c r="LGW15" s="239"/>
      <c r="LGX15" s="239"/>
      <c r="LGY15" s="239"/>
      <c r="LGZ15" s="239"/>
      <c r="LHA15" s="239"/>
      <c r="LHB15" s="239"/>
      <c r="LHC15" s="239"/>
      <c r="LHD15" s="239"/>
      <c r="LHE15" s="239"/>
      <c r="LHF15" s="239"/>
      <c r="LHG15" s="239"/>
      <c r="LHH15" s="239"/>
      <c r="LHI15" s="239"/>
      <c r="LHJ15" s="239"/>
      <c r="LHK15" s="239"/>
      <c r="LHL15" s="239"/>
      <c r="LHM15" s="239"/>
      <c r="LHN15" s="239"/>
      <c r="LHO15" s="239"/>
      <c r="LHP15" s="239"/>
      <c r="LHQ15" s="239"/>
      <c r="LHR15" s="239"/>
      <c r="LHS15" s="239"/>
      <c r="LHT15" s="239"/>
      <c r="LHU15" s="239"/>
      <c r="LHV15" s="239"/>
      <c r="LHW15" s="239"/>
      <c r="LHX15" s="239"/>
      <c r="LHY15" s="239"/>
      <c r="LHZ15" s="239"/>
      <c r="LIA15" s="239"/>
      <c r="LIB15" s="239"/>
      <c r="LIC15" s="239"/>
      <c r="LID15" s="239"/>
      <c r="LIE15" s="239"/>
      <c r="LIF15" s="239"/>
      <c r="LIG15" s="239"/>
      <c r="LIH15" s="239"/>
      <c r="LII15" s="239"/>
      <c r="LIJ15" s="239"/>
      <c r="LIK15" s="239"/>
      <c r="LIL15" s="239"/>
      <c r="LIM15" s="239"/>
      <c r="LIN15" s="239"/>
      <c r="LIO15" s="239"/>
      <c r="LIP15" s="239"/>
      <c r="LIQ15" s="239"/>
      <c r="LIR15" s="239"/>
      <c r="LIS15" s="239"/>
      <c r="LIT15" s="239"/>
      <c r="LIU15" s="239"/>
      <c r="LIV15" s="239"/>
      <c r="LIW15" s="239"/>
      <c r="LIX15" s="239"/>
      <c r="LIY15" s="239"/>
      <c r="LIZ15" s="239"/>
      <c r="LJA15" s="239"/>
      <c r="LJB15" s="239"/>
      <c r="LJC15" s="239"/>
      <c r="LJD15" s="239"/>
      <c r="LJE15" s="239"/>
      <c r="LJF15" s="239"/>
      <c r="LJG15" s="239"/>
      <c r="LJH15" s="239"/>
      <c r="LJI15" s="239"/>
      <c r="LJJ15" s="239"/>
      <c r="LJK15" s="239"/>
      <c r="LJL15" s="239"/>
      <c r="LJM15" s="239"/>
      <c r="LJN15" s="239"/>
      <c r="LJO15" s="239"/>
      <c r="LJP15" s="239"/>
      <c r="LJQ15" s="239"/>
      <c r="LJR15" s="239"/>
      <c r="LJS15" s="239"/>
      <c r="LJT15" s="239"/>
      <c r="LJU15" s="239"/>
      <c r="LJV15" s="239"/>
      <c r="LJW15" s="239"/>
      <c r="LJX15" s="239"/>
      <c r="LJY15" s="239"/>
      <c r="LJZ15" s="239"/>
      <c r="LKA15" s="239"/>
      <c r="LKB15" s="239"/>
      <c r="LKC15" s="239"/>
      <c r="LKD15" s="239"/>
      <c r="LKE15" s="239"/>
      <c r="LKF15" s="239"/>
      <c r="LKG15" s="239"/>
      <c r="LKH15" s="239"/>
      <c r="LKI15" s="239"/>
      <c r="LKJ15" s="239"/>
      <c r="LKK15" s="239"/>
      <c r="LKL15" s="239"/>
      <c r="LKM15" s="239"/>
      <c r="LKN15" s="239"/>
      <c r="LKO15" s="239"/>
      <c r="LKP15" s="239"/>
      <c r="LKQ15" s="239"/>
      <c r="LKR15" s="239"/>
      <c r="LKS15" s="239"/>
      <c r="LKT15" s="239"/>
      <c r="LKU15" s="239"/>
      <c r="LKV15" s="239"/>
      <c r="LKW15" s="239"/>
      <c r="LKX15" s="239"/>
      <c r="LKY15" s="239"/>
      <c r="LKZ15" s="239"/>
      <c r="LLA15" s="239"/>
      <c r="LLB15" s="239"/>
      <c r="LLC15" s="239"/>
      <c r="LLD15" s="239"/>
      <c r="LLE15" s="239"/>
      <c r="LLF15" s="239"/>
      <c r="LLG15" s="239"/>
      <c r="LLH15" s="239"/>
      <c r="LLI15" s="239"/>
      <c r="LLJ15" s="239"/>
      <c r="LLK15" s="239"/>
      <c r="LLL15" s="239"/>
      <c r="LLM15" s="239"/>
      <c r="LLN15" s="239"/>
      <c r="LLO15" s="239"/>
      <c r="LLP15" s="239"/>
      <c r="LLQ15" s="239"/>
      <c r="LLR15" s="239"/>
      <c r="LLS15" s="239"/>
      <c r="LLT15" s="239"/>
      <c r="LLU15" s="239"/>
      <c r="LLV15" s="239"/>
      <c r="LLW15" s="239"/>
      <c r="LLX15" s="239"/>
      <c r="LLY15" s="239"/>
      <c r="LLZ15" s="239"/>
      <c r="LMA15" s="239"/>
      <c r="LMB15" s="239"/>
      <c r="LMC15" s="239"/>
      <c r="LMD15" s="239"/>
      <c r="LME15" s="239"/>
      <c r="LMF15" s="239"/>
      <c r="LMG15" s="239"/>
      <c r="LMH15" s="239"/>
      <c r="LMI15" s="239"/>
      <c r="LMJ15" s="239"/>
      <c r="LMK15" s="239"/>
      <c r="LML15" s="239"/>
      <c r="LMM15" s="239"/>
      <c r="LMN15" s="239"/>
      <c r="LMO15" s="239"/>
      <c r="LMP15" s="239"/>
      <c r="LMQ15" s="239"/>
      <c r="LMR15" s="239"/>
      <c r="LMS15" s="239"/>
      <c r="LMT15" s="239"/>
      <c r="LMU15" s="239"/>
      <c r="LMV15" s="239"/>
      <c r="LMW15" s="239"/>
      <c r="LMX15" s="239"/>
      <c r="LMY15" s="239"/>
      <c r="LMZ15" s="239"/>
      <c r="LNA15" s="239"/>
      <c r="LNB15" s="239"/>
      <c r="LNC15" s="239"/>
      <c r="LND15" s="239"/>
      <c r="LNE15" s="239"/>
      <c r="LNF15" s="239"/>
      <c r="LNG15" s="239"/>
      <c r="LNH15" s="239"/>
      <c r="LNI15" s="239"/>
      <c r="LNJ15" s="239"/>
      <c r="LNK15" s="239"/>
      <c r="LNL15" s="239"/>
      <c r="LNM15" s="239"/>
      <c r="LNN15" s="239"/>
      <c r="LNO15" s="239"/>
      <c r="LNP15" s="239"/>
      <c r="LNQ15" s="239"/>
      <c r="LNR15" s="239"/>
      <c r="LNS15" s="239"/>
      <c r="LNT15" s="239"/>
      <c r="LNU15" s="239"/>
      <c r="LNV15" s="239"/>
      <c r="LNW15" s="239"/>
      <c r="LNX15" s="239"/>
      <c r="LNY15" s="239"/>
      <c r="LNZ15" s="239"/>
      <c r="LOA15" s="239"/>
      <c r="LOB15" s="239"/>
      <c r="LOC15" s="239"/>
      <c r="LOD15" s="239"/>
      <c r="LOE15" s="239"/>
      <c r="LOF15" s="239"/>
      <c r="LOG15" s="239"/>
      <c r="LOH15" s="239"/>
      <c r="LOI15" s="239"/>
      <c r="LOJ15" s="239"/>
      <c r="LOK15" s="239"/>
      <c r="LOL15" s="239"/>
      <c r="LOM15" s="239"/>
      <c r="LON15" s="239"/>
      <c r="LOO15" s="239"/>
      <c r="LOP15" s="239"/>
      <c r="LOQ15" s="239"/>
      <c r="LOR15" s="239"/>
      <c r="LOS15" s="239"/>
      <c r="LOT15" s="239"/>
      <c r="LOU15" s="239"/>
      <c r="LOV15" s="239"/>
      <c r="LOW15" s="239"/>
      <c r="LOX15" s="239"/>
      <c r="LOY15" s="239"/>
      <c r="LOZ15" s="239"/>
      <c r="LPA15" s="239"/>
      <c r="LPB15" s="239"/>
      <c r="LPC15" s="239"/>
      <c r="LPD15" s="239"/>
      <c r="LPE15" s="239"/>
      <c r="LPF15" s="239"/>
      <c r="LPG15" s="239"/>
      <c r="LPH15" s="239"/>
      <c r="LPI15" s="239"/>
      <c r="LPJ15" s="239"/>
      <c r="LPK15" s="239"/>
      <c r="LPL15" s="239"/>
      <c r="LPM15" s="239"/>
      <c r="LPN15" s="239"/>
      <c r="LPO15" s="239"/>
      <c r="LPP15" s="239"/>
      <c r="LPQ15" s="239"/>
      <c r="LPR15" s="239"/>
      <c r="LPS15" s="239"/>
      <c r="LPT15" s="239"/>
      <c r="LPU15" s="239"/>
      <c r="LPV15" s="239"/>
      <c r="LPW15" s="239"/>
      <c r="LPX15" s="239"/>
      <c r="LPY15" s="239"/>
      <c r="LPZ15" s="239"/>
      <c r="LQA15" s="239"/>
      <c r="LQB15" s="239"/>
      <c r="LQC15" s="239"/>
      <c r="LQD15" s="239"/>
      <c r="LQE15" s="239"/>
      <c r="LQF15" s="239"/>
      <c r="LQG15" s="239"/>
      <c r="LQH15" s="239"/>
      <c r="LQI15" s="239"/>
      <c r="LQJ15" s="239"/>
      <c r="LQK15" s="239"/>
      <c r="LQL15" s="239"/>
      <c r="LQM15" s="239"/>
      <c r="LQN15" s="239"/>
      <c r="LQO15" s="239"/>
      <c r="LQP15" s="239"/>
      <c r="LQQ15" s="239"/>
      <c r="LQR15" s="239"/>
      <c r="LQS15" s="239"/>
      <c r="LQT15" s="239"/>
      <c r="LQU15" s="239"/>
      <c r="LQV15" s="239"/>
      <c r="LQW15" s="239"/>
      <c r="LQX15" s="239"/>
      <c r="LQY15" s="239"/>
      <c r="LQZ15" s="239"/>
      <c r="LRA15" s="239"/>
      <c r="LRB15" s="239"/>
      <c r="LRC15" s="239"/>
      <c r="LRD15" s="239"/>
      <c r="LRE15" s="239"/>
      <c r="LRF15" s="239"/>
      <c r="LRG15" s="239"/>
      <c r="LRH15" s="239"/>
      <c r="LRI15" s="239"/>
      <c r="LRJ15" s="239"/>
      <c r="LRK15" s="239"/>
      <c r="LRL15" s="239"/>
      <c r="LRM15" s="239"/>
      <c r="LRN15" s="239"/>
      <c r="LRO15" s="239"/>
      <c r="LRP15" s="239"/>
      <c r="LRQ15" s="239"/>
      <c r="LRR15" s="239"/>
      <c r="LRS15" s="239"/>
      <c r="LRT15" s="239"/>
      <c r="LRU15" s="239"/>
      <c r="LRV15" s="239"/>
      <c r="LRW15" s="239"/>
      <c r="LRX15" s="239"/>
      <c r="LRY15" s="239"/>
      <c r="LRZ15" s="239"/>
      <c r="LSA15" s="239"/>
      <c r="LSB15" s="239"/>
      <c r="LSC15" s="239"/>
      <c r="LSD15" s="239"/>
      <c r="LSE15" s="239"/>
      <c r="LSF15" s="239"/>
      <c r="LSG15" s="239"/>
      <c r="LSH15" s="239"/>
      <c r="LSI15" s="239"/>
      <c r="LSJ15" s="239"/>
      <c r="LSK15" s="239"/>
      <c r="LSL15" s="239"/>
      <c r="LSM15" s="239"/>
      <c r="LSN15" s="239"/>
      <c r="LSO15" s="239"/>
      <c r="LSP15" s="239"/>
      <c r="LSQ15" s="239"/>
      <c r="LSR15" s="239"/>
      <c r="LSS15" s="239"/>
      <c r="LST15" s="239"/>
      <c r="LSU15" s="239"/>
      <c r="LSV15" s="239"/>
      <c r="LSW15" s="239"/>
      <c r="LSX15" s="239"/>
      <c r="LSY15" s="239"/>
      <c r="LSZ15" s="239"/>
      <c r="LTA15" s="239"/>
      <c r="LTB15" s="239"/>
      <c r="LTC15" s="239"/>
      <c r="LTD15" s="239"/>
      <c r="LTE15" s="239"/>
      <c r="LTF15" s="239"/>
      <c r="LTG15" s="239"/>
      <c r="LTH15" s="239"/>
      <c r="LTI15" s="239"/>
      <c r="LTJ15" s="239"/>
      <c r="LTK15" s="239"/>
      <c r="LTL15" s="239"/>
      <c r="LTM15" s="239"/>
      <c r="LTN15" s="239"/>
      <c r="LTO15" s="239"/>
      <c r="LTP15" s="239"/>
      <c r="LTQ15" s="239"/>
      <c r="LTR15" s="239"/>
      <c r="LTS15" s="239"/>
      <c r="LTT15" s="239"/>
      <c r="LTU15" s="239"/>
      <c r="LTV15" s="239"/>
      <c r="LTW15" s="239"/>
      <c r="LTX15" s="239"/>
      <c r="LTY15" s="239"/>
      <c r="LTZ15" s="239"/>
      <c r="LUA15" s="239"/>
      <c r="LUB15" s="239"/>
      <c r="LUC15" s="239"/>
      <c r="LUD15" s="239"/>
      <c r="LUE15" s="239"/>
      <c r="LUF15" s="239"/>
      <c r="LUG15" s="239"/>
      <c r="LUH15" s="239"/>
      <c r="LUI15" s="239"/>
      <c r="LUJ15" s="239"/>
      <c r="LUK15" s="239"/>
      <c r="LUL15" s="239"/>
      <c r="LUM15" s="239"/>
      <c r="LUN15" s="239"/>
      <c r="LUO15" s="239"/>
      <c r="LUP15" s="239"/>
      <c r="LUQ15" s="239"/>
      <c r="LUR15" s="239"/>
      <c r="LUS15" s="239"/>
      <c r="LUT15" s="239"/>
      <c r="LUU15" s="239"/>
      <c r="LUV15" s="239"/>
      <c r="LUW15" s="239"/>
      <c r="LUX15" s="239"/>
      <c r="LUY15" s="239"/>
      <c r="LUZ15" s="239"/>
      <c r="LVA15" s="239"/>
      <c r="LVB15" s="239"/>
      <c r="LVC15" s="239"/>
      <c r="LVD15" s="239"/>
      <c r="LVE15" s="239"/>
      <c r="LVF15" s="239"/>
      <c r="LVG15" s="239"/>
      <c r="LVH15" s="239"/>
      <c r="LVI15" s="239"/>
      <c r="LVJ15" s="239"/>
      <c r="LVK15" s="239"/>
      <c r="LVL15" s="239"/>
      <c r="LVM15" s="239"/>
      <c r="LVN15" s="239"/>
      <c r="LVO15" s="239"/>
      <c r="LVP15" s="239"/>
      <c r="LVQ15" s="239"/>
      <c r="LVR15" s="239"/>
      <c r="LVS15" s="239"/>
      <c r="LVT15" s="239"/>
      <c r="LVU15" s="239"/>
      <c r="LVV15" s="239"/>
      <c r="LVW15" s="239"/>
      <c r="LVX15" s="239"/>
      <c r="LVY15" s="239"/>
      <c r="LVZ15" s="239"/>
      <c r="LWA15" s="239"/>
      <c r="LWB15" s="239"/>
      <c r="LWC15" s="239"/>
      <c r="LWD15" s="239"/>
      <c r="LWE15" s="239"/>
      <c r="LWF15" s="239"/>
      <c r="LWG15" s="239"/>
      <c r="LWH15" s="239"/>
      <c r="LWI15" s="239"/>
      <c r="LWJ15" s="239"/>
      <c r="LWK15" s="239"/>
      <c r="LWL15" s="239"/>
      <c r="LWM15" s="239"/>
      <c r="LWN15" s="239"/>
      <c r="LWO15" s="239"/>
      <c r="LWP15" s="239"/>
      <c r="LWQ15" s="239"/>
      <c r="LWR15" s="239"/>
      <c r="LWS15" s="239"/>
      <c r="LWT15" s="239"/>
      <c r="LWU15" s="239"/>
      <c r="LWV15" s="239"/>
      <c r="LWW15" s="239"/>
      <c r="LWX15" s="239"/>
      <c r="LWY15" s="239"/>
      <c r="LWZ15" s="239"/>
      <c r="LXA15" s="239"/>
      <c r="LXB15" s="239"/>
      <c r="LXC15" s="239"/>
      <c r="LXD15" s="239"/>
      <c r="LXE15" s="239"/>
      <c r="LXF15" s="239"/>
      <c r="LXG15" s="239"/>
      <c r="LXH15" s="239"/>
      <c r="LXI15" s="239"/>
      <c r="LXJ15" s="239"/>
      <c r="LXK15" s="239"/>
      <c r="LXL15" s="239"/>
      <c r="LXM15" s="239"/>
      <c r="LXN15" s="239"/>
      <c r="LXO15" s="239"/>
      <c r="LXP15" s="239"/>
      <c r="LXQ15" s="239"/>
      <c r="LXR15" s="239"/>
      <c r="LXS15" s="239"/>
      <c r="LXT15" s="239"/>
      <c r="LXU15" s="239"/>
      <c r="LXV15" s="239"/>
      <c r="LXW15" s="239"/>
      <c r="LXX15" s="239"/>
      <c r="LXY15" s="239"/>
      <c r="LXZ15" s="239"/>
      <c r="LYA15" s="239"/>
      <c r="LYB15" s="239"/>
      <c r="LYC15" s="239"/>
      <c r="LYD15" s="239"/>
      <c r="LYE15" s="239"/>
      <c r="LYF15" s="239"/>
      <c r="LYG15" s="239"/>
      <c r="LYH15" s="239"/>
      <c r="LYI15" s="239"/>
      <c r="LYJ15" s="239"/>
      <c r="LYK15" s="239"/>
      <c r="LYL15" s="239"/>
      <c r="LYM15" s="239"/>
      <c r="LYN15" s="239"/>
      <c r="LYO15" s="239"/>
      <c r="LYP15" s="239"/>
      <c r="LYQ15" s="239"/>
      <c r="LYR15" s="239"/>
      <c r="LYS15" s="239"/>
      <c r="LYT15" s="239"/>
      <c r="LYU15" s="239"/>
      <c r="LYV15" s="239"/>
      <c r="LYW15" s="239"/>
      <c r="LYX15" s="239"/>
      <c r="LYY15" s="239"/>
      <c r="LYZ15" s="239"/>
      <c r="LZA15" s="239"/>
      <c r="LZB15" s="239"/>
      <c r="LZC15" s="239"/>
      <c r="LZD15" s="239"/>
      <c r="LZE15" s="239"/>
      <c r="LZF15" s="239"/>
      <c r="LZG15" s="239"/>
      <c r="LZH15" s="239"/>
      <c r="LZI15" s="239"/>
      <c r="LZJ15" s="239"/>
      <c r="LZK15" s="239"/>
      <c r="LZL15" s="239"/>
      <c r="LZM15" s="239"/>
      <c r="LZN15" s="239"/>
      <c r="LZO15" s="239"/>
      <c r="LZP15" s="239"/>
      <c r="LZQ15" s="239"/>
      <c r="LZR15" s="239"/>
      <c r="LZS15" s="239"/>
      <c r="LZT15" s="239"/>
      <c r="LZU15" s="239"/>
      <c r="LZV15" s="239"/>
      <c r="LZW15" s="239"/>
      <c r="LZX15" s="239"/>
      <c r="LZY15" s="239"/>
      <c r="LZZ15" s="239"/>
      <c r="MAA15" s="239"/>
      <c r="MAB15" s="239"/>
      <c r="MAC15" s="239"/>
      <c r="MAD15" s="239"/>
      <c r="MAE15" s="239"/>
      <c r="MAF15" s="239"/>
      <c r="MAG15" s="239"/>
      <c r="MAH15" s="239"/>
      <c r="MAI15" s="239"/>
      <c r="MAJ15" s="239"/>
      <c r="MAK15" s="239"/>
      <c r="MAL15" s="239"/>
      <c r="MAM15" s="239"/>
      <c r="MAN15" s="239"/>
      <c r="MAO15" s="239"/>
      <c r="MAP15" s="239"/>
      <c r="MAQ15" s="239"/>
      <c r="MAR15" s="239"/>
      <c r="MAS15" s="239"/>
      <c r="MAT15" s="239"/>
      <c r="MAU15" s="239"/>
      <c r="MAV15" s="239"/>
      <c r="MAW15" s="239"/>
      <c r="MAX15" s="239"/>
      <c r="MAY15" s="239"/>
      <c r="MAZ15" s="239"/>
      <c r="MBA15" s="239"/>
      <c r="MBB15" s="239"/>
      <c r="MBC15" s="239"/>
      <c r="MBD15" s="239"/>
      <c r="MBE15" s="239"/>
      <c r="MBF15" s="239"/>
      <c r="MBG15" s="239"/>
      <c r="MBH15" s="239"/>
      <c r="MBI15" s="239"/>
      <c r="MBJ15" s="239"/>
      <c r="MBK15" s="239"/>
      <c r="MBL15" s="239"/>
      <c r="MBM15" s="239"/>
      <c r="MBN15" s="239"/>
      <c r="MBO15" s="239"/>
      <c r="MBP15" s="239"/>
      <c r="MBQ15" s="239"/>
      <c r="MBR15" s="239"/>
      <c r="MBS15" s="239"/>
      <c r="MBT15" s="239"/>
      <c r="MBU15" s="239"/>
      <c r="MBV15" s="239"/>
      <c r="MBW15" s="239"/>
      <c r="MBX15" s="239"/>
      <c r="MBY15" s="239"/>
      <c r="MBZ15" s="239"/>
      <c r="MCA15" s="239"/>
      <c r="MCB15" s="239"/>
      <c r="MCC15" s="239"/>
      <c r="MCD15" s="239"/>
      <c r="MCE15" s="239"/>
      <c r="MCF15" s="239"/>
      <c r="MCG15" s="239"/>
      <c r="MCH15" s="239"/>
      <c r="MCI15" s="239"/>
      <c r="MCJ15" s="239"/>
      <c r="MCK15" s="239"/>
      <c r="MCL15" s="239"/>
      <c r="MCM15" s="239"/>
      <c r="MCN15" s="239"/>
      <c r="MCO15" s="239"/>
      <c r="MCP15" s="239"/>
      <c r="MCQ15" s="239"/>
      <c r="MCR15" s="239"/>
      <c r="MCS15" s="239"/>
      <c r="MCT15" s="239"/>
      <c r="MCU15" s="239"/>
      <c r="MCV15" s="239"/>
      <c r="MCW15" s="239"/>
      <c r="MCX15" s="239"/>
      <c r="MCY15" s="239"/>
      <c r="MCZ15" s="239"/>
      <c r="MDA15" s="239"/>
      <c r="MDB15" s="239"/>
      <c r="MDC15" s="239"/>
      <c r="MDD15" s="239"/>
      <c r="MDE15" s="239"/>
      <c r="MDF15" s="239"/>
      <c r="MDG15" s="239"/>
      <c r="MDH15" s="239"/>
      <c r="MDI15" s="239"/>
      <c r="MDJ15" s="239"/>
      <c r="MDK15" s="239"/>
      <c r="MDL15" s="239"/>
      <c r="MDM15" s="239"/>
      <c r="MDN15" s="239"/>
      <c r="MDO15" s="239"/>
      <c r="MDP15" s="239"/>
      <c r="MDQ15" s="239"/>
      <c r="MDR15" s="239"/>
      <c r="MDS15" s="239"/>
      <c r="MDT15" s="239"/>
      <c r="MDU15" s="239"/>
      <c r="MDV15" s="239"/>
      <c r="MDW15" s="239"/>
    </row>
    <row r="16" spans="1:8915" s="239" customFormat="1" hidden="1">
      <c r="A16" s="75"/>
      <c r="B16" s="101">
        <v>45759</v>
      </c>
      <c r="C16" s="101" t="s">
        <v>197</v>
      </c>
      <c r="D16" s="119">
        <v>3680.6591999999491</v>
      </c>
      <c r="E16" s="119">
        <v>4938.5759999999318</v>
      </c>
      <c r="F16" s="119">
        <v>572.25</v>
      </c>
      <c r="G16" s="119">
        <v>619.53999999997905</v>
      </c>
      <c r="H16" s="119">
        <v>888.30000000000291</v>
      </c>
      <c r="I16" s="119">
        <v>626.85000000000218</v>
      </c>
      <c r="J16" s="119">
        <v>1353.4199999999475</v>
      </c>
      <c r="K16" s="119">
        <v>1766.9649999999315</v>
      </c>
      <c r="L16" s="119">
        <v>8808.2799999996896</v>
      </c>
      <c r="M16" s="119">
        <v>858.87000000011176</v>
      </c>
      <c r="N16" s="276">
        <v>467.58</v>
      </c>
      <c r="O16" s="119">
        <v>2391.8529000007748</v>
      </c>
      <c r="P16" s="141">
        <f t="shared" si="0"/>
        <v>26973.143100000321</v>
      </c>
      <c r="Q16" s="119">
        <v>13968.709999999739</v>
      </c>
      <c r="R16" s="119">
        <v>22560.857300000167</v>
      </c>
      <c r="S16" s="119">
        <v>1283.6322999999779</v>
      </c>
      <c r="T16" s="119">
        <v>1588.1374999999744</v>
      </c>
      <c r="U16" s="119">
        <v>2591.6526999998787</v>
      </c>
      <c r="V16" s="141">
        <f t="shared" si="1"/>
        <v>68966.132900000055</v>
      </c>
      <c r="W16" s="81"/>
      <c r="X16" s="262">
        <f>Summary!K16</f>
        <v>68966.132900000055</v>
      </c>
      <c r="Z16" s="281">
        <f t="shared" si="2"/>
        <v>0</v>
      </c>
    </row>
    <row r="17" spans="1:26" s="239" customFormat="1" hidden="1">
      <c r="A17" s="52"/>
      <c r="B17" s="187">
        <v>45760</v>
      </c>
      <c r="C17" s="187" t="s">
        <v>198</v>
      </c>
      <c r="D17" s="188">
        <v>2748.3168000001551</v>
      </c>
      <c r="E17" s="188">
        <v>303.80160000016508</v>
      </c>
      <c r="F17" s="188">
        <v>82.25</v>
      </c>
      <c r="G17" s="188">
        <v>548.53999999992084</v>
      </c>
      <c r="H17" s="188">
        <v>664.36000000002241</v>
      </c>
      <c r="I17" s="188">
        <v>50.430000000000291</v>
      </c>
      <c r="J17" s="188">
        <v>241.6824000000197</v>
      </c>
      <c r="K17" s="188">
        <v>315.52980000002572</v>
      </c>
      <c r="L17" s="188">
        <v>1759.8399999999965</v>
      </c>
      <c r="M17" s="188">
        <v>348.25</v>
      </c>
      <c r="N17" s="188">
        <v>239.23</v>
      </c>
      <c r="O17" s="282">
        <v>1841.010599999491</v>
      </c>
      <c r="P17" s="189">
        <f t="shared" si="0"/>
        <v>9143.2411999997967</v>
      </c>
      <c r="Q17" s="188">
        <v>6278.0800000000972</v>
      </c>
      <c r="R17" s="188">
        <v>10621.009999999917</v>
      </c>
      <c r="S17" s="188">
        <v>549.70234999998229</v>
      </c>
      <c r="T17" s="188">
        <v>1100.4148500000629</v>
      </c>
      <c r="U17" s="188">
        <v>221.8472000000022</v>
      </c>
      <c r="V17" s="189">
        <f t="shared" si="1"/>
        <v>27914.295599999859</v>
      </c>
      <c r="W17" s="81"/>
      <c r="X17" s="262">
        <f>Summary!K17</f>
        <v>27914.295599999859</v>
      </c>
      <c r="Z17" s="281">
        <f t="shared" si="2"/>
        <v>0</v>
      </c>
    </row>
    <row r="18" spans="1:26" s="239" customFormat="1" hidden="1">
      <c r="A18" s="52"/>
      <c r="B18" s="101">
        <v>45761</v>
      </c>
      <c r="C18" s="101" t="s">
        <v>192</v>
      </c>
      <c r="D18" s="119">
        <v>991.27040000014745</v>
      </c>
      <c r="E18" s="119">
        <v>332.64960000011195</v>
      </c>
      <c r="F18" s="119">
        <v>67.629999999888241</v>
      </c>
      <c r="G18" s="119">
        <v>542.34000000014203</v>
      </c>
      <c r="H18" s="119">
        <v>620.86999999998807</v>
      </c>
      <c r="I18" s="119">
        <v>39.610000000000582</v>
      </c>
      <c r="J18" s="119">
        <v>77.918400000016547</v>
      </c>
      <c r="K18" s="119">
        <v>101.72680000002161</v>
      </c>
      <c r="L18" s="119">
        <v>865.30999999938649</v>
      </c>
      <c r="M18" s="119">
        <v>245</v>
      </c>
      <c r="N18" s="119">
        <v>170.37</v>
      </c>
      <c r="O18" s="120">
        <v>1628.7451999999389</v>
      </c>
      <c r="P18" s="141">
        <f t="shared" si="0"/>
        <v>5683.4403999996412</v>
      </c>
      <c r="Q18" s="119">
        <v>7334.5000000001719</v>
      </c>
      <c r="R18" s="119">
        <v>2764</v>
      </c>
      <c r="S18" s="119">
        <v>197.96700000002852</v>
      </c>
      <c r="T18" s="119">
        <v>395.87260000005938</v>
      </c>
      <c r="U18" s="119">
        <v>39.575200000009353</v>
      </c>
      <c r="V18" s="141">
        <f t="shared" si="1"/>
        <v>16415.355199999911</v>
      </c>
      <c r="W18" s="81"/>
      <c r="X18" s="262">
        <f>Summary!K18</f>
        <v>16415.355199999911</v>
      </c>
      <c r="Z18" s="281">
        <f t="shared" si="2"/>
        <v>0</v>
      </c>
    </row>
    <row r="19" spans="1:26" s="239" customFormat="1" hidden="1">
      <c r="A19" s="52"/>
      <c r="B19" s="101">
        <v>45762</v>
      </c>
      <c r="C19" s="101" t="s">
        <v>193</v>
      </c>
      <c r="D19" s="119">
        <v>2724.5247999999738</v>
      </c>
      <c r="E19" s="119">
        <v>5624.7647999999808</v>
      </c>
      <c r="F19" s="119">
        <v>565.5</v>
      </c>
      <c r="G19" s="119">
        <v>699.0099999998929</v>
      </c>
      <c r="H19" s="119">
        <v>947.50000000001455</v>
      </c>
      <c r="I19" s="119">
        <v>818.18999999999869</v>
      </c>
      <c r="J19" s="119">
        <v>1502.5679999999538</v>
      </c>
      <c r="K19" s="119">
        <v>1961.6859999999397</v>
      </c>
      <c r="L19" s="119">
        <v>9311.0399999997971</v>
      </c>
      <c r="M19" s="119">
        <v>895.75</v>
      </c>
      <c r="N19" s="119">
        <v>495.87</v>
      </c>
      <c r="O19" s="119">
        <v>2748.7998000010448</v>
      </c>
      <c r="P19" s="141">
        <f t="shared" si="0"/>
        <v>28295.203400000595</v>
      </c>
      <c r="Q19" s="119">
        <v>13563.819999999776</v>
      </c>
      <c r="R19" s="119">
        <v>22353.103800000081</v>
      </c>
      <c r="S19" s="119">
        <v>1221.4128999999882</v>
      </c>
      <c r="T19" s="119">
        <v>1231.2194999999847</v>
      </c>
      <c r="U19" s="119">
        <v>2920.9101999999875</v>
      </c>
      <c r="V19" s="141">
        <f t="shared" si="1"/>
        <v>69585.669800000411</v>
      </c>
      <c r="W19" s="81"/>
      <c r="X19" s="262">
        <f>Summary!K19</f>
        <v>69585.669800000411</v>
      </c>
      <c r="Z19" s="281">
        <f t="shared" si="2"/>
        <v>0</v>
      </c>
    </row>
    <row r="20" spans="1:26" s="239" customFormat="1" hidden="1">
      <c r="A20" s="52"/>
      <c r="B20" s="101">
        <v>45763</v>
      </c>
      <c r="C20" s="101" t="s">
        <v>194</v>
      </c>
      <c r="D20" s="119">
        <v>3476.3264000000504</v>
      </c>
      <c r="E20" s="119">
        <v>5155.5743999996921</v>
      </c>
      <c r="F20" s="119">
        <v>641.87000000011176</v>
      </c>
      <c r="G20" s="119">
        <v>664.65000000008149</v>
      </c>
      <c r="H20" s="119">
        <v>980.52999999999884</v>
      </c>
      <c r="I20" s="119">
        <v>694.34000000000015</v>
      </c>
      <c r="J20" s="119">
        <v>1394.4167999999231</v>
      </c>
      <c r="K20" s="119">
        <v>1820.4885999998994</v>
      </c>
      <c r="L20" s="119">
        <v>9512.4299999999275</v>
      </c>
      <c r="M20" s="119">
        <v>898.62999999988824</v>
      </c>
      <c r="N20" s="119">
        <v>385.79</v>
      </c>
      <c r="O20" s="119">
        <v>2907.8803999996949</v>
      </c>
      <c r="P20" s="141">
        <f t="shared" si="0"/>
        <v>28532.926599999271</v>
      </c>
      <c r="Q20" s="119">
        <v>12276.360000000064</v>
      </c>
      <c r="R20" s="119">
        <v>22535.625799999983</v>
      </c>
      <c r="S20" s="119">
        <v>1333.4781999999923</v>
      </c>
      <c r="T20" s="119">
        <v>1512.8752000000111</v>
      </c>
      <c r="U20" s="119">
        <v>2641.3145999999824</v>
      </c>
      <c r="V20" s="141">
        <f t="shared" si="1"/>
        <v>68832.580399999308</v>
      </c>
      <c r="W20" s="53"/>
      <c r="X20" s="262">
        <f>Summary!K20</f>
        <v>68832.580399999308</v>
      </c>
      <c r="Z20" s="281">
        <f t="shared" si="2"/>
        <v>0</v>
      </c>
    </row>
    <row r="21" spans="1:26" s="239" customFormat="1" hidden="1">
      <c r="A21" s="52"/>
      <c r="B21" s="101">
        <v>45764</v>
      </c>
      <c r="C21" s="101" t="s">
        <v>195</v>
      </c>
      <c r="D21" s="119">
        <v>3861.1296000000211</v>
      </c>
      <c r="E21" s="119">
        <v>5115.2256000002553</v>
      </c>
      <c r="F21" s="119">
        <v>626.37999999988824</v>
      </c>
      <c r="G21" s="119">
        <v>709.62999999988824</v>
      </c>
      <c r="H21" s="119">
        <v>995.90999999999622</v>
      </c>
      <c r="I21" s="119">
        <v>700.91999999999825</v>
      </c>
      <c r="J21" s="119">
        <v>1540.6272000000538</v>
      </c>
      <c r="K21" s="119">
        <v>2011.3744000000702</v>
      </c>
      <c r="L21" s="119">
        <v>10151.090000001259</v>
      </c>
      <c r="M21" s="119">
        <v>904.5</v>
      </c>
      <c r="N21" s="119">
        <v>232.96</v>
      </c>
      <c r="O21" s="119">
        <v>2874.0913999984386</v>
      </c>
      <c r="P21" s="141">
        <f t="shared" si="0"/>
        <v>29723.838199999867</v>
      </c>
      <c r="Q21" s="119">
        <v>14135.239999999991</v>
      </c>
      <c r="R21" s="119">
        <v>23173.435400000082</v>
      </c>
      <c r="S21" s="119">
        <v>1414.6720500000222</v>
      </c>
      <c r="T21" s="119">
        <v>1679.4345500000143</v>
      </c>
      <c r="U21" s="119">
        <v>2823.4862000001208</v>
      </c>
      <c r="V21" s="141">
        <f t="shared" si="1"/>
        <v>72950.106400000106</v>
      </c>
      <c r="W21" s="81"/>
      <c r="X21" s="262">
        <f>Summary!K21</f>
        <v>72950.106400000106</v>
      </c>
      <c r="Z21" s="281">
        <f t="shared" si="2"/>
        <v>0</v>
      </c>
    </row>
    <row r="22" spans="1:26" s="239" customFormat="1" hidden="1">
      <c r="A22" s="52"/>
      <c r="B22" s="101">
        <v>45765</v>
      </c>
      <c r="C22" s="101" t="s">
        <v>196</v>
      </c>
      <c r="D22" s="119">
        <v>3424.5215999999045</v>
      </c>
      <c r="E22" s="119">
        <v>5593.6703999997635</v>
      </c>
      <c r="F22" s="119">
        <v>648.75</v>
      </c>
      <c r="G22" s="119">
        <v>732.24000000004889</v>
      </c>
      <c r="H22" s="119">
        <v>1069.6299999999756</v>
      </c>
      <c r="I22" s="119">
        <v>901.19000000000233</v>
      </c>
      <c r="J22" s="119">
        <v>1501.3727999998832</v>
      </c>
      <c r="K22" s="119">
        <v>1960.1255999998475</v>
      </c>
      <c r="L22" s="119">
        <v>10155.240000000274</v>
      </c>
      <c r="M22" s="119">
        <v>887.12000000011176</v>
      </c>
      <c r="N22" s="119">
        <v>200.7</v>
      </c>
      <c r="O22" s="119">
        <v>2917.3510000012311</v>
      </c>
      <c r="P22" s="141">
        <f t="shared" si="0"/>
        <v>29991.911400001045</v>
      </c>
      <c r="Q22" s="119">
        <v>14605.900000000167</v>
      </c>
      <c r="R22" s="119">
        <v>23404.989399999766</v>
      </c>
      <c r="S22" s="119">
        <v>1349.7732499999593</v>
      </c>
      <c r="T22" s="119">
        <v>1504.5229499999496</v>
      </c>
      <c r="U22" s="119">
        <v>2781.6589999999701</v>
      </c>
      <c r="V22" s="141">
        <f t="shared" si="1"/>
        <v>73638.756000000867</v>
      </c>
      <c r="W22" s="81"/>
      <c r="X22" s="262">
        <f>Summary!K22</f>
        <v>73638.756000000867</v>
      </c>
      <c r="Z22" s="281">
        <f t="shared" si="2"/>
        <v>0</v>
      </c>
    </row>
    <row r="23" spans="1:26" s="239" customFormat="1" hidden="1">
      <c r="A23" s="52"/>
      <c r="B23" s="101">
        <v>45766</v>
      </c>
      <c r="C23" s="101" t="s">
        <v>197</v>
      </c>
      <c r="D23" s="119">
        <v>2793.4175999999507</v>
      </c>
      <c r="E23" s="119">
        <v>5278.8960000001098</v>
      </c>
      <c r="F23" s="119">
        <v>558.37000000011176</v>
      </c>
      <c r="G23" s="119">
        <v>756.78000000002794</v>
      </c>
      <c r="H23" s="119">
        <v>919.48000000001775</v>
      </c>
      <c r="I23" s="119">
        <v>666.46999999999753</v>
      </c>
      <c r="J23" s="119">
        <v>1459.9440000000241</v>
      </c>
      <c r="K23" s="119">
        <v>1906.0380000000314</v>
      </c>
      <c r="L23" s="119">
        <v>9709.3399999987523</v>
      </c>
      <c r="M23" s="119">
        <v>889</v>
      </c>
      <c r="N23" s="120">
        <v>241.79</v>
      </c>
      <c r="O23" s="119">
        <v>2512.593000000441</v>
      </c>
      <c r="P23" s="141">
        <f t="shared" si="0"/>
        <v>27692.118599999467</v>
      </c>
      <c r="Q23" s="119">
        <v>16396.089999999764</v>
      </c>
      <c r="R23" s="119">
        <v>23219.392600000116</v>
      </c>
      <c r="S23" s="119">
        <v>1253.5726499999319</v>
      </c>
      <c r="T23" s="119">
        <v>1253.3947499999833</v>
      </c>
      <c r="U23" s="119">
        <v>2680.7294000000165</v>
      </c>
      <c r="V23" s="141">
        <f t="shared" si="1"/>
        <v>72495.297999999253</v>
      </c>
      <c r="W23" s="81"/>
      <c r="X23" s="262">
        <f>Summary!K23</f>
        <v>72495.297999999253</v>
      </c>
      <c r="Z23" s="281">
        <f t="shared" si="2"/>
        <v>0</v>
      </c>
    </row>
    <row r="24" spans="1:26" s="239" customFormat="1" hidden="1">
      <c r="A24" s="52"/>
      <c r="B24" s="187">
        <v>45767</v>
      </c>
      <c r="C24" s="187" t="s">
        <v>198</v>
      </c>
      <c r="D24" s="188">
        <v>1197.8944000001854</v>
      </c>
      <c r="E24" s="188">
        <v>634.50239999995688</v>
      </c>
      <c r="F24" s="188">
        <v>153.12999999988824</v>
      </c>
      <c r="G24" s="188">
        <v>653.60999999998603</v>
      </c>
      <c r="H24" s="188">
        <v>803.73999999999796</v>
      </c>
      <c r="I24" s="188">
        <v>17.05000000000291</v>
      </c>
      <c r="J24" s="188">
        <v>314.39520000018587</v>
      </c>
      <c r="K24" s="188">
        <v>410.46040000024266</v>
      </c>
      <c r="L24" s="188">
        <v>2252.3300000004347</v>
      </c>
      <c r="M24" s="188">
        <v>431.37999999988824</v>
      </c>
      <c r="N24" s="188">
        <v>230.53</v>
      </c>
      <c r="O24" s="282">
        <v>2212.3523999990744</v>
      </c>
      <c r="P24" s="189">
        <f t="shared" si="0"/>
        <v>9311.3747999998432</v>
      </c>
      <c r="Q24" s="188">
        <v>9748.4700000000321</v>
      </c>
      <c r="R24" s="188">
        <v>19286.709999999963</v>
      </c>
      <c r="S24" s="188">
        <v>351.56170000005739</v>
      </c>
      <c r="T24" s="188">
        <v>502.8603000000931</v>
      </c>
      <c r="U24" s="188">
        <v>269.18559999992527</v>
      </c>
      <c r="V24" s="189">
        <f t="shared" si="1"/>
        <v>39470.162399999914</v>
      </c>
      <c r="W24" s="81"/>
      <c r="X24" s="262">
        <f>Summary!K24</f>
        <v>39470.162399999914</v>
      </c>
      <c r="Z24" s="281">
        <f t="shared" si="2"/>
        <v>0</v>
      </c>
    </row>
    <row r="25" spans="1:26" s="239" customFormat="1" hidden="1">
      <c r="A25" s="52"/>
      <c r="B25" s="101">
        <v>45768</v>
      </c>
      <c r="C25" s="101" t="s">
        <v>192</v>
      </c>
      <c r="D25" s="119">
        <v>2706.2111999997942</v>
      </c>
      <c r="E25" s="119">
        <v>5780.1504000002733</v>
      </c>
      <c r="F25" s="119">
        <v>619.87000000011176</v>
      </c>
      <c r="G25" s="119">
        <v>789.1600000000326</v>
      </c>
      <c r="H25" s="119">
        <v>939.20000000001164</v>
      </c>
      <c r="I25" s="119">
        <v>683.46999999999753</v>
      </c>
      <c r="J25" s="119">
        <v>1977.6023999998677</v>
      </c>
      <c r="K25" s="119">
        <v>2581.8697999998271</v>
      </c>
      <c r="L25" s="119">
        <v>10231.400000000478</v>
      </c>
      <c r="M25" s="119">
        <v>919.87000000011176</v>
      </c>
      <c r="N25" s="120">
        <v>291.45999999999998</v>
      </c>
      <c r="O25" s="119">
        <v>2634.8755000001138</v>
      </c>
      <c r="P25" s="141">
        <f t="shared" si="0"/>
        <v>30155.139300000617</v>
      </c>
      <c r="Q25" s="119">
        <v>16552.460000000225</v>
      </c>
      <c r="R25" s="119">
        <v>23402.548299999831</v>
      </c>
      <c r="S25" s="119">
        <v>1303.1466500000233</v>
      </c>
      <c r="T25" s="119">
        <v>1276.8473499999047</v>
      </c>
      <c r="U25" s="119">
        <v>2851.0689000000807</v>
      </c>
      <c r="V25" s="141">
        <f t="shared" si="1"/>
        <v>75541.2105000007</v>
      </c>
      <c r="W25" s="81"/>
      <c r="X25" s="262">
        <f>Summary!K25</f>
        <v>75541.2105000007</v>
      </c>
      <c r="Z25" s="281">
        <f t="shared" si="2"/>
        <v>0</v>
      </c>
    </row>
    <row r="26" spans="1:26" s="239" customFormat="1" hidden="1">
      <c r="A26" s="52"/>
      <c r="B26" s="101">
        <v>45769</v>
      </c>
      <c r="C26" s="101" t="s">
        <v>193</v>
      </c>
      <c r="D26" s="119">
        <v>4071.2672000000466</v>
      </c>
      <c r="E26" s="119">
        <v>5662.2911999998887</v>
      </c>
      <c r="F26" s="119">
        <v>595.87999999988824</v>
      </c>
      <c r="G26" s="119">
        <v>779.1600000000326</v>
      </c>
      <c r="H26" s="119">
        <v>982.33000000000175</v>
      </c>
      <c r="I26" s="119">
        <v>794.56999999999971</v>
      </c>
      <c r="J26" s="119">
        <v>1569.6756000000494</v>
      </c>
      <c r="K26" s="119">
        <v>2049.2987000000644</v>
      </c>
      <c r="L26" s="119">
        <v>10370.44999999983</v>
      </c>
      <c r="M26" s="119">
        <v>890.25</v>
      </c>
      <c r="N26" s="119">
        <v>481.02</v>
      </c>
      <c r="O26" s="120">
        <v>2663.9274999997497</v>
      </c>
      <c r="P26" s="141">
        <f t="shared" si="0"/>
        <v>30910.120199999554</v>
      </c>
      <c r="Q26" s="119">
        <v>16816.849999999922</v>
      </c>
      <c r="R26" s="119">
        <v>23617.305200000159</v>
      </c>
      <c r="S26" s="119">
        <v>1462.6183500000616</v>
      </c>
      <c r="T26" s="119">
        <v>1764.7471500000238</v>
      </c>
      <c r="U26" s="119">
        <v>2784.5616000000045</v>
      </c>
      <c r="V26" s="141">
        <f t="shared" si="1"/>
        <v>77356.202499999723</v>
      </c>
      <c r="W26" s="81"/>
      <c r="X26" s="262">
        <f>Summary!K26</f>
        <v>77356.202499999723</v>
      </c>
      <c r="Z26" s="281">
        <f t="shared" si="2"/>
        <v>0</v>
      </c>
    </row>
    <row r="27" spans="1:26" s="239" customFormat="1" hidden="1">
      <c r="A27" s="52"/>
      <c r="B27" s="101">
        <v>45770</v>
      </c>
      <c r="C27" s="101" t="s">
        <v>194</v>
      </c>
      <c r="D27" s="119">
        <v>3903.1967999999397</v>
      </c>
      <c r="E27" s="119">
        <v>5956.9631999997955</v>
      </c>
      <c r="F27" s="119">
        <v>620</v>
      </c>
      <c r="G27" s="119">
        <v>799.52999999991152</v>
      </c>
      <c r="H27" s="119">
        <v>1040.8199999999706</v>
      </c>
      <c r="I27" s="119">
        <v>820.47999999999956</v>
      </c>
      <c r="J27" s="119">
        <v>1621.4939999999874</v>
      </c>
      <c r="K27" s="119">
        <v>2116.9504999999835</v>
      </c>
      <c r="L27" s="119">
        <v>10280.979999999548</v>
      </c>
      <c r="M27" s="119">
        <v>896.25</v>
      </c>
      <c r="N27" s="119">
        <v>493.82</v>
      </c>
      <c r="O27" s="119">
        <v>2489.3036000012276</v>
      </c>
      <c r="P27" s="141">
        <f t="shared" si="0"/>
        <v>31039.788100000365</v>
      </c>
      <c r="Q27" s="119">
        <v>17015.369999999995</v>
      </c>
      <c r="R27" s="119">
        <v>23829.760899999943</v>
      </c>
      <c r="S27" s="119">
        <v>1396.4862499998658</v>
      </c>
      <c r="T27" s="119">
        <v>1704.8522499999751</v>
      </c>
      <c r="U27" s="119">
        <v>2940.3910999998911</v>
      </c>
      <c r="V27" s="141">
        <f t="shared" si="1"/>
        <v>77926.648600000059</v>
      </c>
      <c r="W27" s="53"/>
      <c r="X27" s="262">
        <f>Summary!K27</f>
        <v>77926.648600000044</v>
      </c>
      <c r="Z27" s="281">
        <f t="shared" si="2"/>
        <v>0</v>
      </c>
    </row>
    <row r="28" spans="1:26" s="239" customFormat="1" hidden="1">
      <c r="A28" s="52"/>
      <c r="B28" s="101">
        <v>45771</v>
      </c>
      <c r="C28" s="101" t="s">
        <v>195</v>
      </c>
      <c r="D28" s="119">
        <v>3624.1823999998242</v>
      </c>
      <c r="E28" s="119">
        <v>6232.4064000000071</v>
      </c>
      <c r="F28" s="119">
        <v>576.25</v>
      </c>
      <c r="G28" s="119">
        <v>825.39000000001397</v>
      </c>
      <c r="H28" s="119">
        <v>1053.0400000000081</v>
      </c>
      <c r="I28" s="119">
        <v>898.30000000000291</v>
      </c>
      <c r="J28" s="119">
        <v>1644.0767999999912</v>
      </c>
      <c r="K28" s="119">
        <v>2146.4335999999885</v>
      </c>
      <c r="L28" s="119">
        <v>10664.150000000518</v>
      </c>
      <c r="M28" s="119">
        <v>935.12999999988824</v>
      </c>
      <c r="N28" s="119">
        <v>457.34</v>
      </c>
      <c r="O28" s="119">
        <v>3042.4035999994749</v>
      </c>
      <c r="P28" s="141">
        <f t="shared" si="0"/>
        <v>32099.102799999717</v>
      </c>
      <c r="Q28" s="119">
        <v>17386.979999999927</v>
      </c>
      <c r="R28" s="119">
        <v>24054.885600000016</v>
      </c>
      <c r="S28" s="119">
        <v>1398.4039500000281</v>
      </c>
      <c r="T28" s="119">
        <v>1598.3714499999303</v>
      </c>
      <c r="U28" s="119">
        <v>3061.4748000001059</v>
      </c>
      <c r="V28" s="141">
        <f t="shared" si="1"/>
        <v>79599.218599999731</v>
      </c>
      <c r="W28" s="81"/>
      <c r="X28" s="262">
        <f>Summary!K28</f>
        <v>79599.218599999731</v>
      </c>
      <c r="Z28" s="281">
        <f t="shared" si="2"/>
        <v>0</v>
      </c>
    </row>
    <row r="29" spans="1:26" s="239" customFormat="1" hidden="1">
      <c r="A29" s="52"/>
      <c r="B29" s="101">
        <v>45772</v>
      </c>
      <c r="C29" s="101" t="s">
        <v>196</v>
      </c>
      <c r="D29" s="119">
        <v>4033.0432000001483</v>
      </c>
      <c r="E29" s="119">
        <v>6044.8992000001954</v>
      </c>
      <c r="F29" s="119">
        <v>596.37000000011176</v>
      </c>
      <c r="G29" s="119">
        <v>803.62000000005355</v>
      </c>
      <c r="H29" s="119">
        <v>1049.7800000000207</v>
      </c>
      <c r="I29" s="119">
        <v>919.06999999999607</v>
      </c>
      <c r="J29" s="119">
        <v>1624.5107999999366</v>
      </c>
      <c r="K29" s="119">
        <v>2120.8890999999171</v>
      </c>
      <c r="L29" s="119">
        <v>10130.399999998925</v>
      </c>
      <c r="M29" s="119">
        <v>953.62000000011176</v>
      </c>
      <c r="N29" s="119">
        <v>350.34</v>
      </c>
      <c r="O29" s="119">
        <v>2829.3814000011193</v>
      </c>
      <c r="P29" s="141">
        <f t="shared" si="0"/>
        <v>31455.923700000534</v>
      </c>
      <c r="Q29" s="119">
        <v>15953.659999999973</v>
      </c>
      <c r="R29" s="119">
        <v>24268.650900000066</v>
      </c>
      <c r="S29" s="119">
        <v>1486.7566000000284</v>
      </c>
      <c r="T29" s="119">
        <v>1755.9087000000509</v>
      </c>
      <c r="U29" s="119">
        <v>3069.6014999998733</v>
      </c>
      <c r="V29" s="141">
        <f t="shared" si="1"/>
        <v>77990.501400000532</v>
      </c>
      <c r="W29" s="81"/>
      <c r="X29" s="262">
        <f>Summary!K29</f>
        <v>77990.501400000532</v>
      </c>
      <c r="Z29" s="281">
        <f t="shared" si="2"/>
        <v>0</v>
      </c>
    </row>
    <row r="30" spans="1:26" s="239" customFormat="1" hidden="1">
      <c r="A30" s="52"/>
      <c r="B30" s="101">
        <v>45773</v>
      </c>
      <c r="C30" s="101" t="s">
        <v>197</v>
      </c>
      <c r="D30" s="119">
        <v>2713.9776000003085</v>
      </c>
      <c r="E30" s="119">
        <v>5567.8559999998724</v>
      </c>
      <c r="F30" s="119">
        <v>518.5</v>
      </c>
      <c r="G30" s="119">
        <v>776.36000000004424</v>
      </c>
      <c r="H30" s="119">
        <v>1044.5899999999965</v>
      </c>
      <c r="I30" s="119">
        <v>752.51000000000204</v>
      </c>
      <c r="J30" s="119">
        <v>1651.3668000001273</v>
      </c>
      <c r="K30" s="119">
        <v>2155.9511000001662</v>
      </c>
      <c r="L30" s="119">
        <v>9867.8700000008903</v>
      </c>
      <c r="M30" s="119">
        <v>906.37999999988824</v>
      </c>
      <c r="N30" s="120">
        <v>187.39</v>
      </c>
      <c r="O30" s="119">
        <v>3148.9397999977423</v>
      </c>
      <c r="P30" s="141">
        <f t="shared" si="0"/>
        <v>29291.691299999035</v>
      </c>
      <c r="Q30" s="119">
        <v>14875.580000000135</v>
      </c>
      <c r="R30" s="119">
        <v>23933.201699999841</v>
      </c>
      <c r="S30" s="119">
        <v>1265.1554000000601</v>
      </c>
      <c r="T30" s="119">
        <v>1243.6327000001347</v>
      </c>
      <c r="U30" s="119">
        <v>2869.2187000001481</v>
      </c>
      <c r="V30" s="141">
        <f t="shared" si="1"/>
        <v>73478.479799999346</v>
      </c>
      <c r="W30" s="81"/>
      <c r="X30" s="262">
        <f>Summary!K30</f>
        <v>73478.479799999332</v>
      </c>
      <c r="Z30" s="281">
        <f t="shared" si="2"/>
        <v>0</v>
      </c>
    </row>
    <row r="31" spans="1:26" s="239" customFormat="1" hidden="1">
      <c r="A31" s="52"/>
      <c r="B31" s="187">
        <v>45774</v>
      </c>
      <c r="C31" s="187" t="s">
        <v>198</v>
      </c>
      <c r="D31" s="188">
        <v>1067.3919999998977</v>
      </c>
      <c r="E31" s="188">
        <v>519.48480000017207</v>
      </c>
      <c r="F31" s="188">
        <v>142.37999999988824</v>
      </c>
      <c r="G31" s="188">
        <v>628.36999999993714</v>
      </c>
      <c r="H31" s="188">
        <v>835.11999999998807</v>
      </c>
      <c r="I31" s="188">
        <v>16.959999999999127</v>
      </c>
      <c r="J31" s="188">
        <v>261.11879999996921</v>
      </c>
      <c r="K31" s="188">
        <v>340.90509999995976</v>
      </c>
      <c r="L31" s="188">
        <v>2049.6700000003766</v>
      </c>
      <c r="M31" s="188">
        <v>447.25</v>
      </c>
      <c r="N31" s="282">
        <v>459.39</v>
      </c>
      <c r="O31" s="282">
        <v>1852.6106999998697</v>
      </c>
      <c r="P31" s="189">
        <f t="shared" si="0"/>
        <v>8620.6514000000589</v>
      </c>
      <c r="Q31" s="188">
        <v>7102.7199999998566</v>
      </c>
      <c r="R31" s="188">
        <v>14970.970000000252</v>
      </c>
      <c r="S31" s="188">
        <v>313.11969999997984</v>
      </c>
      <c r="T31" s="188">
        <v>445.9631999999566</v>
      </c>
      <c r="U31" s="188">
        <v>286.71639999988133</v>
      </c>
      <c r="V31" s="189">
        <f t="shared" si="1"/>
        <v>31740.140699999989</v>
      </c>
      <c r="W31" s="81"/>
      <c r="X31" s="262">
        <f>Summary!K31</f>
        <v>31740.140699999989</v>
      </c>
      <c r="Z31" s="281">
        <f t="shared" si="2"/>
        <v>0</v>
      </c>
    </row>
    <row r="32" spans="1:26" s="239" customFormat="1" hidden="1">
      <c r="A32" s="52"/>
      <c r="B32" s="101">
        <v>45775</v>
      </c>
      <c r="C32" s="101" t="s">
        <v>192</v>
      </c>
      <c r="D32" s="119">
        <v>2400.3263999997071</v>
      </c>
      <c r="E32" s="119">
        <v>5970.8064000001295</v>
      </c>
      <c r="F32" s="119">
        <v>606.5</v>
      </c>
      <c r="G32" s="119">
        <v>758.40000000002328</v>
      </c>
      <c r="H32" s="119">
        <v>1011.0200000000041</v>
      </c>
      <c r="I32" s="119">
        <v>774.52999999999884</v>
      </c>
      <c r="J32" s="119">
        <v>1518.4656000000389</v>
      </c>
      <c r="K32" s="119">
        <v>1982.4412000000507</v>
      </c>
      <c r="L32" s="119">
        <v>9417.2699999992474</v>
      </c>
      <c r="M32" s="119">
        <v>893.87000000011176</v>
      </c>
      <c r="N32" s="120">
        <v>228.99</v>
      </c>
      <c r="O32" s="120">
        <v>2989.4044000012987</v>
      </c>
      <c r="P32" s="141">
        <f t="shared" si="0"/>
        <v>28552.024000000609</v>
      </c>
      <c r="Q32" s="119">
        <v>17213.849999999915</v>
      </c>
      <c r="R32" s="119">
        <v>23714.33519999987</v>
      </c>
      <c r="S32" s="119">
        <v>1178.7176999999638</v>
      </c>
      <c r="T32" s="119">
        <v>1106.34589999989</v>
      </c>
      <c r="U32" s="119">
        <v>2927.3216000001203</v>
      </c>
      <c r="V32" s="141">
        <f t="shared" si="1"/>
        <v>74692.594400000366</v>
      </c>
      <c r="W32" s="81"/>
      <c r="X32" s="262">
        <f>Summary!K32</f>
        <v>74692.594400000366</v>
      </c>
      <c r="Z32" s="281">
        <f t="shared" si="2"/>
        <v>0</v>
      </c>
    </row>
    <row r="33" spans="1:28" s="239" customFormat="1">
      <c r="A33" s="52"/>
      <c r="B33" s="101">
        <v>45776</v>
      </c>
      <c r="C33" s="101" t="s">
        <v>193</v>
      </c>
      <c r="D33" s="119">
        <v>3761.673600000342</v>
      </c>
      <c r="E33" s="119">
        <v>6299.0495999998338</v>
      </c>
      <c r="F33" s="119">
        <v>618.75</v>
      </c>
      <c r="G33" s="119">
        <v>766.47999999992317</v>
      </c>
      <c r="H33" s="119">
        <v>1030.989999999998</v>
      </c>
      <c r="I33" s="119">
        <v>614.5</v>
      </c>
      <c r="J33" s="119">
        <v>1584.9791999998695</v>
      </c>
      <c r="K33" s="119">
        <v>2069.2783999998296</v>
      </c>
      <c r="L33" s="119">
        <v>9555.4500000000698</v>
      </c>
      <c r="M33" s="119">
        <v>908.62999999988824</v>
      </c>
      <c r="N33" s="120">
        <v>429.44</v>
      </c>
      <c r="O33" s="120">
        <v>2665.9453000000399</v>
      </c>
      <c r="P33" s="141">
        <f t="shared" si="0"/>
        <v>30305.166099999791</v>
      </c>
      <c r="Q33" s="119">
        <v>16724.980000000094</v>
      </c>
      <c r="R33" s="119">
        <v>24023.48550000001</v>
      </c>
      <c r="S33" s="119">
        <v>1463.1640500000381</v>
      </c>
      <c r="T33" s="119">
        <v>1645.5125500001191</v>
      </c>
      <c r="U33" s="119">
        <v>2935.6920999999702</v>
      </c>
      <c r="V33" s="141">
        <f t="shared" si="1"/>
        <v>77098.000300000014</v>
      </c>
      <c r="W33" s="81"/>
      <c r="X33" s="262">
        <f>Summary!K33</f>
        <v>77098.000300000029</v>
      </c>
      <c r="Z33" s="281">
        <f t="shared" ref="Z33:Z35" si="3">X33-V33</f>
        <v>0</v>
      </c>
    </row>
    <row r="34" spans="1:28" s="239" customFormat="1">
      <c r="A34" s="52"/>
      <c r="B34" s="101">
        <v>45777</v>
      </c>
      <c r="C34" s="101" t="s">
        <v>194</v>
      </c>
      <c r="D34" s="119">
        <v>2677.1551999997359</v>
      </c>
      <c r="E34" s="119">
        <v>5949.7823999998172</v>
      </c>
      <c r="F34" s="119">
        <v>193.12000000011176</v>
      </c>
      <c r="G34" s="119">
        <v>751.61000000004424</v>
      </c>
      <c r="H34" s="119">
        <v>904.65000000000873</v>
      </c>
      <c r="I34" s="119">
        <v>731.9800000000032</v>
      </c>
      <c r="J34" s="119">
        <v>1509.8976000000221</v>
      </c>
      <c r="K34" s="119">
        <v>1971.2552000000289</v>
      </c>
      <c r="L34" s="119">
        <v>8916.6800000000949</v>
      </c>
      <c r="M34" s="119">
        <v>903.12000000011176</v>
      </c>
      <c r="N34" s="120">
        <v>193.54</v>
      </c>
      <c r="O34" s="120">
        <v>2810.484199999757</v>
      </c>
      <c r="P34" s="141">
        <f t="shared" si="0"/>
        <v>27513.274599999735</v>
      </c>
      <c r="Q34" s="119">
        <v>15499.20000000007</v>
      </c>
      <c r="R34" s="119">
        <v>23831.526199999975</v>
      </c>
      <c r="S34" s="119">
        <v>1175.931650000005</v>
      </c>
      <c r="T34" s="119">
        <v>1213.5301499998993</v>
      </c>
      <c r="U34" s="119">
        <v>3106.9365999998859</v>
      </c>
      <c r="V34" s="141">
        <f t="shared" si="1"/>
        <v>72340.399199999563</v>
      </c>
      <c r="W34" s="81"/>
      <c r="X34" s="262">
        <f>Summary!K34</f>
        <v>72340.399199999563</v>
      </c>
      <c r="Z34" s="281">
        <f t="shared" si="3"/>
        <v>0</v>
      </c>
    </row>
    <row r="35" spans="1:28" s="239" customFormat="1">
      <c r="A35" s="52"/>
      <c r="B35" s="101"/>
      <c r="C35" s="101"/>
      <c r="D35" s="119"/>
      <c r="E35" s="119"/>
      <c r="F35" s="119"/>
      <c r="G35" s="119"/>
      <c r="H35" s="119"/>
      <c r="I35" s="204"/>
      <c r="J35" s="119"/>
      <c r="K35" s="119"/>
      <c r="L35" s="119"/>
      <c r="M35" s="119"/>
      <c r="N35" s="204"/>
      <c r="O35" s="120"/>
      <c r="P35" s="141">
        <f t="shared" ref="P35" si="4">SUM(D35:O35)</f>
        <v>0</v>
      </c>
      <c r="Q35" s="119"/>
      <c r="R35" s="119"/>
      <c r="S35" s="119"/>
      <c r="T35" s="119"/>
      <c r="U35" s="119"/>
      <c r="V35" s="141">
        <f t="shared" ref="V35" si="5">SUM(P35:S35)+T35+U35</f>
        <v>0</v>
      </c>
      <c r="W35" s="81"/>
      <c r="X35" s="262">
        <f>Summary!K35</f>
        <v>0</v>
      </c>
      <c r="Z35" s="281">
        <f t="shared" si="3"/>
        <v>0</v>
      </c>
    </row>
    <row r="36" spans="1:28" s="239" customFormat="1" ht="55.5" customHeight="1">
      <c r="A36" s="48"/>
      <c r="B36" s="121" t="s">
        <v>7</v>
      </c>
      <c r="C36" s="121"/>
      <c r="D36" s="122">
        <f t="shared" ref="D36:Q36" si="6">SUM(D5:D35)</f>
        <v>90072.611199999898</v>
      </c>
      <c r="E36" s="122">
        <f t="shared" si="6"/>
        <v>135952.15679999991</v>
      </c>
      <c r="F36" s="122">
        <f>SUM(F5:F35)</f>
        <v>15139.25</v>
      </c>
      <c r="G36" s="122">
        <f t="shared" si="6"/>
        <v>21062.510000000009</v>
      </c>
      <c r="H36" s="122">
        <f t="shared" si="6"/>
        <v>27814.15000000002</v>
      </c>
      <c r="I36" s="122">
        <f t="shared" si="6"/>
        <v>17807.71</v>
      </c>
      <c r="J36" s="122">
        <f t="shared" si="6"/>
        <v>38879.193600000071</v>
      </c>
      <c r="K36" s="122">
        <f t="shared" si="6"/>
        <v>50758.947200000097</v>
      </c>
      <c r="L36" s="122">
        <f t="shared" si="6"/>
        <v>245279.89999999991</v>
      </c>
      <c r="M36" s="122">
        <f t="shared" si="6"/>
        <v>23877.620000000112</v>
      </c>
      <c r="N36" s="122">
        <f t="shared" si="6"/>
        <v>11167.46</v>
      </c>
      <c r="O36" s="122">
        <f t="shared" si="6"/>
        <v>74274.994699999894</v>
      </c>
      <c r="P36" s="142">
        <f t="shared" si="6"/>
        <v>752086.50349999976</v>
      </c>
      <c r="Q36" s="122">
        <f t="shared" si="6"/>
        <v>413983.2300000001</v>
      </c>
      <c r="R36" s="122">
        <f>SUM(R5:R35)</f>
        <v>638890.06409999984</v>
      </c>
      <c r="S36" s="122">
        <f>SUM(S5:S35)</f>
        <v>33903.201250000049</v>
      </c>
      <c r="T36" s="122">
        <f>SUM(T5:T35)</f>
        <v>39504.524149999961</v>
      </c>
      <c r="U36" s="122">
        <f>SUM(U5:U35)</f>
        <v>68287.566700000025</v>
      </c>
      <c r="V36" s="142">
        <f>SUM(V5:V35)</f>
        <v>1946655.0897000001</v>
      </c>
      <c r="W36" s="57"/>
      <c r="X36" s="262">
        <f>762370-V36</f>
        <v>-1184285.0897000001</v>
      </c>
    </row>
    <row r="37" spans="1:28">
      <c r="B37" s="54"/>
      <c r="C37" s="54"/>
      <c r="D37" s="55"/>
      <c r="E37" s="55">
        <f>E36+F36+G36</f>
        <v>172153.91679999992</v>
      </c>
      <c r="F37" s="55"/>
      <c r="G37" s="55"/>
      <c r="H37" s="55"/>
      <c r="I37" s="55"/>
      <c r="J37" s="55">
        <f>J36+K36</f>
        <v>89638.140800000168</v>
      </c>
      <c r="K37" s="55">
        <v>5720</v>
      </c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</row>
    <row r="38" spans="1:28" ht="27.75">
      <c r="D38" s="55"/>
      <c r="E38" s="55"/>
      <c r="F38" s="55"/>
      <c r="G38" s="55"/>
      <c r="H38" s="55"/>
      <c r="I38" s="164">
        <f>(I35/P42)*100</f>
        <v>0</v>
      </c>
      <c r="J38" s="55"/>
      <c r="K38" s="55"/>
      <c r="L38" s="55"/>
      <c r="M38" s="55"/>
      <c r="N38" s="164">
        <f>(N35/P42)*100</f>
        <v>0</v>
      </c>
      <c r="O38" s="55"/>
      <c r="P38" s="67"/>
      <c r="Q38" s="55"/>
      <c r="R38" s="55"/>
      <c r="S38" s="55"/>
      <c r="T38" s="55"/>
      <c r="U38" s="55"/>
      <c r="V38" s="201">
        <f>V36/100000</f>
        <v>19.466550897000001</v>
      </c>
    </row>
    <row r="39" spans="1:28" ht="33.75">
      <c r="B39" s="105"/>
      <c r="C39" s="105"/>
      <c r="D39" s="164">
        <f>(D36/P42)*100</f>
        <v>11.351522825874721</v>
      </c>
      <c r="E39" s="164">
        <f>(E36/P42)*100</f>
        <v>17.133554701943623</v>
      </c>
      <c r="F39" s="164">
        <f>(F36/P42)*100</f>
        <v>1.9079444866990165</v>
      </c>
      <c r="G39" s="164">
        <f>(G36/P42)*100</f>
        <v>2.6544313509944626</v>
      </c>
      <c r="H39" s="164">
        <f>(H36/P42)*100</f>
        <v>3.5053159267942258</v>
      </c>
      <c r="I39" s="165"/>
      <c r="J39" s="164">
        <f>(J36/P42)*100</f>
        <v>4.899803033599671</v>
      </c>
      <c r="K39" s="164">
        <f>(K36/P42)*100</f>
        <v>6.396965071644015</v>
      </c>
      <c r="L39" s="164">
        <f>(L36/P42)*100</f>
        <v>30.911731618348721</v>
      </c>
      <c r="M39" s="164">
        <f>(M36/P42)*100</f>
        <v>3.0092094016872948</v>
      </c>
      <c r="N39" s="165"/>
      <c r="O39" s="164">
        <f>(O36/P42)*100</f>
        <v>9.3606068092847039</v>
      </c>
      <c r="P39" s="164">
        <f>(P36/P42)*100</f>
        <v>94.782720271715235</v>
      </c>
      <c r="Q39" s="164">
        <f>((Q36*0.1)/P42)*100</f>
        <v>5.2172797282847636</v>
      </c>
      <c r="R39" s="104"/>
      <c r="S39" s="104"/>
      <c r="T39" s="104"/>
      <c r="U39" s="104"/>
      <c r="V39" s="49"/>
      <c r="X39" s="104">
        <f>1677898-V36</f>
        <v>-268757.08970000013</v>
      </c>
    </row>
    <row r="40" spans="1:28" ht="33.75" hidden="1" customHeight="1">
      <c r="D40" s="164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6">
        <f>425147-45898-102476-22434-12605-2005</f>
        <v>239729</v>
      </c>
      <c r="Q40" s="167">
        <v>20801.260000000002</v>
      </c>
      <c r="R40" s="55"/>
      <c r="S40" s="55"/>
      <c r="T40" s="55"/>
      <c r="U40" s="55"/>
      <c r="V40" s="55"/>
    </row>
    <row r="41" spans="1:28" ht="33.75" hidden="1" customHeight="1">
      <c r="D41" s="164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6">
        <f>45898+239729+102476+22434+12605+2005</f>
        <v>425147</v>
      </c>
      <c r="Q41" s="168">
        <v>1185.2299999999991</v>
      </c>
    </row>
    <row r="42" spans="1:28" ht="27">
      <c r="D42" s="164"/>
      <c r="E42" s="165"/>
      <c r="F42" s="165"/>
      <c r="G42" s="165"/>
      <c r="H42" s="165"/>
      <c r="I42" s="171"/>
      <c r="J42" s="165"/>
      <c r="K42" s="165"/>
      <c r="L42" s="165"/>
      <c r="M42" s="165"/>
      <c r="N42" s="171"/>
      <c r="O42" s="165"/>
      <c r="P42" s="166">
        <f>P36+(Q36*0.1)</f>
        <v>793484.82649999973</v>
      </c>
      <c r="Q42" s="169"/>
      <c r="V42" s="283">
        <f>1007222-V36</f>
        <v>-939433.08970000013</v>
      </c>
      <c r="AB42" s="49" t="s">
        <v>202</v>
      </c>
    </row>
    <row r="43" spans="1:28" ht="27.75">
      <c r="D43" s="164">
        <f>D39</f>
        <v>11.351522825874721</v>
      </c>
      <c r="E43" s="171">
        <f>E39+F39</f>
        <v>19.041499188642639</v>
      </c>
      <c r="F43" s="171"/>
      <c r="G43" s="171"/>
      <c r="H43" s="171">
        <f>H39</f>
        <v>3.5053159267942258</v>
      </c>
      <c r="J43" s="171">
        <f>J39+K39</f>
        <v>11.296768105243686</v>
      </c>
      <c r="K43" s="171"/>
      <c r="L43" s="171">
        <f>L39+I38</f>
        <v>30.911731618348721</v>
      </c>
      <c r="M43" s="171">
        <f>M39</f>
        <v>3.0092094016872948</v>
      </c>
      <c r="O43" s="171">
        <f>O39+N38+G39+Q39</f>
        <v>17.23231788856393</v>
      </c>
      <c r="P43" s="170">
        <f>D43+E43+H43+J43+L43+M43+O43</f>
        <v>96.348364955155219</v>
      </c>
      <c r="T43" s="55"/>
      <c r="U43" s="55"/>
    </row>
    <row r="44" spans="1:28" ht="33.75">
      <c r="D44" s="106"/>
      <c r="Q44" s="55"/>
      <c r="V44" s="55"/>
    </row>
    <row r="45" spans="1:28" ht="33.75">
      <c r="D45" s="106"/>
      <c r="I45" s="55"/>
      <c r="K45" s="49">
        <f>33106-32560</f>
        <v>546</v>
      </c>
      <c r="N45" s="55"/>
    </row>
    <row r="46" spans="1:28">
      <c r="D46" s="55"/>
      <c r="E46" s="55"/>
      <c r="F46" s="55"/>
      <c r="G46" s="55"/>
      <c r="H46" s="55"/>
      <c r="J46" s="55"/>
      <c r="K46" s="55"/>
      <c r="L46" s="55"/>
      <c r="M46" s="55"/>
      <c r="O46" s="55"/>
      <c r="P46" s="55"/>
      <c r="Q46" s="55"/>
    </row>
    <row r="47" spans="1:28" ht="33.75">
      <c r="D47" s="106"/>
      <c r="L47" s="104"/>
      <c r="Q47" s="55">
        <f>P36+(Q36*0.015)</f>
        <v>758296.25194999971</v>
      </c>
      <c r="R47" s="288">
        <f>Q48-5.79</f>
        <v>1.792962519499997</v>
      </c>
      <c r="S47" s="50">
        <f>S36/100000</f>
        <v>0.33903201250000048</v>
      </c>
    </row>
    <row r="48" spans="1:28" ht="74.25" customHeight="1">
      <c r="D48" s="106"/>
      <c r="M48" s="297" t="s">
        <v>191</v>
      </c>
      <c r="N48" s="297"/>
      <c r="Q48" s="50">
        <f>Q47/100000</f>
        <v>7.582962519499997</v>
      </c>
      <c r="X48" s="242"/>
      <c r="Y48" s="242"/>
      <c r="Z48" s="242"/>
    </row>
    <row r="49" spans="4:26" ht="33.75">
      <c r="D49" s="106"/>
      <c r="M49" s="203" t="s">
        <v>7</v>
      </c>
      <c r="N49" s="202">
        <f>SUM(N50:N54)</f>
        <v>18.783675229999997</v>
      </c>
      <c r="X49" s="242"/>
      <c r="Y49" s="242"/>
      <c r="Z49" s="242"/>
    </row>
    <row r="50" spans="4:26" ht="33.75">
      <c r="D50" s="106"/>
      <c r="M50" s="198" t="s">
        <v>188</v>
      </c>
      <c r="N50" s="200">
        <f>(P36+(Q36*0.015))/100000</f>
        <v>7.582962519499997</v>
      </c>
      <c r="X50" s="242"/>
      <c r="Y50" s="242"/>
      <c r="Z50" s="242"/>
    </row>
    <row r="51" spans="4:26" ht="33.75">
      <c r="D51" s="106"/>
      <c r="M51" s="198" t="s">
        <v>189</v>
      </c>
      <c r="N51" s="200">
        <f>R36/100000</f>
        <v>6.3889006409999984</v>
      </c>
      <c r="X51" s="242"/>
      <c r="Y51" s="242"/>
      <c r="Z51" s="242"/>
    </row>
    <row r="52" spans="4:26" ht="33.75">
      <c r="D52" s="106"/>
      <c r="M52" s="198" t="s">
        <v>134</v>
      </c>
      <c r="N52" s="200">
        <f>(Q36*0.985)/100000</f>
        <v>4.0777348155000013</v>
      </c>
      <c r="X52" s="242"/>
      <c r="Y52" s="242"/>
      <c r="Z52" s="242"/>
    </row>
    <row r="53" spans="4:26">
      <c r="M53" s="198" t="s">
        <v>132</v>
      </c>
      <c r="N53" s="200">
        <f>S36/100000</f>
        <v>0.33903201250000048</v>
      </c>
      <c r="X53" s="242"/>
      <c r="Y53" s="242"/>
      <c r="Z53" s="242"/>
    </row>
    <row r="54" spans="4:26" ht="93">
      <c r="M54" s="199" t="s">
        <v>190</v>
      </c>
      <c r="N54" s="200">
        <f>T36/100000</f>
        <v>0.39504524149999959</v>
      </c>
      <c r="X54" s="242"/>
      <c r="Y54" s="242"/>
      <c r="Z54" s="242"/>
    </row>
    <row r="73" spans="4:14">
      <c r="I73" s="50"/>
      <c r="N73" s="50"/>
    </row>
    <row r="74" spans="4:14"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</row>
    <row r="75" spans="4:14"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</row>
    <row r="76" spans="4:14"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</row>
    <row r="77" spans="4:14"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</row>
    <row r="78" spans="4:14"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</row>
    <row r="79" spans="4:14"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</row>
    <row r="80" spans="4:14"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</row>
    <row r="81" spans="4:21"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</row>
    <row r="82" spans="4:21"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</row>
    <row r="83" spans="4:21">
      <c r="D83" s="50"/>
      <c r="E83" s="50"/>
      <c r="F83" s="50"/>
      <c r="G83" s="50"/>
      <c r="H83" s="50"/>
      <c r="J83" s="50"/>
      <c r="K83" s="50"/>
      <c r="L83" s="50"/>
      <c r="M83" s="50"/>
    </row>
    <row r="85" spans="4:21">
      <c r="P85" s="49"/>
      <c r="Q85" s="49"/>
      <c r="R85" s="49"/>
      <c r="S85" s="49"/>
      <c r="T85" s="49"/>
      <c r="U85" s="49"/>
    </row>
    <row r="86" spans="4:21">
      <c r="Q86" s="49"/>
      <c r="R86" s="49"/>
      <c r="S86" s="49"/>
      <c r="T86" s="49"/>
      <c r="U86" s="49"/>
    </row>
    <row r="87" spans="4:21">
      <c r="Q87" s="49"/>
      <c r="R87" s="49"/>
      <c r="S87" s="49"/>
      <c r="T87" s="49"/>
      <c r="U87" s="49"/>
    </row>
    <row r="88" spans="4:21">
      <c r="Q88" s="49"/>
      <c r="R88" s="49"/>
      <c r="S88" s="49"/>
      <c r="T88" s="49"/>
      <c r="U88" s="49"/>
    </row>
    <row r="89" spans="4:21">
      <c r="Q89" s="49"/>
      <c r="R89" s="49"/>
      <c r="S89" s="49"/>
      <c r="T89" s="49"/>
      <c r="U89" s="49"/>
    </row>
    <row r="90" spans="4:21">
      <c r="Q90" s="49"/>
      <c r="R90" s="49"/>
      <c r="S90" s="49"/>
      <c r="T90" s="49"/>
      <c r="U90" s="49"/>
    </row>
    <row r="91" spans="4:21">
      <c r="Q91" s="49"/>
      <c r="R91" s="49"/>
      <c r="S91" s="49"/>
      <c r="T91" s="49"/>
      <c r="U91" s="49"/>
    </row>
    <row r="92" spans="4:21">
      <c r="Q92" s="49"/>
      <c r="R92" s="49"/>
      <c r="S92" s="49"/>
      <c r="T92" s="49"/>
      <c r="U92" s="49"/>
    </row>
    <row r="93" spans="4:21">
      <c r="Q93" s="49"/>
      <c r="R93" s="49"/>
      <c r="S93" s="49"/>
      <c r="T93" s="49"/>
      <c r="U93" s="49"/>
    </row>
    <row r="94" spans="4:21">
      <c r="Q94" s="49"/>
      <c r="R94" s="49"/>
      <c r="S94" s="49"/>
      <c r="T94" s="49"/>
      <c r="U94" s="49"/>
    </row>
  </sheetData>
  <sortState xmlns:xlrd2="http://schemas.microsoft.com/office/spreadsheetml/2017/richdata2" ref="K59:K70">
    <sortCondition descending="1" ref="K59:K70"/>
  </sortState>
  <mergeCells count="2">
    <mergeCell ref="B3:V3"/>
    <mergeCell ref="M48:N48"/>
  </mergeCells>
  <phoneticPr fontId="91" type="noConversion"/>
  <conditionalFormatting sqref="Z5:Z35">
    <cfRule type="cellIs" dxfId="0" priority="1" operator="greaterThan">
      <formula>0</formula>
    </cfRule>
  </conditionalFormatting>
  <pageMargins left="0.75" right="0.75" top="1" bottom="1" header="0.5" footer="0.5"/>
  <pageSetup paperSize="8" scale="5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0C0"/>
    <pageSetUpPr fitToPage="1"/>
  </sheetPr>
  <dimension ref="B1:AL41"/>
  <sheetViews>
    <sheetView topLeftCell="F28" zoomScale="70" zoomScaleNormal="70" workbookViewId="0">
      <selection activeCell="AI46" sqref="AI46"/>
    </sheetView>
  </sheetViews>
  <sheetFormatPr defaultRowHeight="21"/>
  <cols>
    <col min="2" max="3" width="14.7109375" style="91" customWidth="1"/>
    <col min="4" max="4" width="11.28515625" customWidth="1"/>
    <col min="5" max="5" width="22.7109375" customWidth="1"/>
    <col min="6" max="6" width="12" customWidth="1"/>
    <col min="7" max="7" width="9.7109375" customWidth="1"/>
    <col min="8" max="8" width="14.28515625" customWidth="1"/>
    <col min="9" max="9" width="16.85546875" customWidth="1"/>
    <col min="10" max="10" width="14.7109375" customWidth="1"/>
    <col min="11" max="11" width="14.85546875" customWidth="1"/>
    <col min="12" max="12" width="15.5703125" customWidth="1"/>
    <col min="13" max="13" width="16.28515625" customWidth="1"/>
    <col min="14" max="14" width="11.140625" customWidth="1"/>
    <col min="15" max="18" width="9.140625" bestFit="1" customWidth="1"/>
    <col min="19" max="19" width="14.28515625" customWidth="1"/>
    <col min="20" max="20" width="9.5703125" customWidth="1"/>
    <col min="21" max="21" width="8" bestFit="1" customWidth="1"/>
    <col min="22" max="22" width="12.5703125" customWidth="1"/>
    <col min="23" max="23" width="12.42578125" customWidth="1"/>
    <col min="24" max="25" width="9.140625" bestFit="1" customWidth="1"/>
    <col min="26" max="26" width="11.28515625" customWidth="1"/>
    <col min="27" max="27" width="13.85546875" customWidth="1"/>
    <col min="28" max="28" width="10.140625" customWidth="1"/>
    <col min="29" max="29" width="8.5703125" customWidth="1"/>
    <col min="30" max="30" width="9.140625" bestFit="1" customWidth="1"/>
    <col min="31" max="31" width="10.42578125" customWidth="1"/>
    <col min="32" max="32" width="4.28515625" customWidth="1"/>
    <col min="33" max="33" width="12.28515625" bestFit="1" customWidth="1"/>
    <col min="35" max="35" width="9.85546875" bestFit="1" customWidth="1"/>
    <col min="37" max="37" width="28.28515625" style="3" bestFit="1" customWidth="1"/>
    <col min="38" max="38" width="9.140625" style="197"/>
  </cols>
  <sheetData>
    <row r="1" spans="2:38">
      <c r="AK1" s="3" t="s">
        <v>187</v>
      </c>
    </row>
    <row r="2" spans="2:38" ht="114.75">
      <c r="E2" s="124" t="s">
        <v>111</v>
      </c>
      <c r="H2" s="125" t="s">
        <v>11</v>
      </c>
      <c r="I2" s="125" t="s">
        <v>12</v>
      </c>
      <c r="J2" s="125" t="s">
        <v>13</v>
      </c>
      <c r="K2" s="125" t="s">
        <v>14</v>
      </c>
      <c r="L2" s="125" t="s">
        <v>15</v>
      </c>
      <c r="M2" s="125" t="s">
        <v>16</v>
      </c>
    </row>
    <row r="3" spans="2:38" ht="45">
      <c r="B3" s="123" t="s">
        <v>17</v>
      </c>
      <c r="C3" s="123"/>
      <c r="D3" s="123" t="s">
        <v>18</v>
      </c>
      <c r="E3" s="123" t="s">
        <v>19</v>
      </c>
      <c r="F3" s="123" t="s">
        <v>20</v>
      </c>
      <c r="G3" s="123" t="s">
        <v>21</v>
      </c>
      <c r="H3" s="123" t="s">
        <v>22</v>
      </c>
      <c r="I3" s="123" t="s">
        <v>23</v>
      </c>
      <c r="J3" s="123" t="s">
        <v>24</v>
      </c>
      <c r="K3" s="123" t="s">
        <v>25</v>
      </c>
      <c r="L3" s="123" t="s">
        <v>26</v>
      </c>
      <c r="M3" s="123" t="s">
        <v>27</v>
      </c>
      <c r="N3" s="123" t="s">
        <v>28</v>
      </c>
      <c r="O3" s="123" t="s">
        <v>29</v>
      </c>
      <c r="P3" s="123" t="s">
        <v>30</v>
      </c>
      <c r="Q3" s="123" t="s">
        <v>31</v>
      </c>
      <c r="R3" s="123" t="s">
        <v>32</v>
      </c>
      <c r="S3" s="123" t="s">
        <v>33</v>
      </c>
      <c r="T3" s="123" t="s">
        <v>34</v>
      </c>
      <c r="U3" s="123" t="s">
        <v>35</v>
      </c>
      <c r="V3" s="123" t="s">
        <v>36</v>
      </c>
      <c r="W3" s="123" t="s">
        <v>37</v>
      </c>
      <c r="X3" s="123" t="s">
        <v>38</v>
      </c>
      <c r="Y3" s="123" t="s">
        <v>39</v>
      </c>
      <c r="Z3" s="123" t="s">
        <v>40</v>
      </c>
      <c r="AA3" s="123" t="s">
        <v>41</v>
      </c>
      <c r="AB3" s="123" t="s">
        <v>42</v>
      </c>
      <c r="AC3" s="123" t="s">
        <v>43</v>
      </c>
      <c r="AD3" s="123" t="s">
        <v>44</v>
      </c>
      <c r="AE3" s="123"/>
    </row>
    <row r="4" spans="2:38" ht="110.25" customHeight="1">
      <c r="B4" s="123" t="s">
        <v>45</v>
      </c>
      <c r="C4" s="123" t="s">
        <v>149</v>
      </c>
      <c r="D4" s="123" t="s">
        <v>46</v>
      </c>
      <c r="E4" s="123" t="s">
        <v>47</v>
      </c>
      <c r="F4" s="123" t="s">
        <v>20</v>
      </c>
      <c r="G4" s="123" t="s">
        <v>48</v>
      </c>
      <c r="H4" s="123" t="s">
        <v>11</v>
      </c>
      <c r="I4" s="123" t="s">
        <v>49</v>
      </c>
      <c r="J4" s="123" t="s">
        <v>50</v>
      </c>
      <c r="K4" s="123" t="s">
        <v>51</v>
      </c>
      <c r="L4" s="123" t="s">
        <v>52</v>
      </c>
      <c r="M4" s="123" t="s">
        <v>53</v>
      </c>
      <c r="N4" s="123" t="s">
        <v>28</v>
      </c>
      <c r="O4" s="123" t="s">
        <v>29</v>
      </c>
      <c r="P4" s="123" t="s">
        <v>30</v>
      </c>
      <c r="Q4" s="123" t="s">
        <v>31</v>
      </c>
      <c r="R4" s="123" t="s">
        <v>32</v>
      </c>
      <c r="S4" s="123" t="s">
        <v>54</v>
      </c>
      <c r="T4" s="123" t="s">
        <v>34</v>
      </c>
      <c r="U4" s="123" t="s">
        <v>35</v>
      </c>
      <c r="V4" s="123" t="s">
        <v>55</v>
      </c>
      <c r="W4" s="123" t="s">
        <v>56</v>
      </c>
      <c r="X4" s="123" t="s">
        <v>38</v>
      </c>
      <c r="Y4" s="123" t="s">
        <v>39</v>
      </c>
      <c r="Z4" s="123" t="s">
        <v>40</v>
      </c>
      <c r="AA4" s="123" t="s">
        <v>41</v>
      </c>
      <c r="AB4" s="123" t="s">
        <v>57</v>
      </c>
      <c r="AC4" s="123" t="s">
        <v>58</v>
      </c>
      <c r="AD4" s="123" t="s">
        <v>44</v>
      </c>
      <c r="AE4" s="123" t="s">
        <v>59</v>
      </c>
      <c r="AG4" s="123" t="s">
        <v>0</v>
      </c>
      <c r="AH4" s="123" t="s">
        <v>149</v>
      </c>
      <c r="AI4" s="123" t="s">
        <v>7</v>
      </c>
      <c r="AK4" s="247" t="s">
        <v>218</v>
      </c>
    </row>
    <row r="5" spans="2:38" s="15" customFormat="1" ht="38.1" customHeight="1">
      <c r="B5" s="94">
        <v>45748</v>
      </c>
      <c r="C5" s="94" t="s">
        <v>193</v>
      </c>
      <c r="D5" s="95">
        <v>0</v>
      </c>
      <c r="E5" s="95">
        <v>141.88999999995576</v>
      </c>
      <c r="F5" s="95">
        <v>263.16999999992549</v>
      </c>
      <c r="G5" s="95">
        <v>544.34000000000015</v>
      </c>
      <c r="H5" s="95">
        <v>34.340000000000146</v>
      </c>
      <c r="I5" s="95">
        <v>68.479999999981374</v>
      </c>
      <c r="J5" s="95">
        <v>0</v>
      </c>
      <c r="K5" s="95">
        <v>124.44000000000233</v>
      </c>
      <c r="L5" s="95">
        <v>362.79000000000087</v>
      </c>
      <c r="M5" s="95">
        <v>450.35000000013679</v>
      </c>
      <c r="N5" s="95">
        <v>0.82999999995809048</v>
      </c>
      <c r="O5" s="95">
        <v>0</v>
      </c>
      <c r="P5" s="95">
        <v>0</v>
      </c>
      <c r="Q5" s="95">
        <v>2.3099999999976717</v>
      </c>
      <c r="R5" s="95">
        <v>2.6799999999930151</v>
      </c>
      <c r="S5" s="95">
        <v>0</v>
      </c>
      <c r="T5" s="95">
        <v>0</v>
      </c>
      <c r="U5" s="95">
        <v>151.92000000004191</v>
      </c>
      <c r="V5" s="95">
        <v>0</v>
      </c>
      <c r="W5" s="95">
        <v>12.30000000000291</v>
      </c>
      <c r="X5" s="95">
        <v>129.43999999999505</v>
      </c>
      <c r="Y5" s="95">
        <v>0</v>
      </c>
      <c r="Z5" s="95">
        <v>0</v>
      </c>
      <c r="AA5" s="95">
        <v>0</v>
      </c>
      <c r="AB5" s="95">
        <v>0</v>
      </c>
      <c r="AC5" s="95">
        <v>0</v>
      </c>
      <c r="AD5" s="95">
        <v>0</v>
      </c>
      <c r="AE5" s="256">
        <f>SUM(D5:AD5)</f>
        <v>2289.2799999999916</v>
      </c>
      <c r="AG5" s="181">
        <v>45748</v>
      </c>
      <c r="AH5" s="182" t="s">
        <v>193</v>
      </c>
      <c r="AI5" s="258">
        <f>AE5-AK5</f>
        <v>1465.1391999999946</v>
      </c>
      <c r="AK5" s="256">
        <v>824.14079999999694</v>
      </c>
      <c r="AL5" s="197"/>
    </row>
    <row r="6" spans="2:38" s="15" customFormat="1" ht="38.1" customHeight="1">
      <c r="B6" s="94">
        <v>45749</v>
      </c>
      <c r="C6" s="94" t="s">
        <v>194</v>
      </c>
      <c r="D6" s="95">
        <v>138.54000000000087</v>
      </c>
      <c r="E6" s="95">
        <v>608.64000000030501</v>
      </c>
      <c r="F6" s="95">
        <v>1278.9699999997392</v>
      </c>
      <c r="G6" s="95">
        <v>632.86000000000058</v>
      </c>
      <c r="H6" s="95">
        <v>32.010000000000218</v>
      </c>
      <c r="I6" s="95">
        <v>255.04000000003725</v>
      </c>
      <c r="J6" s="95">
        <v>0</v>
      </c>
      <c r="K6" s="95">
        <v>237.21000000002095</v>
      </c>
      <c r="L6" s="95">
        <v>359.62000000000262</v>
      </c>
      <c r="M6" s="95">
        <v>407.93999999994412</v>
      </c>
      <c r="N6" s="95">
        <v>889.0899999999674</v>
      </c>
      <c r="O6" s="95">
        <v>0</v>
      </c>
      <c r="P6" s="95">
        <v>0</v>
      </c>
      <c r="Q6" s="95">
        <v>2.3000000000029104</v>
      </c>
      <c r="R6" s="95">
        <v>2.5700000000069849</v>
      </c>
      <c r="S6" s="95">
        <v>0</v>
      </c>
      <c r="T6" s="95">
        <v>0</v>
      </c>
      <c r="U6" s="95">
        <v>365.51999999998952</v>
      </c>
      <c r="V6" s="95">
        <v>0</v>
      </c>
      <c r="W6" s="95">
        <v>50.5</v>
      </c>
      <c r="X6" s="95">
        <v>128.57000000000698</v>
      </c>
      <c r="Y6" s="95">
        <v>0</v>
      </c>
      <c r="Z6" s="95">
        <v>0</v>
      </c>
      <c r="AA6" s="95">
        <v>0</v>
      </c>
      <c r="AB6" s="95">
        <v>349.49999999999977</v>
      </c>
      <c r="AC6" s="95">
        <v>0</v>
      </c>
      <c r="AD6" s="95">
        <v>0</v>
      </c>
      <c r="AE6" s="256">
        <f t="shared" ref="AE6:AE35" si="0">SUM(D6:AD6)</f>
        <v>5738.8800000000247</v>
      </c>
      <c r="AF6" s="45"/>
      <c r="AG6" s="181">
        <v>45749</v>
      </c>
      <c r="AH6" s="182" t="s">
        <v>194</v>
      </c>
      <c r="AI6" s="258">
        <f t="shared" ref="AI6:AI35" si="1">AE6-AK6</f>
        <v>3672.8832000000157</v>
      </c>
      <c r="AK6" s="256">
        <v>2065.996800000009</v>
      </c>
      <c r="AL6" s="197"/>
    </row>
    <row r="7" spans="2:38" s="15" customFormat="1" ht="38.1" customHeight="1">
      <c r="B7" s="94">
        <v>45750</v>
      </c>
      <c r="C7" s="94" t="s">
        <v>195</v>
      </c>
      <c r="D7" s="95">
        <v>513.37000000000262</v>
      </c>
      <c r="E7" s="95">
        <v>748.09999999956926</v>
      </c>
      <c r="F7" s="95">
        <v>850.95000000018626</v>
      </c>
      <c r="G7" s="95">
        <v>422.70000000000073</v>
      </c>
      <c r="H7" s="95">
        <v>34.339999999999236</v>
      </c>
      <c r="I7" s="95">
        <v>282.30000000004657</v>
      </c>
      <c r="J7" s="95">
        <v>0</v>
      </c>
      <c r="K7" s="95">
        <v>202.00000000005821</v>
      </c>
      <c r="L7" s="95">
        <v>346.40999999999622</v>
      </c>
      <c r="M7" s="95">
        <v>457.89999999986321</v>
      </c>
      <c r="N7" s="95">
        <v>822.40000000002328</v>
      </c>
      <c r="O7" s="95">
        <v>0</v>
      </c>
      <c r="P7" s="95">
        <v>0</v>
      </c>
      <c r="Q7" s="95">
        <v>203.45999999999913</v>
      </c>
      <c r="R7" s="95">
        <v>2.5599999999976717</v>
      </c>
      <c r="S7" s="95">
        <v>0</v>
      </c>
      <c r="T7" s="95">
        <v>6.3000000000174623</v>
      </c>
      <c r="U7" s="95">
        <v>350.11499999996158</v>
      </c>
      <c r="V7" s="95">
        <v>0</v>
      </c>
      <c r="W7" s="95">
        <v>42.960000000006403</v>
      </c>
      <c r="X7" s="95">
        <v>128.69999999999709</v>
      </c>
      <c r="Y7" s="95">
        <v>0</v>
      </c>
      <c r="Z7" s="95">
        <v>0</v>
      </c>
      <c r="AA7" s="95">
        <v>0</v>
      </c>
      <c r="AB7" s="95">
        <v>16.2800000000002</v>
      </c>
      <c r="AC7" s="95">
        <v>0</v>
      </c>
      <c r="AD7" s="95">
        <v>0</v>
      </c>
      <c r="AE7" s="256">
        <f t="shared" si="0"/>
        <v>5430.8449999997247</v>
      </c>
      <c r="AF7" s="45"/>
      <c r="AG7" s="181">
        <v>45750</v>
      </c>
      <c r="AH7" s="182" t="s">
        <v>195</v>
      </c>
      <c r="AI7" s="258">
        <f t="shared" si="1"/>
        <v>3475.740799999824</v>
      </c>
      <c r="AK7" s="256">
        <v>1955.1041999999009</v>
      </c>
      <c r="AL7" s="197"/>
    </row>
    <row r="8" spans="2:38" s="15" customFormat="1" ht="38.1" customHeight="1">
      <c r="B8" s="94">
        <v>45751</v>
      </c>
      <c r="C8" s="94" t="s">
        <v>196</v>
      </c>
      <c r="D8" s="95">
        <v>158.58999999999651</v>
      </c>
      <c r="E8" s="95">
        <v>697.84000000011292</v>
      </c>
      <c r="F8" s="95">
        <v>1167.8700000001118</v>
      </c>
      <c r="G8" s="95">
        <v>529.58999999999833</v>
      </c>
      <c r="H8" s="95">
        <v>18.350000000000364</v>
      </c>
      <c r="I8" s="95">
        <v>244.92999999993481</v>
      </c>
      <c r="J8" s="95">
        <v>0</v>
      </c>
      <c r="K8" s="95">
        <v>221.14999999996508</v>
      </c>
      <c r="L8" s="95">
        <v>280.81999999999971</v>
      </c>
      <c r="M8" s="95">
        <v>443.28000000018801</v>
      </c>
      <c r="N8" s="95">
        <v>970.18000000005122</v>
      </c>
      <c r="O8" s="95">
        <v>0</v>
      </c>
      <c r="P8" s="95">
        <v>0</v>
      </c>
      <c r="Q8" s="95">
        <v>263.33999999999651</v>
      </c>
      <c r="R8" s="95">
        <v>196.41000000000349</v>
      </c>
      <c r="S8" s="95">
        <v>0</v>
      </c>
      <c r="T8" s="95">
        <v>105.94000000000233</v>
      </c>
      <c r="U8" s="95">
        <v>351.64499999998952</v>
      </c>
      <c r="V8" s="95">
        <v>0</v>
      </c>
      <c r="W8" s="95">
        <v>47.919999999998254</v>
      </c>
      <c r="X8" s="95">
        <v>128.41999999999825</v>
      </c>
      <c r="Y8" s="95">
        <v>0</v>
      </c>
      <c r="Z8" s="95">
        <v>0</v>
      </c>
      <c r="AA8" s="95">
        <v>0</v>
      </c>
      <c r="AB8" s="95">
        <v>0</v>
      </c>
      <c r="AC8" s="95">
        <v>0</v>
      </c>
      <c r="AD8" s="95">
        <v>0</v>
      </c>
      <c r="AE8" s="256">
        <f t="shared" si="0"/>
        <v>5826.2750000003471</v>
      </c>
      <c r="AF8" s="45"/>
      <c r="AG8" s="181">
        <v>45751</v>
      </c>
      <c r="AH8" s="182" t="s">
        <v>196</v>
      </c>
      <c r="AI8" s="258">
        <f t="shared" si="1"/>
        <v>3728.8160000002222</v>
      </c>
      <c r="AK8" s="256">
        <v>2097.4590000001249</v>
      </c>
      <c r="AL8" s="197"/>
    </row>
    <row r="9" spans="2:38" s="15" customFormat="1" ht="38.1" customHeight="1">
      <c r="B9" s="94">
        <v>45752</v>
      </c>
      <c r="C9" s="94" t="s">
        <v>197</v>
      </c>
      <c r="D9" s="95">
        <v>494.40000000000146</v>
      </c>
      <c r="E9" s="95">
        <v>668.20999999988999</v>
      </c>
      <c r="F9" s="95">
        <v>784.89999999990687</v>
      </c>
      <c r="G9" s="95">
        <v>488.64000000000124</v>
      </c>
      <c r="H9" s="95">
        <v>33</v>
      </c>
      <c r="I9" s="95">
        <v>277.89000000001397</v>
      </c>
      <c r="J9" s="95">
        <v>0</v>
      </c>
      <c r="K9" s="95">
        <v>177.04000000003725</v>
      </c>
      <c r="L9" s="95">
        <v>385.11000000000058</v>
      </c>
      <c r="M9" s="95">
        <v>396.15999999990163</v>
      </c>
      <c r="N9" s="95">
        <v>828.47999999998137</v>
      </c>
      <c r="O9" s="95">
        <v>0</v>
      </c>
      <c r="P9" s="95">
        <v>0</v>
      </c>
      <c r="Q9" s="95">
        <v>67.700000000004366</v>
      </c>
      <c r="R9" s="95">
        <v>239.91999999999825</v>
      </c>
      <c r="S9" s="95">
        <v>0</v>
      </c>
      <c r="T9" s="95">
        <v>7.9299999999930151</v>
      </c>
      <c r="U9" s="95">
        <v>303.88500000003842</v>
      </c>
      <c r="V9" s="95">
        <v>0</v>
      </c>
      <c r="W9" s="95">
        <v>31.229999999995925</v>
      </c>
      <c r="X9" s="95">
        <v>128.36000000000058</v>
      </c>
      <c r="Y9" s="95">
        <v>0</v>
      </c>
      <c r="Z9" s="95">
        <v>0</v>
      </c>
      <c r="AA9" s="95">
        <v>0</v>
      </c>
      <c r="AB9" s="95">
        <v>0</v>
      </c>
      <c r="AC9" s="95">
        <v>0</v>
      </c>
      <c r="AD9" s="95">
        <v>0</v>
      </c>
      <c r="AE9" s="256">
        <f t="shared" si="0"/>
        <v>5312.8549999997649</v>
      </c>
      <c r="AG9" s="181">
        <v>45752</v>
      </c>
      <c r="AH9" s="182" t="s">
        <v>197</v>
      </c>
      <c r="AI9" s="258">
        <f t="shared" si="1"/>
        <v>3400.2271999998493</v>
      </c>
      <c r="AK9" s="256">
        <v>1912.6277999999154</v>
      </c>
      <c r="AL9" s="197"/>
    </row>
    <row r="10" spans="2:38" s="15" customFormat="1" ht="38.1" customHeight="1">
      <c r="B10" s="190">
        <v>45753</v>
      </c>
      <c r="C10" s="190" t="s">
        <v>198</v>
      </c>
      <c r="D10" s="191">
        <v>0.93000000000029104</v>
      </c>
      <c r="E10" s="191">
        <v>63.00000000030559</v>
      </c>
      <c r="F10" s="191">
        <v>192</v>
      </c>
      <c r="G10" s="191">
        <v>391.3799999999992</v>
      </c>
      <c r="H10" s="191">
        <v>26.359999999999673</v>
      </c>
      <c r="I10" s="191">
        <v>242.36999999999534</v>
      </c>
      <c r="J10" s="191">
        <v>0</v>
      </c>
      <c r="K10" s="191">
        <v>60.309999999939464</v>
      </c>
      <c r="L10" s="191">
        <v>259.02000000000407</v>
      </c>
      <c r="M10" s="191">
        <v>272.27000000009139</v>
      </c>
      <c r="N10" s="191">
        <v>67.770000000018626</v>
      </c>
      <c r="O10" s="191">
        <v>0</v>
      </c>
      <c r="P10" s="191">
        <v>0</v>
      </c>
      <c r="Q10" s="191">
        <v>8.0899999999965075</v>
      </c>
      <c r="R10" s="191">
        <v>56.819999999992433</v>
      </c>
      <c r="S10" s="191">
        <v>0</v>
      </c>
      <c r="T10" s="191">
        <v>0</v>
      </c>
      <c r="U10" s="191">
        <v>208.71000000002095</v>
      </c>
      <c r="V10" s="191">
        <v>0</v>
      </c>
      <c r="W10" s="191">
        <v>14.580000000001746</v>
      </c>
      <c r="X10" s="191">
        <v>128.56999999999971</v>
      </c>
      <c r="Y10" s="191">
        <v>0</v>
      </c>
      <c r="Z10" s="191">
        <v>0</v>
      </c>
      <c r="AA10" s="191">
        <v>0</v>
      </c>
      <c r="AB10" s="191">
        <v>0</v>
      </c>
      <c r="AC10" s="191">
        <v>0</v>
      </c>
      <c r="AD10" s="191">
        <v>0</v>
      </c>
      <c r="AE10" s="249">
        <f t="shared" si="0"/>
        <v>1992.180000000365</v>
      </c>
      <c r="AF10" s="277"/>
      <c r="AG10" s="192">
        <v>45753</v>
      </c>
      <c r="AH10" s="193" t="s">
        <v>198</v>
      </c>
      <c r="AI10" s="259">
        <f t="shared" si="1"/>
        <v>1274.9952000002336</v>
      </c>
      <c r="AJ10" s="194"/>
      <c r="AK10" s="249">
        <v>717.18480000013142</v>
      </c>
      <c r="AL10" s="197"/>
    </row>
    <row r="11" spans="2:38" s="15" customFormat="1" ht="38.1" customHeight="1">
      <c r="B11" s="94">
        <v>45754</v>
      </c>
      <c r="C11" s="94" t="s">
        <v>192</v>
      </c>
      <c r="D11" s="95">
        <v>16.629999999997381</v>
      </c>
      <c r="E11" s="95">
        <v>213.91999999994005</v>
      </c>
      <c r="F11" s="95">
        <v>465.91999999992549</v>
      </c>
      <c r="G11" s="95">
        <v>453.05000000000109</v>
      </c>
      <c r="H11" s="95">
        <v>13.110000000000582</v>
      </c>
      <c r="I11" s="95">
        <v>266.17000000004191</v>
      </c>
      <c r="J11" s="95">
        <v>0</v>
      </c>
      <c r="K11" s="95">
        <v>210.84000000002561</v>
      </c>
      <c r="L11" s="95">
        <v>260.32999999999447</v>
      </c>
      <c r="M11" s="95">
        <v>249.61999999986438</v>
      </c>
      <c r="N11" s="95">
        <v>242.5</v>
      </c>
      <c r="O11" s="95">
        <v>0</v>
      </c>
      <c r="P11" s="95">
        <v>0</v>
      </c>
      <c r="Q11" s="95">
        <v>176.08000000000175</v>
      </c>
      <c r="R11" s="95">
        <v>208.02000000000407</v>
      </c>
      <c r="S11" s="95">
        <v>0</v>
      </c>
      <c r="T11" s="95">
        <v>0</v>
      </c>
      <c r="U11" s="95">
        <v>217.19999999998254</v>
      </c>
      <c r="V11" s="95">
        <v>0</v>
      </c>
      <c r="W11" s="95">
        <v>42.479999999995925</v>
      </c>
      <c r="X11" s="95">
        <v>128.16999999999825</v>
      </c>
      <c r="Y11" s="95">
        <v>0</v>
      </c>
      <c r="Z11" s="95">
        <v>0</v>
      </c>
      <c r="AA11" s="95">
        <v>0</v>
      </c>
      <c r="AB11" s="95">
        <v>394.25</v>
      </c>
      <c r="AC11" s="95">
        <v>0</v>
      </c>
      <c r="AD11" s="95">
        <v>0</v>
      </c>
      <c r="AE11" s="256">
        <f t="shared" si="0"/>
        <v>3558.2899999997735</v>
      </c>
      <c r="AF11" s="45"/>
      <c r="AG11" s="181">
        <v>45754</v>
      </c>
      <c r="AH11" s="182" t="s">
        <v>192</v>
      </c>
      <c r="AI11" s="258">
        <f t="shared" si="1"/>
        <v>2277.3055999998551</v>
      </c>
      <c r="AK11" s="256">
        <v>1280.9843999999184</v>
      </c>
      <c r="AL11" s="197"/>
    </row>
    <row r="12" spans="2:38" s="15" customFormat="1" ht="38.1" customHeight="1">
      <c r="B12" s="94">
        <v>45755</v>
      </c>
      <c r="C12" s="94" t="s">
        <v>193</v>
      </c>
      <c r="D12" s="95">
        <v>154.27000000000407</v>
      </c>
      <c r="E12" s="95">
        <v>794.62999999983003</v>
      </c>
      <c r="F12" s="95">
        <v>1148.160000000149</v>
      </c>
      <c r="G12" s="95">
        <v>333.81999999999971</v>
      </c>
      <c r="H12" s="95">
        <v>32.090000000000146</v>
      </c>
      <c r="I12" s="95">
        <v>327.93999999994412</v>
      </c>
      <c r="J12" s="95">
        <v>0</v>
      </c>
      <c r="K12" s="95">
        <v>247.64000000001397</v>
      </c>
      <c r="L12" s="95">
        <v>324.63000000000466</v>
      </c>
      <c r="M12" s="95">
        <v>331.64000000010128</v>
      </c>
      <c r="N12" s="95">
        <v>987.26000000000931</v>
      </c>
      <c r="O12" s="95">
        <v>0</v>
      </c>
      <c r="P12" s="95">
        <v>0</v>
      </c>
      <c r="Q12" s="95">
        <v>264.73999999999796</v>
      </c>
      <c r="R12" s="95">
        <v>252.42999999999302</v>
      </c>
      <c r="S12" s="95">
        <v>0</v>
      </c>
      <c r="T12" s="95">
        <v>84.160000000003492</v>
      </c>
      <c r="U12" s="95">
        <v>346.80000000001746</v>
      </c>
      <c r="V12" s="95">
        <v>4</v>
      </c>
      <c r="W12" s="95">
        <v>54.720000000001164</v>
      </c>
      <c r="X12" s="95">
        <v>130.18000000000029</v>
      </c>
      <c r="Y12" s="95">
        <v>0</v>
      </c>
      <c r="Z12" s="95">
        <v>0</v>
      </c>
      <c r="AA12" s="95">
        <v>0</v>
      </c>
      <c r="AB12" s="95">
        <v>240.19999999999982</v>
      </c>
      <c r="AC12" s="95">
        <v>0</v>
      </c>
      <c r="AD12" s="95">
        <v>0</v>
      </c>
      <c r="AE12" s="256">
        <f t="shared" si="0"/>
        <v>6059.3100000000695</v>
      </c>
      <c r="AF12" s="45"/>
      <c r="AG12" s="181">
        <v>45755</v>
      </c>
      <c r="AH12" s="182" t="s">
        <v>193</v>
      </c>
      <c r="AI12" s="258">
        <f t="shared" si="1"/>
        <v>3877.9584000000445</v>
      </c>
      <c r="AK12" s="256">
        <v>2181.351600000025</v>
      </c>
      <c r="AL12" s="197"/>
    </row>
    <row r="13" spans="2:38" s="15" customFormat="1" ht="38.1" customHeight="1">
      <c r="B13" s="94">
        <v>45756</v>
      </c>
      <c r="C13" s="94" t="s">
        <v>194</v>
      </c>
      <c r="D13" s="95">
        <v>481.23999999999796</v>
      </c>
      <c r="E13" s="95">
        <v>855.40999999981432</v>
      </c>
      <c r="F13" s="95">
        <v>1078.5200000000186</v>
      </c>
      <c r="G13" s="95">
        <v>398.5</v>
      </c>
      <c r="H13" s="95">
        <v>32.359999999999673</v>
      </c>
      <c r="I13" s="95">
        <v>330.43000000005122</v>
      </c>
      <c r="J13" s="95">
        <v>0</v>
      </c>
      <c r="K13" s="95">
        <v>229.03999999992084</v>
      </c>
      <c r="L13" s="95">
        <v>366.48999999999796</v>
      </c>
      <c r="M13" s="95">
        <v>454.8399999999674</v>
      </c>
      <c r="N13" s="95">
        <v>949.05999999993946</v>
      </c>
      <c r="O13" s="95">
        <v>0</v>
      </c>
      <c r="P13" s="95">
        <v>0</v>
      </c>
      <c r="Q13" s="95">
        <v>96.699999999999989</v>
      </c>
      <c r="R13" s="95">
        <v>55.770000000004075</v>
      </c>
      <c r="S13" s="95">
        <v>0</v>
      </c>
      <c r="T13" s="95">
        <v>5.7599999999802094</v>
      </c>
      <c r="U13" s="95">
        <v>356.48999999996158</v>
      </c>
      <c r="V13" s="95">
        <v>8</v>
      </c>
      <c r="W13" s="95">
        <v>39.630000000004657</v>
      </c>
      <c r="X13" s="95">
        <v>130.12000000000262</v>
      </c>
      <c r="Y13" s="95">
        <v>0</v>
      </c>
      <c r="Z13" s="95">
        <v>0</v>
      </c>
      <c r="AA13" s="95">
        <v>0</v>
      </c>
      <c r="AB13" s="95">
        <v>279.46000000000004</v>
      </c>
      <c r="AC13" s="95">
        <v>0</v>
      </c>
      <c r="AD13" s="95">
        <v>0</v>
      </c>
      <c r="AE13" s="256">
        <f t="shared" si="0"/>
        <v>6147.8199999996605</v>
      </c>
      <c r="AF13" s="45"/>
      <c r="AG13" s="181">
        <v>45756</v>
      </c>
      <c r="AH13" s="182" t="s">
        <v>194</v>
      </c>
      <c r="AI13" s="258">
        <f t="shared" si="1"/>
        <v>3934.6047999997827</v>
      </c>
      <c r="AK13" s="256">
        <v>2213.2151999998778</v>
      </c>
      <c r="AL13" s="197"/>
    </row>
    <row r="14" spans="2:38" ht="38.1" customHeight="1">
      <c r="B14" s="94">
        <v>45757</v>
      </c>
      <c r="C14" s="94" t="s">
        <v>195</v>
      </c>
      <c r="D14" s="95">
        <v>129.66000000000349</v>
      </c>
      <c r="E14" s="95">
        <v>701.53000000014435</v>
      </c>
      <c r="F14" s="95">
        <v>968.95999999996275</v>
      </c>
      <c r="G14" s="95">
        <v>490.53999999999905</v>
      </c>
      <c r="H14" s="95">
        <v>31.640000000000327</v>
      </c>
      <c r="I14" s="95">
        <v>292.15999999991618</v>
      </c>
      <c r="J14" s="95">
        <v>0</v>
      </c>
      <c r="K14" s="95">
        <v>242.97000000003027</v>
      </c>
      <c r="L14" s="95">
        <v>350.04000000000087</v>
      </c>
      <c r="M14" s="95">
        <v>292.64000000001397</v>
      </c>
      <c r="N14" s="95">
        <v>922.88000000000466</v>
      </c>
      <c r="O14" s="95">
        <v>0</v>
      </c>
      <c r="P14" s="95">
        <v>0</v>
      </c>
      <c r="Q14" s="95">
        <v>6.25</v>
      </c>
      <c r="R14" s="95">
        <v>2.5</v>
      </c>
      <c r="S14" s="95">
        <v>133.30999999999767</v>
      </c>
      <c r="T14" s="95">
        <v>63.040000000008149</v>
      </c>
      <c r="U14" s="95">
        <v>355.26000000003842</v>
      </c>
      <c r="V14" s="95">
        <v>0</v>
      </c>
      <c r="W14" s="95">
        <v>49.630000000004657</v>
      </c>
      <c r="X14" s="95">
        <v>129.77999999999884</v>
      </c>
      <c r="Y14" s="95">
        <v>0</v>
      </c>
      <c r="Z14" s="95">
        <v>0</v>
      </c>
      <c r="AA14" s="95">
        <v>0</v>
      </c>
      <c r="AB14" s="95">
        <v>407.59999999999991</v>
      </c>
      <c r="AC14" s="95">
        <v>0</v>
      </c>
      <c r="AD14" s="95">
        <v>0</v>
      </c>
      <c r="AE14" s="256">
        <f t="shared" si="0"/>
        <v>5570.3900000001231</v>
      </c>
      <c r="AF14" s="45"/>
      <c r="AG14" s="181">
        <v>45757</v>
      </c>
      <c r="AH14" s="182" t="s">
        <v>195</v>
      </c>
      <c r="AI14" s="258">
        <f t="shared" si="1"/>
        <v>3565.049600000079</v>
      </c>
      <c r="AJ14" s="15"/>
      <c r="AK14" s="256">
        <v>2005.3404000000442</v>
      </c>
    </row>
    <row r="15" spans="2:38" s="15" customFormat="1" ht="38.1" customHeight="1">
      <c r="B15" s="94">
        <v>45758</v>
      </c>
      <c r="C15" s="94" t="s">
        <v>196</v>
      </c>
      <c r="D15" s="95">
        <v>515.88999999999942</v>
      </c>
      <c r="E15" s="95">
        <v>637.89999999987776</v>
      </c>
      <c r="F15" s="95">
        <v>929.54000000003725</v>
      </c>
      <c r="G15" s="95">
        <v>396</v>
      </c>
      <c r="H15" s="95">
        <v>24.839999999999236</v>
      </c>
      <c r="I15" s="95">
        <v>207.75</v>
      </c>
      <c r="J15" s="95">
        <v>0</v>
      </c>
      <c r="K15" s="95">
        <v>231.03999999997905</v>
      </c>
      <c r="L15" s="95">
        <v>341.04999999999563</v>
      </c>
      <c r="M15" s="95">
        <v>274.4600000000064</v>
      </c>
      <c r="N15" s="95">
        <v>779.90000000002328</v>
      </c>
      <c r="O15" s="95">
        <v>0</v>
      </c>
      <c r="P15" s="95">
        <v>0</v>
      </c>
      <c r="Q15" s="95">
        <v>170.17000000000002</v>
      </c>
      <c r="R15" s="95">
        <v>253.60000000000582</v>
      </c>
      <c r="S15" s="95">
        <v>0.32000000000698492</v>
      </c>
      <c r="T15" s="95">
        <v>3.9599999999918509</v>
      </c>
      <c r="U15" s="95">
        <v>351.68999999994412</v>
      </c>
      <c r="V15" s="95">
        <v>0</v>
      </c>
      <c r="W15" s="95">
        <v>48.039999999993597</v>
      </c>
      <c r="X15" s="95">
        <v>129.34000000000378</v>
      </c>
      <c r="Y15" s="95">
        <v>0</v>
      </c>
      <c r="Z15" s="95">
        <v>0</v>
      </c>
      <c r="AA15" s="95">
        <v>0</v>
      </c>
      <c r="AB15" s="95">
        <v>241.08000000000038</v>
      </c>
      <c r="AC15" s="95">
        <v>0</v>
      </c>
      <c r="AD15" s="95">
        <v>0</v>
      </c>
      <c r="AE15" s="256">
        <f t="shared" si="0"/>
        <v>5536.5699999998651</v>
      </c>
      <c r="AG15" s="181">
        <v>45758</v>
      </c>
      <c r="AH15" s="182" t="s">
        <v>196</v>
      </c>
      <c r="AI15" s="258">
        <f t="shared" si="1"/>
        <v>3543.4047999999138</v>
      </c>
      <c r="AK15" s="256">
        <v>1993.1651999999515</v>
      </c>
      <c r="AL15" s="197"/>
    </row>
    <row r="16" spans="2:38" ht="38.1" customHeight="1">
      <c r="B16" s="94">
        <v>45759</v>
      </c>
      <c r="C16" s="94" t="s">
        <v>197</v>
      </c>
      <c r="D16" s="95">
        <v>427.11000000000058</v>
      </c>
      <c r="E16" s="95">
        <v>666.08999999992375</v>
      </c>
      <c r="F16" s="95">
        <v>1033.7299999999814</v>
      </c>
      <c r="G16" s="95">
        <v>401.93000000000029</v>
      </c>
      <c r="H16" s="95">
        <v>27.900000000000546</v>
      </c>
      <c r="I16" s="95">
        <v>117.5</v>
      </c>
      <c r="J16" s="95">
        <v>0</v>
      </c>
      <c r="K16" s="95">
        <v>182.02000000001863</v>
      </c>
      <c r="L16" s="95">
        <v>313.47000000000116</v>
      </c>
      <c r="M16" s="95">
        <v>601.17999999994936</v>
      </c>
      <c r="N16" s="95">
        <v>970.05000000004657</v>
      </c>
      <c r="O16" s="95">
        <v>0</v>
      </c>
      <c r="P16" s="95">
        <v>0</v>
      </c>
      <c r="Q16" s="95">
        <v>263.88</v>
      </c>
      <c r="R16" s="95">
        <v>226.06999999999243</v>
      </c>
      <c r="S16" s="95">
        <v>0</v>
      </c>
      <c r="T16" s="95">
        <v>4.860000000015134</v>
      </c>
      <c r="U16" s="95">
        <v>351.83999999999651</v>
      </c>
      <c r="V16" s="95">
        <v>0</v>
      </c>
      <c r="W16" s="95">
        <v>33.759999999994761</v>
      </c>
      <c r="X16" s="95">
        <v>129.63999999999942</v>
      </c>
      <c r="Y16" s="95">
        <v>0</v>
      </c>
      <c r="Z16" s="95">
        <v>0</v>
      </c>
      <c r="AA16" s="95">
        <v>0</v>
      </c>
      <c r="AB16" s="95">
        <v>0</v>
      </c>
      <c r="AC16" s="95">
        <v>0</v>
      </c>
      <c r="AD16" s="95">
        <v>0</v>
      </c>
      <c r="AE16" s="256">
        <f t="shared" si="0"/>
        <v>5751.0299999999206</v>
      </c>
      <c r="AF16" s="15"/>
      <c r="AG16" s="181">
        <v>45759</v>
      </c>
      <c r="AH16" s="182" t="s">
        <v>197</v>
      </c>
      <c r="AI16" s="258">
        <f t="shared" si="1"/>
        <v>3680.6591999999491</v>
      </c>
      <c r="AJ16" s="15"/>
      <c r="AK16" s="256">
        <v>2070.3707999999715</v>
      </c>
    </row>
    <row r="17" spans="2:38" s="15" customFormat="1" ht="38.1" customHeight="1">
      <c r="B17" s="190">
        <v>45760</v>
      </c>
      <c r="C17" s="190" t="s">
        <v>198</v>
      </c>
      <c r="D17" s="191">
        <v>0</v>
      </c>
      <c r="E17" s="191">
        <v>419.37000000067928</v>
      </c>
      <c r="F17" s="191">
        <v>1039.0999999996275</v>
      </c>
      <c r="G17" s="191">
        <v>491.28000000000065</v>
      </c>
      <c r="H17" s="191">
        <v>13.6899999999996</v>
      </c>
      <c r="I17" s="191">
        <v>94.400000000023283</v>
      </c>
      <c r="J17" s="191">
        <v>0</v>
      </c>
      <c r="K17" s="191">
        <v>32.14000000001397</v>
      </c>
      <c r="L17" s="191">
        <v>406.43000000000029</v>
      </c>
      <c r="M17" s="191">
        <v>391.38999999992666</v>
      </c>
      <c r="N17" s="191">
        <v>833.46999999997206</v>
      </c>
      <c r="O17" s="191">
        <v>0</v>
      </c>
      <c r="P17" s="191">
        <v>0</v>
      </c>
      <c r="Q17" s="191">
        <v>85.460000000000036</v>
      </c>
      <c r="R17" s="191">
        <v>4.1100000000005821</v>
      </c>
      <c r="S17" s="191">
        <v>0</v>
      </c>
      <c r="T17" s="191">
        <v>1.6199999999953434</v>
      </c>
      <c r="U17" s="191">
        <v>352.03500000000349</v>
      </c>
      <c r="V17" s="191">
        <v>0</v>
      </c>
      <c r="W17" s="191">
        <v>2.9999999998835847E-2</v>
      </c>
      <c r="X17" s="191">
        <v>129.72000000000116</v>
      </c>
      <c r="Y17" s="191">
        <v>0</v>
      </c>
      <c r="Z17" s="191">
        <v>0</v>
      </c>
      <c r="AA17" s="191">
        <v>0</v>
      </c>
      <c r="AB17" s="191">
        <v>0</v>
      </c>
      <c r="AC17" s="191">
        <v>0</v>
      </c>
      <c r="AD17" s="191">
        <v>0</v>
      </c>
      <c r="AE17" s="249">
        <f t="shared" si="0"/>
        <v>4294.2450000002427</v>
      </c>
      <c r="AF17" s="194"/>
      <c r="AG17" s="192">
        <v>45760</v>
      </c>
      <c r="AH17" s="193" t="s">
        <v>198</v>
      </c>
      <c r="AI17" s="259">
        <f t="shared" si="1"/>
        <v>2748.3168000001551</v>
      </c>
      <c r="AJ17" s="194"/>
      <c r="AK17" s="249">
        <v>1545.9282000000874</v>
      </c>
      <c r="AL17" s="197"/>
    </row>
    <row r="18" spans="2:38" s="15" customFormat="1" ht="38.1" customHeight="1">
      <c r="B18" s="94">
        <v>45761</v>
      </c>
      <c r="C18" s="94" t="s">
        <v>192</v>
      </c>
      <c r="D18" s="95">
        <v>148.33999999999651</v>
      </c>
      <c r="E18" s="95">
        <v>115.82999999979802</v>
      </c>
      <c r="F18" s="95">
        <v>133.12000000011176</v>
      </c>
      <c r="G18" s="95">
        <v>75.270000000000437</v>
      </c>
      <c r="H18" s="95">
        <v>5.0799999999999272</v>
      </c>
      <c r="I18" s="95">
        <v>96.190000000060536</v>
      </c>
      <c r="J18" s="95">
        <v>0</v>
      </c>
      <c r="K18" s="95">
        <v>74.650000000023283</v>
      </c>
      <c r="L18" s="95">
        <v>307.40000000000146</v>
      </c>
      <c r="M18" s="95">
        <v>11.480000000199652</v>
      </c>
      <c r="N18" s="95">
        <v>181.63000000000466</v>
      </c>
      <c r="O18" s="95">
        <v>0</v>
      </c>
      <c r="P18" s="95">
        <v>0</v>
      </c>
      <c r="Q18" s="95">
        <v>2.3999999999999773</v>
      </c>
      <c r="R18" s="95">
        <v>2.5900000000110595</v>
      </c>
      <c r="S18" s="95">
        <v>0</v>
      </c>
      <c r="T18" s="95">
        <v>18.910000000003492</v>
      </c>
      <c r="U18" s="95">
        <v>205.05000000001746</v>
      </c>
      <c r="V18" s="95">
        <v>0</v>
      </c>
      <c r="W18" s="95">
        <v>13.740000000005239</v>
      </c>
      <c r="X18" s="95">
        <v>126.62999999999738</v>
      </c>
      <c r="Y18" s="95">
        <v>0</v>
      </c>
      <c r="Z18" s="95">
        <v>0</v>
      </c>
      <c r="AA18" s="95">
        <v>0</v>
      </c>
      <c r="AB18" s="95">
        <v>0</v>
      </c>
      <c r="AC18" s="95">
        <v>30.549999999999272</v>
      </c>
      <c r="AD18" s="95">
        <v>0</v>
      </c>
      <c r="AE18" s="256">
        <f t="shared" si="0"/>
        <v>1548.8600000002302</v>
      </c>
      <c r="AG18" s="181">
        <v>45761</v>
      </c>
      <c r="AH18" s="182" t="s">
        <v>192</v>
      </c>
      <c r="AI18" s="258">
        <f t="shared" si="1"/>
        <v>991.27040000014733</v>
      </c>
      <c r="AK18" s="256">
        <v>557.5896000000829</v>
      </c>
      <c r="AL18" s="197"/>
    </row>
    <row r="19" spans="2:38" s="15" customFormat="1" ht="38.1" customHeight="1">
      <c r="B19" s="94">
        <v>45762</v>
      </c>
      <c r="C19" s="94" t="s">
        <v>193</v>
      </c>
      <c r="D19" s="95">
        <v>338.93000000000029</v>
      </c>
      <c r="E19" s="95">
        <v>483.4999999999709</v>
      </c>
      <c r="F19" s="95">
        <v>472.58000000007451</v>
      </c>
      <c r="G19" s="95">
        <v>615.77999999999884</v>
      </c>
      <c r="H19" s="95">
        <v>31.070000000000618</v>
      </c>
      <c r="I19" s="95">
        <v>320.13000000000466</v>
      </c>
      <c r="J19" s="95">
        <v>0</v>
      </c>
      <c r="K19" s="95">
        <v>225.67000000004191</v>
      </c>
      <c r="L19" s="95">
        <v>292.77999999999884</v>
      </c>
      <c r="M19" s="95">
        <v>208.50999999990745</v>
      </c>
      <c r="N19" s="95">
        <v>137.53999999992084</v>
      </c>
      <c r="O19" s="95">
        <v>0</v>
      </c>
      <c r="P19" s="95">
        <v>0</v>
      </c>
      <c r="Q19" s="95">
        <v>177.41999999999996</v>
      </c>
      <c r="R19" s="95">
        <v>2.5899999999965075</v>
      </c>
      <c r="S19" s="95">
        <v>0</v>
      </c>
      <c r="T19" s="95">
        <v>87.130000000004657</v>
      </c>
      <c r="U19" s="95">
        <v>223.44000000003143</v>
      </c>
      <c r="V19" s="95">
        <v>0</v>
      </c>
      <c r="W19" s="95">
        <v>46.400000000008731</v>
      </c>
      <c r="X19" s="95">
        <v>129.52999999999884</v>
      </c>
      <c r="Y19" s="95">
        <v>0</v>
      </c>
      <c r="Z19" s="95">
        <v>0</v>
      </c>
      <c r="AA19" s="95">
        <v>0</v>
      </c>
      <c r="AB19" s="95">
        <v>464.06999999999971</v>
      </c>
      <c r="AC19" s="95">
        <v>0</v>
      </c>
      <c r="AD19" s="95">
        <v>0</v>
      </c>
      <c r="AE19" s="256">
        <f t="shared" si="0"/>
        <v>4257.0699999999588</v>
      </c>
      <c r="AG19" s="181">
        <v>45762</v>
      </c>
      <c r="AH19" s="182" t="s">
        <v>193</v>
      </c>
      <c r="AI19" s="258">
        <f t="shared" si="1"/>
        <v>2724.5247999999738</v>
      </c>
      <c r="AK19" s="256">
        <v>1532.5451999999852</v>
      </c>
      <c r="AL19" s="197"/>
    </row>
    <row r="20" spans="2:38" s="15" customFormat="1" ht="38.1" customHeight="1">
      <c r="B20" s="94">
        <v>45763</v>
      </c>
      <c r="C20" s="94" t="s">
        <v>194</v>
      </c>
      <c r="D20" s="95">
        <v>132.80000000000291</v>
      </c>
      <c r="E20" s="95">
        <v>728.38000000010652</v>
      </c>
      <c r="F20" s="95">
        <v>1105.1499999999069</v>
      </c>
      <c r="G20" s="95">
        <v>433.8700000000008</v>
      </c>
      <c r="H20" s="95">
        <v>6.5900000000001455</v>
      </c>
      <c r="I20" s="95">
        <v>289.59999999997672</v>
      </c>
      <c r="J20" s="95">
        <v>0</v>
      </c>
      <c r="K20" s="95">
        <v>216.17999999993481</v>
      </c>
      <c r="L20" s="95">
        <v>277.13999999999942</v>
      </c>
      <c r="M20" s="95">
        <v>190.31000000008498</v>
      </c>
      <c r="N20" s="95">
        <v>952.19000000006054</v>
      </c>
      <c r="O20" s="95">
        <v>0</v>
      </c>
      <c r="P20" s="95">
        <v>0</v>
      </c>
      <c r="Q20" s="95">
        <v>272.65000000000009</v>
      </c>
      <c r="R20" s="95">
        <v>171.86000000000058</v>
      </c>
      <c r="S20" s="95">
        <v>0</v>
      </c>
      <c r="T20" s="95">
        <v>0</v>
      </c>
      <c r="U20" s="95">
        <v>356.07000000000698</v>
      </c>
      <c r="V20" s="95">
        <v>0</v>
      </c>
      <c r="W20" s="95">
        <v>48.029999999998836</v>
      </c>
      <c r="X20" s="95">
        <v>129.41999999999825</v>
      </c>
      <c r="Y20" s="95">
        <v>0</v>
      </c>
      <c r="Z20" s="95">
        <v>0</v>
      </c>
      <c r="AA20" s="95">
        <v>0</v>
      </c>
      <c r="AB20" s="95">
        <v>121.52000000000044</v>
      </c>
      <c r="AC20" s="95">
        <v>0</v>
      </c>
      <c r="AD20" s="95">
        <v>0</v>
      </c>
      <c r="AE20" s="256">
        <f t="shared" si="0"/>
        <v>5431.7600000000784</v>
      </c>
      <c r="AG20" s="181">
        <v>45763</v>
      </c>
      <c r="AH20" s="182" t="s">
        <v>194</v>
      </c>
      <c r="AI20" s="258">
        <f t="shared" si="1"/>
        <v>3476.3264000000499</v>
      </c>
      <c r="AK20" s="256">
        <v>1955.4336000000283</v>
      </c>
      <c r="AL20" s="197"/>
    </row>
    <row r="21" spans="2:38" s="15" customFormat="1" ht="38.1" customHeight="1">
      <c r="B21" s="94">
        <v>45764</v>
      </c>
      <c r="C21" s="94" t="s">
        <v>195</v>
      </c>
      <c r="D21" s="95">
        <v>481.04999999999563</v>
      </c>
      <c r="E21" s="95">
        <v>792.92999999980384</v>
      </c>
      <c r="F21" s="95">
        <v>1060.6100000003353</v>
      </c>
      <c r="G21" s="95">
        <v>467.03999999999905</v>
      </c>
      <c r="H21" s="95">
        <v>26.1899999999996</v>
      </c>
      <c r="I21" s="95">
        <v>157.25</v>
      </c>
      <c r="J21" s="95">
        <v>0</v>
      </c>
      <c r="K21" s="95">
        <v>242.33000000007451</v>
      </c>
      <c r="L21" s="95">
        <v>462.30000000000291</v>
      </c>
      <c r="M21" s="95">
        <v>367.30999999988126</v>
      </c>
      <c r="N21" s="95">
        <v>948.73999999999069</v>
      </c>
      <c r="O21" s="95">
        <v>0</v>
      </c>
      <c r="P21" s="95">
        <v>0</v>
      </c>
      <c r="Q21" s="95">
        <v>222.49</v>
      </c>
      <c r="R21" s="95">
        <v>265.36000000000058</v>
      </c>
      <c r="S21" s="95">
        <v>0</v>
      </c>
      <c r="T21" s="95">
        <v>5</v>
      </c>
      <c r="U21" s="95">
        <v>357.97499999994761</v>
      </c>
      <c r="V21" s="95">
        <v>0</v>
      </c>
      <c r="W21" s="95">
        <v>48.559999999997672</v>
      </c>
      <c r="X21" s="95">
        <v>127.88000000000466</v>
      </c>
      <c r="Y21" s="95">
        <v>0</v>
      </c>
      <c r="Z21" s="95">
        <v>0</v>
      </c>
      <c r="AA21" s="95">
        <v>0</v>
      </c>
      <c r="AB21" s="95">
        <v>0</v>
      </c>
      <c r="AC21" s="95">
        <v>0</v>
      </c>
      <c r="AD21" s="95">
        <v>0</v>
      </c>
      <c r="AE21" s="256">
        <f t="shared" si="0"/>
        <v>6033.0150000000331</v>
      </c>
      <c r="AG21" s="181">
        <v>45764</v>
      </c>
      <c r="AH21" s="182" t="s">
        <v>195</v>
      </c>
      <c r="AI21" s="258">
        <f t="shared" si="1"/>
        <v>3861.1296000000211</v>
      </c>
      <c r="AK21" s="256">
        <v>2171.8854000000119</v>
      </c>
      <c r="AL21" s="197"/>
    </row>
    <row r="22" spans="2:38" s="15" customFormat="1" ht="38.1" customHeight="1">
      <c r="B22" s="94">
        <v>45765</v>
      </c>
      <c r="C22" s="94" t="s">
        <v>196</v>
      </c>
      <c r="D22" s="95">
        <v>296.77000000000407</v>
      </c>
      <c r="E22" s="95">
        <v>752.48999999978696</v>
      </c>
      <c r="F22" s="95">
        <v>1042.6899999999441</v>
      </c>
      <c r="G22" s="95">
        <v>393.60000000000218</v>
      </c>
      <c r="H22" s="95">
        <v>26.619999999999891</v>
      </c>
      <c r="I22" s="95">
        <v>117.63000000000466</v>
      </c>
      <c r="J22" s="95">
        <v>0</v>
      </c>
      <c r="K22" s="95">
        <v>229.44000000000233</v>
      </c>
      <c r="L22" s="95">
        <v>430.37999999999738</v>
      </c>
      <c r="M22" s="95">
        <v>184.57000000010885</v>
      </c>
      <c r="N22" s="95">
        <v>792.64000000001397</v>
      </c>
      <c r="O22" s="95">
        <v>0</v>
      </c>
      <c r="P22" s="95">
        <v>0</v>
      </c>
      <c r="Q22" s="95">
        <v>265.56999999999994</v>
      </c>
      <c r="R22" s="95">
        <v>233.89999999999418</v>
      </c>
      <c r="S22" s="95">
        <v>0</v>
      </c>
      <c r="T22" s="95">
        <v>49.679999999993015</v>
      </c>
      <c r="U22" s="95">
        <v>354.10500000001048</v>
      </c>
      <c r="V22" s="95">
        <v>0</v>
      </c>
      <c r="W22" s="95">
        <v>46.789999999993597</v>
      </c>
      <c r="X22" s="95">
        <v>133.93999999999505</v>
      </c>
      <c r="Y22" s="95">
        <v>0</v>
      </c>
      <c r="Z22" s="95">
        <v>0</v>
      </c>
      <c r="AA22" s="95">
        <v>0</v>
      </c>
      <c r="AB22" s="95">
        <v>0</v>
      </c>
      <c r="AC22" s="95">
        <v>0</v>
      </c>
      <c r="AD22" s="95">
        <v>0</v>
      </c>
      <c r="AE22" s="256">
        <f t="shared" si="0"/>
        <v>5350.8149999998504</v>
      </c>
      <c r="AG22" s="181">
        <v>45765</v>
      </c>
      <c r="AH22" s="182" t="s">
        <v>196</v>
      </c>
      <c r="AI22" s="258">
        <f t="shared" si="1"/>
        <v>3424.5215999999045</v>
      </c>
      <c r="AK22" s="256">
        <v>1926.2933999999461</v>
      </c>
      <c r="AL22" s="197"/>
    </row>
    <row r="23" spans="2:38" s="15" customFormat="1" ht="38.1" customHeight="1">
      <c r="B23" s="94">
        <v>45766</v>
      </c>
      <c r="C23" s="94" t="s">
        <v>197</v>
      </c>
      <c r="D23" s="95">
        <v>190.25999999999476</v>
      </c>
      <c r="E23" s="95">
        <v>533.37000000025728</v>
      </c>
      <c r="F23" s="95">
        <v>844.27999999979511</v>
      </c>
      <c r="G23" s="95">
        <v>361.68999999999869</v>
      </c>
      <c r="H23" s="95">
        <v>30.159999999999854</v>
      </c>
      <c r="I23" s="95">
        <v>93.5</v>
      </c>
      <c r="J23" s="95">
        <v>0</v>
      </c>
      <c r="K23" s="95">
        <v>206.91999999992549</v>
      </c>
      <c r="L23" s="95">
        <v>385.97000000000116</v>
      </c>
      <c r="M23" s="95">
        <v>152.05999999996857</v>
      </c>
      <c r="N23" s="95">
        <v>628.0899999999674</v>
      </c>
      <c r="O23" s="95">
        <v>0</v>
      </c>
      <c r="P23" s="95">
        <v>0</v>
      </c>
      <c r="Q23" s="95">
        <v>253.53999999999996</v>
      </c>
      <c r="R23" s="95">
        <v>230.27999999999884</v>
      </c>
      <c r="S23" s="95">
        <v>0</v>
      </c>
      <c r="T23" s="95">
        <v>4.5599999999976717</v>
      </c>
      <c r="U23" s="95">
        <v>214.60500000001048</v>
      </c>
      <c r="V23" s="95">
        <v>0</v>
      </c>
      <c r="W23" s="95">
        <v>36.160000000003492</v>
      </c>
      <c r="X23" s="95">
        <v>199.27000000000407</v>
      </c>
      <c r="Y23" s="95">
        <v>0</v>
      </c>
      <c r="Z23" s="95">
        <v>0</v>
      </c>
      <c r="AA23" s="95">
        <v>0</v>
      </c>
      <c r="AB23" s="95">
        <v>0</v>
      </c>
      <c r="AC23" s="95">
        <v>0</v>
      </c>
      <c r="AD23" s="95">
        <v>0</v>
      </c>
      <c r="AE23" s="256">
        <f t="shared" si="0"/>
        <v>4364.7149999999228</v>
      </c>
      <c r="AG23" s="181">
        <v>45766</v>
      </c>
      <c r="AH23" s="182" t="s">
        <v>197</v>
      </c>
      <c r="AI23" s="258">
        <f t="shared" si="1"/>
        <v>2793.4175999999507</v>
      </c>
      <c r="AK23" s="256">
        <v>1571.2973999999722</v>
      </c>
      <c r="AL23" s="197"/>
    </row>
    <row r="24" spans="2:38" s="15" customFormat="1" ht="38.1" customHeight="1">
      <c r="B24" s="190">
        <v>45767</v>
      </c>
      <c r="C24" s="190" t="s">
        <v>198</v>
      </c>
      <c r="D24" s="191">
        <v>0</v>
      </c>
      <c r="E24" s="191">
        <v>59.39999999992142</v>
      </c>
      <c r="F24" s="191">
        <v>235.01000000024214</v>
      </c>
      <c r="G24" s="191">
        <v>333.95000000000073</v>
      </c>
      <c r="H24" s="191">
        <v>33.590000000000146</v>
      </c>
      <c r="I24" s="191">
        <v>53.25</v>
      </c>
      <c r="J24" s="191">
        <v>0</v>
      </c>
      <c r="K24" s="191">
        <v>41.020000000018626</v>
      </c>
      <c r="L24" s="191">
        <v>339.87000000000262</v>
      </c>
      <c r="M24" s="191">
        <v>41.520000000062282</v>
      </c>
      <c r="N24" s="191">
        <v>10.119999999995343</v>
      </c>
      <c r="O24" s="191">
        <v>0</v>
      </c>
      <c r="P24" s="191">
        <v>0</v>
      </c>
      <c r="Q24" s="191">
        <v>263.11000000000013</v>
      </c>
      <c r="R24" s="191">
        <v>75.650000000008731</v>
      </c>
      <c r="S24" s="191">
        <v>0</v>
      </c>
      <c r="T24" s="191">
        <v>30.110000000015134</v>
      </c>
      <c r="U24" s="191">
        <v>208.71000000002095</v>
      </c>
      <c r="V24" s="191">
        <v>0</v>
      </c>
      <c r="W24" s="191">
        <v>11.80000000000291</v>
      </c>
      <c r="X24" s="191">
        <v>134.59999999999854</v>
      </c>
      <c r="Y24" s="191">
        <v>0</v>
      </c>
      <c r="Z24" s="191">
        <v>0</v>
      </c>
      <c r="AA24" s="191">
        <v>0</v>
      </c>
      <c r="AB24" s="191">
        <v>0</v>
      </c>
      <c r="AC24" s="191">
        <v>0</v>
      </c>
      <c r="AD24" s="191">
        <v>0</v>
      </c>
      <c r="AE24" s="249">
        <f t="shared" si="0"/>
        <v>1871.7100000002897</v>
      </c>
      <c r="AF24" s="194"/>
      <c r="AG24" s="192">
        <v>45767</v>
      </c>
      <c r="AH24" s="193" t="s">
        <v>198</v>
      </c>
      <c r="AI24" s="259">
        <f t="shared" si="1"/>
        <v>1197.8944000001854</v>
      </c>
      <c r="AJ24" s="194"/>
      <c r="AK24" s="249">
        <v>673.81560000010427</v>
      </c>
      <c r="AL24" s="197"/>
    </row>
    <row r="25" spans="2:38" s="15" customFormat="1" ht="38.1" customHeight="1">
      <c r="B25" s="94">
        <v>45768</v>
      </c>
      <c r="C25" s="94" t="s">
        <v>192</v>
      </c>
      <c r="D25" s="95">
        <v>128.87000000000262</v>
      </c>
      <c r="E25" s="95">
        <v>392.72000000001572</v>
      </c>
      <c r="F25" s="95">
        <v>781.56999999983236</v>
      </c>
      <c r="G25" s="95">
        <v>479.84999999999854</v>
      </c>
      <c r="H25" s="95">
        <v>29.649999999999636</v>
      </c>
      <c r="I25" s="95">
        <v>142.40000000002328</v>
      </c>
      <c r="J25" s="95">
        <v>0</v>
      </c>
      <c r="K25" s="95">
        <v>259.94999999989523</v>
      </c>
      <c r="L25" s="95">
        <v>344.97000000000116</v>
      </c>
      <c r="M25" s="95">
        <v>585.49999999988358</v>
      </c>
      <c r="N25" s="95">
        <v>225.15000000002328</v>
      </c>
      <c r="O25" s="95">
        <v>0</v>
      </c>
      <c r="P25" s="95">
        <v>0</v>
      </c>
      <c r="Q25" s="95">
        <v>73.759999999999764</v>
      </c>
      <c r="R25" s="95">
        <v>215.91999999999825</v>
      </c>
      <c r="S25" s="95">
        <v>0</v>
      </c>
      <c r="T25" s="95">
        <v>91.470000000001164</v>
      </c>
      <c r="U25" s="95">
        <v>280.69500000000698</v>
      </c>
      <c r="V25" s="95">
        <v>16</v>
      </c>
      <c r="W25" s="95">
        <v>51.869999999995343</v>
      </c>
      <c r="X25" s="95">
        <v>128.11000000000058</v>
      </c>
      <c r="Y25" s="95">
        <v>0</v>
      </c>
      <c r="Z25" s="95">
        <v>0</v>
      </c>
      <c r="AA25" s="95">
        <v>0</v>
      </c>
      <c r="AB25" s="95">
        <v>0</v>
      </c>
      <c r="AC25" s="95">
        <v>0</v>
      </c>
      <c r="AD25" s="95">
        <v>0</v>
      </c>
      <c r="AE25" s="256">
        <f t="shared" si="0"/>
        <v>4228.454999999678</v>
      </c>
      <c r="AG25" s="181">
        <v>45768</v>
      </c>
      <c r="AH25" s="182" t="s">
        <v>192</v>
      </c>
      <c r="AI25" s="258">
        <f t="shared" si="1"/>
        <v>2706.2111999997942</v>
      </c>
      <c r="AK25" s="256">
        <v>1522.243799999884</v>
      </c>
      <c r="AL25" s="197"/>
    </row>
    <row r="26" spans="2:38" s="15" customFormat="1" ht="38.1" customHeight="1">
      <c r="B26" s="94">
        <v>45769</v>
      </c>
      <c r="C26" s="94" t="s">
        <v>193</v>
      </c>
      <c r="D26" s="95">
        <v>372.51000000000204</v>
      </c>
      <c r="E26" s="95">
        <v>815.2100000000064</v>
      </c>
      <c r="F26" s="95">
        <v>1113.6000000000931</v>
      </c>
      <c r="G26" s="95">
        <v>431.58000000000175</v>
      </c>
      <c r="H26" s="95">
        <v>30.150000000000546</v>
      </c>
      <c r="I26" s="95">
        <v>106.30999999993946</v>
      </c>
      <c r="J26" s="95">
        <v>0</v>
      </c>
      <c r="K26" s="95">
        <v>266.19000000006054</v>
      </c>
      <c r="L26" s="95">
        <v>451.30999999999767</v>
      </c>
      <c r="M26" s="95">
        <v>658.09999999999127</v>
      </c>
      <c r="N26" s="95">
        <v>1032.3800000000047</v>
      </c>
      <c r="O26" s="95">
        <v>0</v>
      </c>
      <c r="P26" s="95">
        <v>0</v>
      </c>
      <c r="Q26" s="95">
        <v>283.26000000000022</v>
      </c>
      <c r="R26" s="95">
        <v>237.40999999998894</v>
      </c>
      <c r="S26" s="95">
        <v>0</v>
      </c>
      <c r="T26" s="95">
        <v>5.8099999999976717</v>
      </c>
      <c r="U26" s="95">
        <v>353.14499999998952</v>
      </c>
      <c r="V26" s="95">
        <v>20</v>
      </c>
      <c r="W26" s="95">
        <v>55.889999999999418</v>
      </c>
      <c r="X26" s="95">
        <v>128.5</v>
      </c>
      <c r="Y26" s="95">
        <v>0</v>
      </c>
      <c r="Z26" s="95">
        <v>0</v>
      </c>
      <c r="AA26" s="95">
        <v>0</v>
      </c>
      <c r="AB26" s="95">
        <v>0</v>
      </c>
      <c r="AC26" s="95">
        <v>0</v>
      </c>
      <c r="AD26" s="95">
        <v>0</v>
      </c>
      <c r="AE26" s="256">
        <f t="shared" si="0"/>
        <v>6361.3550000000732</v>
      </c>
      <c r="AG26" s="181">
        <v>45769</v>
      </c>
      <c r="AH26" s="182" t="s">
        <v>193</v>
      </c>
      <c r="AI26" s="258">
        <f t="shared" si="1"/>
        <v>4071.2672000000466</v>
      </c>
      <c r="AK26" s="256">
        <v>2290.0878000000266</v>
      </c>
      <c r="AL26" s="197"/>
    </row>
    <row r="27" spans="2:38" s="15" customFormat="1" ht="38.1" customHeight="1">
      <c r="B27" s="94">
        <v>45770</v>
      </c>
      <c r="C27" s="94" t="s">
        <v>194</v>
      </c>
      <c r="D27" s="95">
        <v>223.84999999999854</v>
      </c>
      <c r="E27" s="95">
        <v>722.22000000019034</v>
      </c>
      <c r="F27" s="95">
        <v>1036.0299999997951</v>
      </c>
      <c r="G27" s="95">
        <v>556.75</v>
      </c>
      <c r="H27" s="95">
        <v>31.739999999999782</v>
      </c>
      <c r="I27" s="95">
        <v>111.42000000004191</v>
      </c>
      <c r="J27" s="95">
        <v>0</v>
      </c>
      <c r="K27" s="95">
        <v>266.97999999998137</v>
      </c>
      <c r="L27" s="95">
        <v>464.77999999999884</v>
      </c>
      <c r="M27" s="95">
        <v>591.2099999999773</v>
      </c>
      <c r="N27" s="95">
        <v>994.81999999994878</v>
      </c>
      <c r="O27" s="95">
        <v>0</v>
      </c>
      <c r="P27" s="95">
        <v>0</v>
      </c>
      <c r="Q27" s="95">
        <v>266.73</v>
      </c>
      <c r="R27" s="95">
        <v>231.3700000000099</v>
      </c>
      <c r="S27" s="95">
        <v>6.9999999977881089E-2</v>
      </c>
      <c r="T27" s="95">
        <v>66.85999999998603</v>
      </c>
      <c r="U27" s="95">
        <v>352.125</v>
      </c>
      <c r="V27" s="95">
        <v>0</v>
      </c>
      <c r="W27" s="95">
        <v>53.520000000004075</v>
      </c>
      <c r="X27" s="95">
        <v>128.2699999999968</v>
      </c>
      <c r="Y27" s="95">
        <v>0</v>
      </c>
      <c r="Z27" s="95">
        <v>0</v>
      </c>
      <c r="AA27" s="95">
        <v>0</v>
      </c>
      <c r="AB27" s="95">
        <v>0</v>
      </c>
      <c r="AC27" s="95">
        <v>0</v>
      </c>
      <c r="AD27" s="95">
        <v>0</v>
      </c>
      <c r="AE27" s="256">
        <f t="shared" si="0"/>
        <v>6098.7449999999062</v>
      </c>
      <c r="AG27" s="181">
        <v>45770</v>
      </c>
      <c r="AH27" s="182" t="s">
        <v>194</v>
      </c>
      <c r="AI27" s="258">
        <f t="shared" si="1"/>
        <v>3903.1967999999401</v>
      </c>
      <c r="AK27" s="256">
        <v>2195.5481999999661</v>
      </c>
      <c r="AL27" s="197"/>
    </row>
    <row r="28" spans="2:38" s="15" customFormat="1" ht="38.1" customHeight="1">
      <c r="B28" s="94">
        <v>45771</v>
      </c>
      <c r="C28" s="94" t="s">
        <v>195</v>
      </c>
      <c r="D28" s="95">
        <v>129.56999999999971</v>
      </c>
      <c r="E28" s="95">
        <v>611.04999999939173</v>
      </c>
      <c r="F28" s="95">
        <v>846.59000000031665</v>
      </c>
      <c r="G28" s="95">
        <v>583.15999999999985</v>
      </c>
      <c r="H28" s="95">
        <v>28.869999999999891</v>
      </c>
      <c r="I28" s="95">
        <v>145.3399999999674</v>
      </c>
      <c r="J28" s="95">
        <v>0</v>
      </c>
      <c r="K28" s="95">
        <v>228.07000000000698</v>
      </c>
      <c r="L28" s="95">
        <v>442.66000000000349</v>
      </c>
      <c r="M28" s="95">
        <v>850.07999999997264</v>
      </c>
      <c r="N28" s="95">
        <v>871.10000000009313</v>
      </c>
      <c r="O28" s="95">
        <v>0</v>
      </c>
      <c r="P28" s="95">
        <v>0</v>
      </c>
      <c r="Q28" s="95">
        <v>130.94000000000005</v>
      </c>
      <c r="R28" s="95">
        <v>240.5399999999936</v>
      </c>
      <c r="S28" s="95">
        <v>0</v>
      </c>
      <c r="T28" s="95">
        <v>0</v>
      </c>
      <c r="U28" s="95">
        <v>355.00499999997555</v>
      </c>
      <c r="V28" s="95">
        <v>32</v>
      </c>
      <c r="W28" s="95">
        <v>39.389999999999418</v>
      </c>
      <c r="X28" s="95">
        <v>128.42000000000553</v>
      </c>
      <c r="Y28" s="95">
        <v>0</v>
      </c>
      <c r="Z28" s="95">
        <v>0</v>
      </c>
      <c r="AA28" s="95">
        <v>0</v>
      </c>
      <c r="AB28" s="95">
        <v>0</v>
      </c>
      <c r="AC28" s="95">
        <v>0</v>
      </c>
      <c r="AD28" s="95">
        <v>0</v>
      </c>
      <c r="AE28" s="256">
        <f t="shared" si="0"/>
        <v>5662.7849999997252</v>
      </c>
      <c r="AG28" s="181">
        <v>45771</v>
      </c>
      <c r="AH28" s="182" t="s">
        <v>195</v>
      </c>
      <c r="AI28" s="258">
        <f t="shared" si="1"/>
        <v>3624.1823999998242</v>
      </c>
      <c r="AK28" s="286">
        <v>2038.602599999901</v>
      </c>
      <c r="AL28" s="197"/>
    </row>
    <row r="29" spans="2:38" s="15" customFormat="1" ht="38.1" customHeight="1">
      <c r="B29" s="94">
        <v>45772</v>
      </c>
      <c r="C29" s="94" t="s">
        <v>196</v>
      </c>
      <c r="D29" s="95">
        <v>464.09999999999854</v>
      </c>
      <c r="E29" s="95">
        <v>712.06000000040513</v>
      </c>
      <c r="F29" s="95">
        <v>1144.5799999996088</v>
      </c>
      <c r="G29" s="95">
        <v>613.5099999999984</v>
      </c>
      <c r="H29" s="95">
        <v>13.440000000000509</v>
      </c>
      <c r="I29" s="95">
        <v>130.63000000000466</v>
      </c>
      <c r="J29" s="95">
        <v>0</v>
      </c>
      <c r="K29" s="95">
        <v>246.30000000004657</v>
      </c>
      <c r="L29" s="95">
        <v>422.43000000000029</v>
      </c>
      <c r="M29" s="95">
        <v>406.64000000015949</v>
      </c>
      <c r="N29" s="95">
        <v>1025.5999999999767</v>
      </c>
      <c r="O29" s="95">
        <v>0</v>
      </c>
      <c r="P29" s="95">
        <v>0</v>
      </c>
      <c r="Q29" s="95">
        <v>264</v>
      </c>
      <c r="R29" s="95">
        <v>180.51000000000931</v>
      </c>
      <c r="S29" s="95">
        <v>0</v>
      </c>
      <c r="T29" s="95">
        <v>103.38000000000466</v>
      </c>
      <c r="U29" s="95">
        <v>357.21000000002095</v>
      </c>
      <c r="V29" s="95">
        <v>38</v>
      </c>
      <c r="W29" s="95">
        <v>51.029999999998836</v>
      </c>
      <c r="X29" s="95">
        <v>128.20999999999913</v>
      </c>
      <c r="Y29" s="95">
        <v>0</v>
      </c>
      <c r="Z29" s="95">
        <v>0</v>
      </c>
      <c r="AA29" s="95">
        <v>0</v>
      </c>
      <c r="AB29" s="95">
        <v>0</v>
      </c>
      <c r="AC29" s="95">
        <v>0</v>
      </c>
      <c r="AD29" s="95">
        <v>0</v>
      </c>
      <c r="AE29" s="256">
        <f t="shared" si="0"/>
        <v>6301.630000000232</v>
      </c>
      <c r="AG29" s="181">
        <v>45772</v>
      </c>
      <c r="AH29" s="182" t="s">
        <v>196</v>
      </c>
      <c r="AI29" s="258">
        <f t="shared" si="1"/>
        <v>4033.0432000001483</v>
      </c>
      <c r="AK29" s="286">
        <v>2268.5868000000837</v>
      </c>
      <c r="AL29" s="197"/>
    </row>
    <row r="30" spans="2:38" s="15" customFormat="1" ht="38.1" customHeight="1">
      <c r="B30" s="94">
        <v>45773</v>
      </c>
      <c r="C30" s="94" t="s">
        <v>197</v>
      </c>
      <c r="D30" s="95">
        <v>282.75</v>
      </c>
      <c r="E30" s="95">
        <v>377.12000000011176</v>
      </c>
      <c r="F30" s="95">
        <v>496.1300000003539</v>
      </c>
      <c r="G30" s="95">
        <v>446.42000000000189</v>
      </c>
      <c r="H30" s="95">
        <v>28.199999999999818</v>
      </c>
      <c r="I30" s="95">
        <v>65.53000000002794</v>
      </c>
      <c r="J30" s="95">
        <v>0</v>
      </c>
      <c r="K30" s="95">
        <v>179.73000000003958</v>
      </c>
      <c r="L30" s="95">
        <v>391.65999999999622</v>
      </c>
      <c r="M30" s="95">
        <v>510.3300000000163</v>
      </c>
      <c r="N30" s="95">
        <v>528.44999999995343</v>
      </c>
      <c r="O30" s="95">
        <v>0</v>
      </c>
      <c r="P30" s="95">
        <v>0</v>
      </c>
      <c r="Q30" s="95">
        <v>252.2199999999998</v>
      </c>
      <c r="R30" s="95">
        <v>250.73999999999069</v>
      </c>
      <c r="S30" s="95">
        <v>0</v>
      </c>
      <c r="T30" s="95">
        <v>2.9100000000034925</v>
      </c>
      <c r="U30" s="95">
        <v>257.51999999998952</v>
      </c>
      <c r="V30" s="95">
        <v>13</v>
      </c>
      <c r="W30" s="95">
        <v>29.440000000002328</v>
      </c>
      <c r="X30" s="95">
        <v>128.43999999999505</v>
      </c>
      <c r="Y30" s="95">
        <v>0</v>
      </c>
      <c r="Z30" s="95">
        <v>0</v>
      </c>
      <c r="AA30" s="95">
        <v>0</v>
      </c>
      <c r="AB30" s="95">
        <v>0</v>
      </c>
      <c r="AC30" s="95">
        <v>0</v>
      </c>
      <c r="AD30" s="95">
        <v>0</v>
      </c>
      <c r="AE30" s="256">
        <f t="shared" si="0"/>
        <v>4240.5900000004822</v>
      </c>
      <c r="AG30" s="181">
        <v>45773</v>
      </c>
      <c r="AH30" s="182" t="s">
        <v>197</v>
      </c>
      <c r="AI30" s="258">
        <f t="shared" si="1"/>
        <v>2713.9776000003085</v>
      </c>
      <c r="AK30" s="286">
        <v>1526.6124000001737</v>
      </c>
      <c r="AL30" s="197"/>
    </row>
    <row r="31" spans="2:38" s="15" customFormat="1" ht="38.1" customHeight="1">
      <c r="B31" s="190">
        <v>45774</v>
      </c>
      <c r="C31" s="190" t="s">
        <v>198</v>
      </c>
      <c r="D31" s="191">
        <v>0</v>
      </c>
      <c r="E31" s="191">
        <v>43.77000000004773</v>
      </c>
      <c r="F31" s="191">
        <v>243.70999999996275</v>
      </c>
      <c r="G31" s="191">
        <v>272.12999999999738</v>
      </c>
      <c r="H31" s="191">
        <v>0</v>
      </c>
      <c r="I31" s="191">
        <v>49.089999999967404</v>
      </c>
      <c r="J31" s="191">
        <v>0</v>
      </c>
      <c r="K31" s="191">
        <v>41.869999999995343</v>
      </c>
      <c r="L31" s="191">
        <v>315.52999999999884</v>
      </c>
      <c r="M31" s="191">
        <v>247.74999999982538</v>
      </c>
      <c r="N31" s="191">
        <v>0.51000000000931323</v>
      </c>
      <c r="O31" s="191">
        <v>0</v>
      </c>
      <c r="P31" s="191">
        <v>0</v>
      </c>
      <c r="Q31" s="191">
        <v>6.3699999999998909</v>
      </c>
      <c r="R31" s="191">
        <v>96.029999999998836</v>
      </c>
      <c r="S31" s="191">
        <v>0</v>
      </c>
      <c r="T31" s="191">
        <v>0</v>
      </c>
      <c r="U31" s="191">
        <v>209.10000000003492</v>
      </c>
      <c r="V31" s="191">
        <v>0</v>
      </c>
      <c r="W31" s="191">
        <v>13.309999999997672</v>
      </c>
      <c r="X31" s="191">
        <v>128.63000000000466</v>
      </c>
      <c r="Y31" s="191">
        <v>0</v>
      </c>
      <c r="Z31" s="191">
        <v>0</v>
      </c>
      <c r="AA31" s="191">
        <v>0</v>
      </c>
      <c r="AB31" s="191">
        <v>0</v>
      </c>
      <c r="AC31" s="191">
        <v>0</v>
      </c>
      <c r="AD31" s="191">
        <v>0</v>
      </c>
      <c r="AE31" s="249">
        <f t="shared" si="0"/>
        <v>1667.7999999998401</v>
      </c>
      <c r="AF31" s="194"/>
      <c r="AG31" s="192">
        <v>45774</v>
      </c>
      <c r="AH31" s="193" t="s">
        <v>198</v>
      </c>
      <c r="AI31" s="259">
        <f t="shared" si="1"/>
        <v>1067.3919999998977</v>
      </c>
      <c r="AJ31" s="194"/>
      <c r="AK31" s="287">
        <v>600.40799999994238</v>
      </c>
      <c r="AL31" s="197"/>
    </row>
    <row r="32" spans="2:38" s="15" customFormat="1" ht="38.1" customHeight="1">
      <c r="B32" s="94">
        <v>45775</v>
      </c>
      <c r="C32" s="94" t="s">
        <v>192</v>
      </c>
      <c r="D32" s="95">
        <v>132.43000000000029</v>
      </c>
      <c r="E32" s="95">
        <v>544.87999999969907</v>
      </c>
      <c r="F32" s="95">
        <v>1037.5699999998324</v>
      </c>
      <c r="G32" s="95">
        <v>276.04000000000087</v>
      </c>
      <c r="H32" s="95">
        <v>0</v>
      </c>
      <c r="I32" s="95">
        <v>59.270000000018626</v>
      </c>
      <c r="J32" s="95">
        <v>0</v>
      </c>
      <c r="K32" s="95">
        <v>274.93999999988591</v>
      </c>
      <c r="L32" s="95">
        <v>346.26000000000204</v>
      </c>
      <c r="M32" s="95">
        <v>216.60000000010768</v>
      </c>
      <c r="N32" s="95">
        <v>315.14000000001397</v>
      </c>
      <c r="O32" s="95">
        <v>0</v>
      </c>
      <c r="P32" s="95">
        <v>0</v>
      </c>
      <c r="Q32" s="95">
        <v>5.1500000000000909</v>
      </c>
      <c r="R32" s="95">
        <v>24.930000000007567</v>
      </c>
      <c r="S32" s="95">
        <v>0</v>
      </c>
      <c r="T32" s="95">
        <v>0</v>
      </c>
      <c r="U32" s="95">
        <v>320.96999999997206</v>
      </c>
      <c r="V32" s="95">
        <v>10</v>
      </c>
      <c r="W32" s="95">
        <v>58.020000000004075</v>
      </c>
      <c r="X32" s="95">
        <v>128.30999999999767</v>
      </c>
      <c r="Y32" s="95">
        <v>0</v>
      </c>
      <c r="Z32" s="95">
        <v>0</v>
      </c>
      <c r="AA32" s="95">
        <v>0</v>
      </c>
      <c r="AB32" s="95">
        <v>0</v>
      </c>
      <c r="AC32" s="95">
        <v>0</v>
      </c>
      <c r="AD32" s="95">
        <v>0</v>
      </c>
      <c r="AE32" s="256">
        <f t="shared" si="0"/>
        <v>3750.5099999995423</v>
      </c>
      <c r="AG32" s="181">
        <v>45775</v>
      </c>
      <c r="AH32" s="182" t="s">
        <v>192</v>
      </c>
      <c r="AI32" s="258">
        <f t="shared" si="1"/>
        <v>2400.3263999997071</v>
      </c>
      <c r="AK32" s="286">
        <v>1350.1835999998352</v>
      </c>
      <c r="AL32" s="197"/>
    </row>
    <row r="33" spans="2:38" s="15" customFormat="1" ht="38.1" customHeight="1">
      <c r="B33" s="94">
        <v>45776</v>
      </c>
      <c r="C33" s="94" t="s">
        <v>193</v>
      </c>
      <c r="D33" s="95">
        <v>476.81000000000495</v>
      </c>
      <c r="E33" s="95">
        <v>989.1400000006397</v>
      </c>
      <c r="F33" s="95">
        <v>1004.0299999997951</v>
      </c>
      <c r="G33" s="95">
        <v>412.38000000000102</v>
      </c>
      <c r="H33" s="95">
        <v>0.5500000000001819</v>
      </c>
      <c r="I33" s="95">
        <v>78.010000000009313</v>
      </c>
      <c r="J33" s="95">
        <v>0</v>
      </c>
      <c r="K33" s="95">
        <v>231.25000000005821</v>
      </c>
      <c r="L33" s="95">
        <v>507.48999999999796</v>
      </c>
      <c r="M33" s="95">
        <v>181.49000000003434</v>
      </c>
      <c r="N33" s="95">
        <v>1025.7299999999814</v>
      </c>
      <c r="O33" s="95">
        <v>0</v>
      </c>
      <c r="P33" s="95">
        <v>0</v>
      </c>
      <c r="Q33" s="95">
        <v>2.1199999999998909</v>
      </c>
      <c r="R33" s="95">
        <v>359.0399999999936</v>
      </c>
      <c r="S33" s="95">
        <v>0</v>
      </c>
      <c r="T33" s="95">
        <v>73.440000000002328</v>
      </c>
      <c r="U33" s="95">
        <v>359.08500000002095</v>
      </c>
      <c r="V33" s="95">
        <v>0</v>
      </c>
      <c r="W33" s="95">
        <v>48.789999999993597</v>
      </c>
      <c r="X33" s="95">
        <v>128.26000000000204</v>
      </c>
      <c r="Y33" s="95">
        <v>0</v>
      </c>
      <c r="Z33" s="95">
        <v>0</v>
      </c>
      <c r="AA33" s="95">
        <v>0</v>
      </c>
      <c r="AB33" s="95">
        <v>0</v>
      </c>
      <c r="AC33" s="95">
        <v>0</v>
      </c>
      <c r="AD33" s="95">
        <v>0</v>
      </c>
      <c r="AE33" s="256">
        <f t="shared" si="0"/>
        <v>5877.6150000005346</v>
      </c>
      <c r="AG33" s="181">
        <v>45776</v>
      </c>
      <c r="AH33" s="182" t="s">
        <v>193</v>
      </c>
      <c r="AI33" s="258">
        <f t="shared" si="1"/>
        <v>3761.673600000342</v>
      </c>
      <c r="AK33" s="286">
        <v>2115.9414000001925</v>
      </c>
      <c r="AL33" s="197"/>
    </row>
    <row r="34" spans="2:38" s="15" customFormat="1" ht="38.1" customHeight="1">
      <c r="B34" s="94">
        <v>45777</v>
      </c>
      <c r="C34" s="94" t="s">
        <v>194</v>
      </c>
      <c r="D34" s="95">
        <v>2.2399999999979627</v>
      </c>
      <c r="E34" s="95">
        <v>583.74999999925785</v>
      </c>
      <c r="F34" s="95">
        <v>793.86000000033528</v>
      </c>
      <c r="G34" s="95">
        <v>379.65999999999985</v>
      </c>
      <c r="H34" s="95">
        <v>24.199999999999818</v>
      </c>
      <c r="I34" s="95">
        <v>96.57999999995809</v>
      </c>
      <c r="J34" s="95">
        <v>0</v>
      </c>
      <c r="K34" s="95">
        <v>202.01000000000931</v>
      </c>
      <c r="L34" s="95">
        <v>453.16999999999825</v>
      </c>
      <c r="M34" s="95">
        <v>106.08999999999651</v>
      </c>
      <c r="N34" s="95">
        <v>786.30000000004657</v>
      </c>
      <c r="O34" s="95">
        <v>0</v>
      </c>
      <c r="P34" s="95">
        <v>0</v>
      </c>
      <c r="Q34" s="95">
        <v>190.20000000000027</v>
      </c>
      <c r="R34" s="95">
        <v>140.7100000000064</v>
      </c>
      <c r="S34" s="95">
        <v>0</v>
      </c>
      <c r="T34" s="95">
        <v>3.6799999999930151</v>
      </c>
      <c r="U34" s="95">
        <v>299.23499999998603</v>
      </c>
      <c r="V34" s="95">
        <v>2</v>
      </c>
      <c r="W34" s="95">
        <v>37.910000000003492</v>
      </c>
      <c r="X34" s="95">
        <v>81.459999999999127</v>
      </c>
      <c r="Y34" s="95">
        <v>0</v>
      </c>
      <c r="Z34" s="95">
        <v>0</v>
      </c>
      <c r="AA34" s="95">
        <v>0</v>
      </c>
      <c r="AB34" s="95">
        <v>0</v>
      </c>
      <c r="AC34" s="95">
        <v>0</v>
      </c>
      <c r="AD34" s="95">
        <v>0</v>
      </c>
      <c r="AE34" s="256">
        <f t="shared" si="0"/>
        <v>4183.0549999995874</v>
      </c>
      <c r="AG34" s="181">
        <v>45777</v>
      </c>
      <c r="AH34" s="182" t="s">
        <v>194</v>
      </c>
      <c r="AI34" s="258">
        <f t="shared" si="1"/>
        <v>2677.1551999997359</v>
      </c>
      <c r="AK34" s="286">
        <v>1505.8997999998514</v>
      </c>
      <c r="AL34" s="197"/>
    </row>
    <row r="35" spans="2:38" s="15" customFormat="1" ht="38.1" customHeight="1">
      <c r="B35" s="94"/>
      <c r="C35" s="94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256">
        <f t="shared" si="0"/>
        <v>0</v>
      </c>
      <c r="AG35" s="181"/>
      <c r="AH35" s="182"/>
      <c r="AI35" s="258">
        <f t="shared" si="1"/>
        <v>0</v>
      </c>
      <c r="AK35" s="90"/>
      <c r="AL35" s="197"/>
    </row>
    <row r="36" spans="2:38" ht="27" customHeight="1">
      <c r="B36" s="176" t="s">
        <v>7</v>
      </c>
      <c r="C36" s="94"/>
      <c r="D36" s="177">
        <f t="shared" ref="D36:AK36" si="2">SUM(D5:D35)</f>
        <v>6831.9100000000035</v>
      </c>
      <c r="E36" s="177">
        <f t="shared" si="2"/>
        <v>16474.349999999758</v>
      </c>
      <c r="F36" s="177">
        <f t="shared" si="2"/>
        <v>24592.899999999907</v>
      </c>
      <c r="G36" s="177">
        <f t="shared" si="2"/>
        <v>13107.310000000001</v>
      </c>
      <c r="H36" s="177">
        <f t="shared" si="2"/>
        <v>700.13000000000011</v>
      </c>
      <c r="I36" s="177">
        <f t="shared" si="2"/>
        <v>5119.4899999999907</v>
      </c>
      <c r="J36" s="177">
        <f t="shared" si="2"/>
        <v>0</v>
      </c>
      <c r="K36" s="177">
        <f t="shared" si="2"/>
        <v>5831.3400000000256</v>
      </c>
      <c r="L36" s="177">
        <f t="shared" si="2"/>
        <v>10992.309999999998</v>
      </c>
      <c r="M36" s="177">
        <f t="shared" si="2"/>
        <v>10533.220000000132</v>
      </c>
      <c r="N36" s="177">
        <f t="shared" si="2"/>
        <v>19720</v>
      </c>
      <c r="O36" s="177">
        <f t="shared" si="2"/>
        <v>0</v>
      </c>
      <c r="P36" s="177">
        <f t="shared" si="2"/>
        <v>0</v>
      </c>
      <c r="Q36" s="177">
        <f t="shared" si="2"/>
        <v>4542.4099999999962</v>
      </c>
      <c r="R36" s="177">
        <f t="shared" si="2"/>
        <v>4462.8899999999994</v>
      </c>
      <c r="S36" s="177">
        <f t="shared" si="2"/>
        <v>133.69999999998254</v>
      </c>
      <c r="T36" s="177">
        <f t="shared" si="2"/>
        <v>826.51000000000931</v>
      </c>
      <c r="U36" s="177">
        <f t="shared" si="2"/>
        <v>9127.1550000000279</v>
      </c>
      <c r="V36" s="177">
        <f t="shared" si="2"/>
        <v>143</v>
      </c>
      <c r="W36" s="177">
        <f t="shared" si="2"/>
        <v>1158.4300000000076</v>
      </c>
      <c r="X36" s="177">
        <f t="shared" si="2"/>
        <v>3896.8899999999994</v>
      </c>
      <c r="Y36" s="177">
        <f t="shared" si="2"/>
        <v>0</v>
      </c>
      <c r="Z36" s="177">
        <f t="shared" si="2"/>
        <v>0</v>
      </c>
      <c r="AA36" s="177">
        <f t="shared" si="2"/>
        <v>0</v>
      </c>
      <c r="AB36" s="177">
        <f t="shared" si="2"/>
        <v>2513.96</v>
      </c>
      <c r="AC36" s="177">
        <f t="shared" si="2"/>
        <v>30.549999999999272</v>
      </c>
      <c r="AD36" s="177">
        <f t="shared" si="2"/>
        <v>0</v>
      </c>
      <c r="AE36" s="178">
        <f>SUM(AE5:AE35)</f>
        <v>140738.45499999984</v>
      </c>
      <c r="AF36" s="178">
        <f t="shared" si="2"/>
        <v>0</v>
      </c>
      <c r="AG36" s="178"/>
      <c r="AH36" s="178">
        <f t="shared" si="2"/>
        <v>0</v>
      </c>
      <c r="AI36" s="178">
        <f>SUM(AI5:AI35)</f>
        <v>90072.611199999898</v>
      </c>
      <c r="AJ36" s="178">
        <f t="shared" si="2"/>
        <v>0</v>
      </c>
      <c r="AK36" s="178">
        <f t="shared" si="2"/>
        <v>50665.843799999959</v>
      </c>
    </row>
    <row r="37" spans="2:38"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</row>
    <row r="38" spans="2:38">
      <c r="AE38" s="44"/>
      <c r="AI38" s="44"/>
    </row>
    <row r="39" spans="2:38">
      <c r="AD39" s="44">
        <f>28758-AI36</f>
        <v>-61314.611199999898</v>
      </c>
    </row>
    <row r="40" spans="2:38">
      <c r="AE40" s="44"/>
      <c r="AG40" s="44"/>
    </row>
    <row r="41" spans="2:38">
      <c r="AG41" s="44"/>
    </row>
  </sheetData>
  <phoneticPr fontId="91" type="noConversion"/>
  <pageMargins left="0.25" right="0.25" top="0.75" bottom="0.75" header="0.3" footer="0.3"/>
  <pageSetup paperSize="8" scale="5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  <pageSetUpPr fitToPage="1"/>
  </sheetPr>
  <dimension ref="B1:AM421"/>
  <sheetViews>
    <sheetView zoomScale="85" zoomScaleNormal="85" workbookViewId="0">
      <pane xSplit="4" ySplit="6" topLeftCell="E7" activePane="bottomRight" state="frozen"/>
      <selection pane="topRight" activeCell="D1" sqref="D1"/>
      <selection pane="bottomLeft" activeCell="A6" sqref="A6"/>
      <selection pane="bottomRight" activeCell="W38" sqref="W38"/>
    </sheetView>
  </sheetViews>
  <sheetFormatPr defaultRowHeight="15"/>
  <cols>
    <col min="2" max="2" width="2.42578125" customWidth="1"/>
    <col min="3" max="3" width="8.140625" style="73" customWidth="1"/>
    <col min="4" max="4" width="10" style="73" customWidth="1"/>
    <col min="5" max="5" width="11.42578125" style="17" customWidth="1"/>
    <col min="6" max="6" width="8.7109375" style="43" customWidth="1"/>
    <col min="7" max="7" width="12.7109375" style="43" customWidth="1"/>
    <col min="8" max="11" width="10.7109375" style="17" customWidth="1"/>
    <col min="12" max="12" width="12.28515625" style="17" customWidth="1"/>
    <col min="13" max="14" width="10.7109375" style="17" customWidth="1"/>
    <col min="15" max="15" width="10.7109375" customWidth="1"/>
    <col min="16" max="17" width="7.140625" customWidth="1"/>
    <col min="18" max="18" width="9.85546875" customWidth="1"/>
    <col min="19" max="20" width="10.7109375" customWidth="1"/>
    <col min="21" max="21" width="8.7109375" customWidth="1"/>
    <col min="22" max="23" width="10.7109375" customWidth="1"/>
    <col min="24" max="24" width="14" bestFit="1" customWidth="1"/>
    <col min="25" max="25" width="10.7109375" customWidth="1"/>
  </cols>
  <sheetData>
    <row r="1" spans="2:35">
      <c r="F1" s="17"/>
      <c r="G1" s="17"/>
    </row>
    <row r="2" spans="2:35">
      <c r="F2" s="17"/>
      <c r="G2" s="17">
        <f>0.00000133*80</f>
        <v>1.064E-4</v>
      </c>
    </row>
    <row r="3" spans="2:35">
      <c r="F3" s="17"/>
      <c r="G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2:35" ht="21" customHeight="1" thickBot="1">
      <c r="C4" s="298" t="s">
        <v>61</v>
      </c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300"/>
      <c r="Z4" s="11"/>
    </row>
    <row r="5" spans="2:35" ht="21" customHeight="1">
      <c r="C5" s="301" t="s">
        <v>0</v>
      </c>
      <c r="D5" s="237"/>
      <c r="E5" s="303" t="s">
        <v>199</v>
      </c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305"/>
      <c r="R5" s="306"/>
      <c r="S5" s="303" t="s">
        <v>201</v>
      </c>
      <c r="T5" s="304"/>
      <c r="U5" s="304"/>
      <c r="V5" s="304"/>
      <c r="W5" s="305"/>
      <c r="X5" s="306"/>
      <c r="Y5" s="205"/>
      <c r="Z5" s="11"/>
    </row>
    <row r="6" spans="2:35" ht="71.25">
      <c r="C6" s="302"/>
      <c r="D6" s="240" t="s">
        <v>149</v>
      </c>
      <c r="E6" s="209" t="s">
        <v>62</v>
      </c>
      <c r="F6" s="128" t="s">
        <v>113</v>
      </c>
      <c r="G6" s="128" t="s">
        <v>114</v>
      </c>
      <c r="H6" s="128" t="s">
        <v>115</v>
      </c>
      <c r="I6" s="128" t="s">
        <v>63</v>
      </c>
      <c r="J6" s="128" t="s">
        <v>64</v>
      </c>
      <c r="K6" s="128" t="s">
        <v>112</v>
      </c>
      <c r="L6" s="128" t="s">
        <v>206</v>
      </c>
      <c r="M6" s="128" t="s">
        <v>116</v>
      </c>
      <c r="N6" s="128" t="s">
        <v>68</v>
      </c>
      <c r="O6" s="128" t="s">
        <v>69</v>
      </c>
      <c r="P6" s="128" t="s">
        <v>140</v>
      </c>
      <c r="Q6" s="210" t="s">
        <v>141</v>
      </c>
      <c r="R6" s="224" t="s">
        <v>7</v>
      </c>
      <c r="S6" s="209" t="s">
        <v>117</v>
      </c>
      <c r="T6" s="128" t="s">
        <v>65</v>
      </c>
      <c r="U6" s="128" t="s">
        <v>66</v>
      </c>
      <c r="V6" s="128" t="s">
        <v>67</v>
      </c>
      <c r="W6" s="227" t="s">
        <v>130</v>
      </c>
      <c r="X6" s="228" t="s">
        <v>7</v>
      </c>
      <c r="Y6" s="129" t="s">
        <v>7</v>
      </c>
      <c r="Z6" s="221" t="s">
        <v>200</v>
      </c>
    </row>
    <row r="7" spans="2:35" hidden="1">
      <c r="C7" s="58">
        <v>45748</v>
      </c>
      <c r="D7" s="206" t="s">
        <v>193</v>
      </c>
      <c r="E7" s="211">
        <v>232.45000000006985</v>
      </c>
      <c r="F7" s="160">
        <v>222.57999999998719</v>
      </c>
      <c r="G7" s="160">
        <v>209.50000000023283</v>
      </c>
      <c r="H7" s="160">
        <v>144.58000000000175</v>
      </c>
      <c r="I7" s="160">
        <v>86.299999999988358</v>
      </c>
      <c r="J7" s="160">
        <v>251.04999999998836</v>
      </c>
      <c r="K7" s="160">
        <v>44.059999999997672</v>
      </c>
      <c r="L7" s="160">
        <v>58.379999999946449</v>
      </c>
      <c r="M7" s="160">
        <v>239.92999999993481</v>
      </c>
      <c r="N7" s="160">
        <v>89.599999999860302</v>
      </c>
      <c r="O7" s="160">
        <v>143.38000000000466</v>
      </c>
      <c r="P7" s="160">
        <v>9.8599999999860302</v>
      </c>
      <c r="Q7" s="212">
        <v>0</v>
      </c>
      <c r="R7" s="225">
        <f>SUM(E7:Q7)</f>
        <v>1731.6699999999983</v>
      </c>
      <c r="S7" s="211">
        <v>156.1699999999546</v>
      </c>
      <c r="T7" s="160">
        <v>233.51000000003842</v>
      </c>
      <c r="U7" s="160">
        <v>603.64999999944121</v>
      </c>
      <c r="V7" s="160">
        <v>537.18999999978405</v>
      </c>
      <c r="W7" s="243">
        <f>'units overall'!I5</f>
        <v>299.09999999999854</v>
      </c>
      <c r="X7" s="225">
        <f>SUM(S7:W7)</f>
        <v>1829.6199999992168</v>
      </c>
      <c r="Y7" s="218">
        <f>R7+X7</f>
        <v>3561.2899999992151</v>
      </c>
      <c r="Z7" s="20">
        <f>Y7-W7</f>
        <v>3262.1899999992165</v>
      </c>
    </row>
    <row r="8" spans="2:35" hidden="1">
      <c r="C8" s="58">
        <v>45749</v>
      </c>
      <c r="D8" s="206" t="s">
        <v>194</v>
      </c>
      <c r="E8" s="211">
        <v>407.48999999999069</v>
      </c>
      <c r="F8" s="160">
        <v>634.1200000000099</v>
      </c>
      <c r="G8" s="160">
        <v>459.35999999981141</v>
      </c>
      <c r="H8" s="160">
        <v>283.89000000000669</v>
      </c>
      <c r="I8" s="160">
        <v>140.07999999997992</v>
      </c>
      <c r="J8" s="160">
        <v>486.83999999999651</v>
      </c>
      <c r="K8" s="160">
        <v>99.539999999979045</v>
      </c>
      <c r="L8" s="160">
        <v>59.930000000051223</v>
      </c>
      <c r="M8" s="160">
        <v>569.09000000008382</v>
      </c>
      <c r="N8" s="160">
        <v>309.89000000013039</v>
      </c>
      <c r="O8" s="160">
        <v>374.18000000002212</v>
      </c>
      <c r="P8" s="160">
        <v>316.67000000004191</v>
      </c>
      <c r="Q8" s="212">
        <v>0</v>
      </c>
      <c r="R8" s="225">
        <f>SUM(E8:Q8)</f>
        <v>4141.0800000001036</v>
      </c>
      <c r="S8" s="211">
        <v>389.98000000003958</v>
      </c>
      <c r="T8" s="160">
        <v>362.57999999995809</v>
      </c>
      <c r="U8" s="160">
        <v>1260.2900000000373</v>
      </c>
      <c r="V8" s="160">
        <v>1103.8000000003231</v>
      </c>
      <c r="W8" s="243">
        <f>'units overall'!I6</f>
        <v>569.68000000000029</v>
      </c>
      <c r="X8" s="225">
        <f t="shared" ref="X8:X36" si="0">SUM(S8:W8)</f>
        <v>3686.3300000003583</v>
      </c>
      <c r="Y8" s="218">
        <f t="shared" ref="Y8:Y36" si="1">R8+X8</f>
        <v>7827.4100000004619</v>
      </c>
      <c r="Z8" s="20">
        <f t="shared" ref="Z8:Z36" si="2">Y8-W8</f>
        <v>7257.7300000004616</v>
      </c>
    </row>
    <row r="9" spans="2:35" hidden="1">
      <c r="C9" s="58">
        <v>45750</v>
      </c>
      <c r="D9" s="206" t="s">
        <v>195</v>
      </c>
      <c r="E9" s="211">
        <v>495.16999999992549</v>
      </c>
      <c r="F9" s="160">
        <v>582.7899999999936</v>
      </c>
      <c r="G9" s="160">
        <v>599.11000000004424</v>
      </c>
      <c r="H9" s="160">
        <v>449.72000000000116</v>
      </c>
      <c r="I9" s="160">
        <v>129.17000000004191</v>
      </c>
      <c r="J9" s="160">
        <v>493.68999999991502</v>
      </c>
      <c r="K9" s="160">
        <v>487.80999999999767</v>
      </c>
      <c r="L9" s="160">
        <v>73.129999999946449</v>
      </c>
      <c r="M9" s="160">
        <v>643.48999999993248</v>
      </c>
      <c r="N9" s="160">
        <v>368.37999999988824</v>
      </c>
      <c r="O9" s="160">
        <v>596.00999999998021</v>
      </c>
      <c r="P9" s="160">
        <v>333.5</v>
      </c>
      <c r="Q9" s="212">
        <v>0</v>
      </c>
      <c r="R9" s="225">
        <f t="shared" ref="R9:R37" si="3">SUM(E9:Q9)</f>
        <v>5251.9699999996665</v>
      </c>
      <c r="S9" s="211">
        <v>379.09999999994761</v>
      </c>
      <c r="T9" s="160">
        <v>336.0400000000518</v>
      </c>
      <c r="U9" s="160">
        <v>1365.75</v>
      </c>
      <c r="V9" s="160">
        <v>1409.1699999998236</v>
      </c>
      <c r="W9" s="243">
        <f>'units overall'!I7</f>
        <v>696.34999999999854</v>
      </c>
      <c r="X9" s="225">
        <f t="shared" si="0"/>
        <v>4186.4099999998216</v>
      </c>
      <c r="Y9" s="218">
        <f t="shared" si="1"/>
        <v>9438.3799999994881</v>
      </c>
      <c r="Z9" s="20">
        <f t="shared" si="2"/>
        <v>8742.0299999994895</v>
      </c>
    </row>
    <row r="10" spans="2:35" hidden="1">
      <c r="C10" s="58">
        <v>45751</v>
      </c>
      <c r="D10" s="206" t="s">
        <v>196</v>
      </c>
      <c r="E10" s="211">
        <v>441.92000000004191</v>
      </c>
      <c r="F10" s="160">
        <v>621.07000000000698</v>
      </c>
      <c r="G10" s="160">
        <v>621.05999999976484</v>
      </c>
      <c r="H10" s="160">
        <v>565.67999999996391</v>
      </c>
      <c r="I10" s="160">
        <v>152.34999999995125</v>
      </c>
      <c r="J10" s="160">
        <v>475.03000000014435</v>
      </c>
      <c r="K10" s="160">
        <v>894.6699999999837</v>
      </c>
      <c r="L10" s="160">
        <v>132.78000000002794</v>
      </c>
      <c r="M10" s="160">
        <v>583.93999999994412</v>
      </c>
      <c r="N10" s="160">
        <v>489.21999999997206</v>
      </c>
      <c r="O10" s="160">
        <v>615.04000000009546</v>
      </c>
      <c r="P10" s="160">
        <v>314.63000000000466</v>
      </c>
      <c r="Q10" s="212">
        <v>0</v>
      </c>
      <c r="R10" s="225">
        <f t="shared" si="3"/>
        <v>5907.3899999999012</v>
      </c>
      <c r="S10" s="211">
        <v>394.15000000011059</v>
      </c>
      <c r="T10" s="160">
        <v>365.5099999998929</v>
      </c>
      <c r="U10" s="160">
        <v>1551.7800000002608</v>
      </c>
      <c r="V10" s="160">
        <v>1569.4400000002643</v>
      </c>
      <c r="W10" s="243">
        <f>'units overall'!I8</f>
        <v>644.17000000000189</v>
      </c>
      <c r="X10" s="225">
        <f t="shared" si="0"/>
        <v>4525.0500000005304</v>
      </c>
      <c r="Y10" s="218">
        <f t="shared" si="1"/>
        <v>10432.440000000432</v>
      </c>
      <c r="Z10" s="20">
        <f t="shared" si="2"/>
        <v>9788.2700000004297</v>
      </c>
    </row>
    <row r="11" spans="2:35" hidden="1">
      <c r="C11" s="58">
        <v>45752</v>
      </c>
      <c r="D11" s="206" t="s">
        <v>197</v>
      </c>
      <c r="E11" s="211">
        <v>500.67000000004191</v>
      </c>
      <c r="F11" s="160">
        <v>306.38999999999942</v>
      </c>
      <c r="G11" s="160">
        <v>604.67000000033295</v>
      </c>
      <c r="H11" s="160">
        <v>717.64999999999418</v>
      </c>
      <c r="I11" s="160">
        <v>139.41000000000713</v>
      </c>
      <c r="J11" s="160">
        <v>500.87000000005355</v>
      </c>
      <c r="K11" s="160">
        <v>890.14000000001397</v>
      </c>
      <c r="L11" s="160">
        <v>129.38000000000466</v>
      </c>
      <c r="M11" s="160">
        <v>560.00000000023283</v>
      </c>
      <c r="N11" s="160">
        <v>434.67999999993481</v>
      </c>
      <c r="O11" s="160">
        <v>674.72999999992317</v>
      </c>
      <c r="P11" s="160">
        <v>277.56000000005588</v>
      </c>
      <c r="Q11" s="212">
        <v>0</v>
      </c>
      <c r="R11" s="225">
        <f t="shared" si="3"/>
        <v>5736.1500000005944</v>
      </c>
      <c r="S11" s="211">
        <v>388.21999999997206</v>
      </c>
      <c r="T11" s="160">
        <v>383.74000000003434</v>
      </c>
      <c r="U11" s="160">
        <v>1505.2400000002235</v>
      </c>
      <c r="V11" s="160">
        <v>1613.0599999998667</v>
      </c>
      <c r="W11" s="243">
        <f>'units overall'!I9</f>
        <v>658.68000000000029</v>
      </c>
      <c r="X11" s="225">
        <f t="shared" si="0"/>
        <v>4548.9400000000969</v>
      </c>
      <c r="Y11" s="218">
        <f t="shared" si="1"/>
        <v>10285.090000000691</v>
      </c>
      <c r="Z11" s="20">
        <f t="shared" si="2"/>
        <v>9626.4100000006911</v>
      </c>
    </row>
    <row r="12" spans="2:35" s="15" customFormat="1" hidden="1">
      <c r="B12"/>
      <c r="C12" s="183">
        <v>45753</v>
      </c>
      <c r="D12" s="207" t="s">
        <v>198</v>
      </c>
      <c r="E12" s="213">
        <v>226.55999999993946</v>
      </c>
      <c r="F12" s="195">
        <v>461.69000000000233</v>
      </c>
      <c r="G12" s="195">
        <v>116.37999999988824</v>
      </c>
      <c r="H12" s="195">
        <v>115.40000000000873</v>
      </c>
      <c r="I12" s="195">
        <v>26.529999999995198</v>
      </c>
      <c r="J12" s="195">
        <v>189.74999999982538</v>
      </c>
      <c r="K12" s="195">
        <v>18.010000000009313</v>
      </c>
      <c r="L12" s="195">
        <v>35.460000000020955</v>
      </c>
      <c r="M12" s="195">
        <v>339.06999999989057</v>
      </c>
      <c r="N12" s="195">
        <v>212.4800000002142</v>
      </c>
      <c r="O12" s="195">
        <v>192.23000000009779</v>
      </c>
      <c r="P12" s="195">
        <v>227.51999999990221</v>
      </c>
      <c r="Q12" s="214">
        <v>0</v>
      </c>
      <c r="R12" s="226">
        <f t="shared" si="3"/>
        <v>2161.0799999997944</v>
      </c>
      <c r="S12" s="213">
        <v>5.9299999999930151</v>
      </c>
      <c r="T12" s="195">
        <v>84.389999999999418</v>
      </c>
      <c r="U12" s="195">
        <v>90.96999999973923</v>
      </c>
      <c r="V12" s="195">
        <v>79.079999999783468</v>
      </c>
      <c r="W12" s="244">
        <f>'units overall'!I10</f>
        <v>16.590000000000146</v>
      </c>
      <c r="X12" s="226">
        <f t="shared" si="0"/>
        <v>276.95999999951528</v>
      </c>
      <c r="Y12" s="219">
        <f>R12+X12</f>
        <v>2438.0399999993097</v>
      </c>
      <c r="Z12" s="185">
        <f>Y12-W12</f>
        <v>2421.4499999993095</v>
      </c>
      <c r="AA12"/>
      <c r="AB12"/>
      <c r="AC12"/>
      <c r="AD12"/>
      <c r="AE12"/>
      <c r="AF12"/>
      <c r="AG12"/>
      <c r="AH12"/>
      <c r="AI12"/>
    </row>
    <row r="13" spans="2:35" s="15" customFormat="1" hidden="1">
      <c r="B13"/>
      <c r="C13" s="58">
        <v>45754</v>
      </c>
      <c r="D13" s="206" t="s">
        <v>192</v>
      </c>
      <c r="E13" s="211">
        <v>522.94000000006054</v>
      </c>
      <c r="F13" s="160">
        <v>804.19999999999709</v>
      </c>
      <c r="G13" s="160">
        <v>694.56000000017229</v>
      </c>
      <c r="H13" s="160">
        <v>757.70000000002619</v>
      </c>
      <c r="I13" s="160">
        <v>123.73000000003231</v>
      </c>
      <c r="J13" s="160">
        <v>499.94000000003143</v>
      </c>
      <c r="K13" s="160">
        <v>504.27999999996973</v>
      </c>
      <c r="L13" s="160">
        <v>119.75</v>
      </c>
      <c r="M13" s="160">
        <v>606.40000000025611</v>
      </c>
      <c r="N13" s="160">
        <v>423.03999999980442</v>
      </c>
      <c r="O13" s="160">
        <v>861.29999999995925</v>
      </c>
      <c r="P13" s="160">
        <v>291.14000000001397</v>
      </c>
      <c r="Q13" s="212">
        <v>0</v>
      </c>
      <c r="R13" s="225">
        <f t="shared" si="3"/>
        <v>6208.9800000003233</v>
      </c>
      <c r="S13" s="211">
        <v>314.30999999993946</v>
      </c>
      <c r="T13" s="160">
        <v>402.49000000006345</v>
      </c>
      <c r="U13" s="160">
        <v>1579.6299999998882</v>
      </c>
      <c r="V13" s="160">
        <v>1607.9399999999732</v>
      </c>
      <c r="W13" s="243">
        <f>'units overall'!I11</f>
        <v>682.57999999999811</v>
      </c>
      <c r="X13" s="225">
        <f t="shared" si="0"/>
        <v>4586.9499999998625</v>
      </c>
      <c r="Y13" s="218">
        <f t="shared" si="1"/>
        <v>10795.930000000186</v>
      </c>
      <c r="Z13" s="20">
        <f t="shared" si="2"/>
        <v>10113.350000000188</v>
      </c>
      <c r="AA13"/>
      <c r="AB13"/>
      <c r="AC13"/>
      <c r="AD13"/>
      <c r="AE13"/>
      <c r="AF13"/>
      <c r="AG13"/>
      <c r="AH13"/>
      <c r="AI13"/>
    </row>
    <row r="14" spans="2:35" s="15" customFormat="1" hidden="1">
      <c r="B14"/>
      <c r="C14" s="58">
        <v>45755</v>
      </c>
      <c r="D14" s="206" t="s">
        <v>193</v>
      </c>
      <c r="E14" s="211">
        <v>483.96999999997206</v>
      </c>
      <c r="F14" s="160">
        <v>718.97999999999593</v>
      </c>
      <c r="G14" s="160">
        <v>715.1999999997206</v>
      </c>
      <c r="H14" s="160">
        <v>707.54999999995925</v>
      </c>
      <c r="I14" s="160">
        <v>129.11999999998443</v>
      </c>
      <c r="J14" s="160">
        <v>411.09000000008382</v>
      </c>
      <c r="K14" s="160">
        <v>371.42000000004191</v>
      </c>
      <c r="L14" s="160">
        <v>142.09999999997672</v>
      </c>
      <c r="M14" s="160">
        <v>642.43999999994412</v>
      </c>
      <c r="N14" s="160">
        <v>408.07000000006519</v>
      </c>
      <c r="O14" s="160">
        <v>676.88000000000466</v>
      </c>
      <c r="P14" s="160">
        <v>349.76000000000931</v>
      </c>
      <c r="Q14" s="212">
        <v>0</v>
      </c>
      <c r="R14" s="225">
        <f t="shared" si="3"/>
        <v>5756.579999999758</v>
      </c>
      <c r="S14" s="211">
        <v>409.47000000003027</v>
      </c>
      <c r="T14" s="160">
        <v>399.34999999997672</v>
      </c>
      <c r="U14" s="160">
        <v>1510.9300000006333</v>
      </c>
      <c r="V14" s="160">
        <v>1632.3800000002084</v>
      </c>
      <c r="W14" s="243">
        <f>'units overall'!I12</f>
        <v>663.38000000000102</v>
      </c>
      <c r="X14" s="225">
        <f t="shared" si="0"/>
        <v>4615.5100000008497</v>
      </c>
      <c r="Y14" s="218">
        <f t="shared" si="1"/>
        <v>10372.090000000608</v>
      </c>
      <c r="Z14" s="20">
        <f t="shared" si="2"/>
        <v>9708.7100000006067</v>
      </c>
      <c r="AA14"/>
      <c r="AB14"/>
      <c r="AC14"/>
      <c r="AD14"/>
      <c r="AE14"/>
      <c r="AF14"/>
      <c r="AG14"/>
      <c r="AH14"/>
      <c r="AI14"/>
    </row>
    <row r="15" spans="2:35" s="15" customFormat="1" hidden="1">
      <c r="B15"/>
      <c r="C15" s="58">
        <v>45756</v>
      </c>
      <c r="D15" s="206" t="s">
        <v>194</v>
      </c>
      <c r="E15" s="211">
        <v>548.79999999993015</v>
      </c>
      <c r="F15" s="160">
        <v>732.83999999999651</v>
      </c>
      <c r="G15" s="160">
        <v>611.17000000027474</v>
      </c>
      <c r="H15" s="160">
        <v>731.14000000001397</v>
      </c>
      <c r="I15" s="160">
        <v>117.93999999998414</v>
      </c>
      <c r="J15" s="160">
        <v>464.97999999983585</v>
      </c>
      <c r="K15" s="160">
        <v>587.0899999999674</v>
      </c>
      <c r="L15" s="160">
        <v>144.05999999999767</v>
      </c>
      <c r="M15" s="160">
        <v>620.91999999986729</v>
      </c>
      <c r="N15" s="160">
        <v>473.20999999996275</v>
      </c>
      <c r="O15" s="160">
        <v>588.81999999997788</v>
      </c>
      <c r="P15" s="160">
        <v>356.34999999997672</v>
      </c>
      <c r="Q15" s="212">
        <v>0</v>
      </c>
      <c r="R15" s="225">
        <f t="shared" si="3"/>
        <v>5977.3199999997851</v>
      </c>
      <c r="S15" s="211">
        <v>400.45999999999185</v>
      </c>
      <c r="T15" s="160">
        <v>419.19999999999709</v>
      </c>
      <c r="U15" s="160">
        <v>1580.8099999995902</v>
      </c>
      <c r="V15" s="160">
        <v>1685.1799999998329</v>
      </c>
      <c r="W15" s="243">
        <f>'units overall'!I13</f>
        <v>653.41999999999825</v>
      </c>
      <c r="X15" s="225">
        <f t="shared" si="0"/>
        <v>4739.0699999994104</v>
      </c>
      <c r="Y15" s="218">
        <f t="shared" si="1"/>
        <v>10716.389999999195</v>
      </c>
      <c r="Z15" s="20">
        <f t="shared" si="2"/>
        <v>10062.969999999197</v>
      </c>
      <c r="AA15"/>
      <c r="AB15"/>
      <c r="AC15"/>
      <c r="AD15"/>
      <c r="AE15"/>
      <c r="AF15"/>
      <c r="AG15"/>
      <c r="AH15"/>
      <c r="AI15"/>
    </row>
    <row r="16" spans="2:35" hidden="1">
      <c r="C16" s="58">
        <v>45757</v>
      </c>
      <c r="D16" s="206" t="s">
        <v>195</v>
      </c>
      <c r="E16" s="211">
        <v>502.72000000008848</v>
      </c>
      <c r="F16" s="160">
        <v>725.95000000001164</v>
      </c>
      <c r="G16" s="160">
        <v>654.74999999970896</v>
      </c>
      <c r="H16" s="160">
        <v>712.15000000002328</v>
      </c>
      <c r="I16" s="160">
        <v>122.03000000004249</v>
      </c>
      <c r="J16" s="160">
        <v>525.04000000018277</v>
      </c>
      <c r="K16" s="160">
        <v>485.84000000002561</v>
      </c>
      <c r="L16" s="160">
        <v>137.15999999997439</v>
      </c>
      <c r="M16" s="160">
        <v>621.96000000025379</v>
      </c>
      <c r="N16" s="160">
        <v>494.85000000009313</v>
      </c>
      <c r="O16" s="160">
        <v>780.00999999998021</v>
      </c>
      <c r="P16" s="160">
        <v>349.76000000000931</v>
      </c>
      <c r="Q16" s="212">
        <v>0</v>
      </c>
      <c r="R16" s="225">
        <f t="shared" si="3"/>
        <v>6112.2200000003941</v>
      </c>
      <c r="S16" s="211">
        <v>396.25999999998021</v>
      </c>
      <c r="T16" s="160">
        <v>385.62000000002445</v>
      </c>
      <c r="U16" s="160">
        <v>1637.2000000001863</v>
      </c>
      <c r="V16" s="160">
        <v>1732.1699999998964</v>
      </c>
      <c r="W16" s="243">
        <f>'units overall'!I14</f>
        <v>722.13000000000102</v>
      </c>
      <c r="X16" s="225">
        <f t="shared" si="0"/>
        <v>4873.3800000000883</v>
      </c>
      <c r="Y16" s="218">
        <f t="shared" si="1"/>
        <v>10985.600000000482</v>
      </c>
      <c r="Z16" s="20">
        <f>Y16-W16</f>
        <v>10263.470000000481</v>
      </c>
    </row>
    <row r="17" spans="2:35" s="15" customFormat="1" hidden="1">
      <c r="C17" s="58">
        <v>45758</v>
      </c>
      <c r="D17" s="206" t="s">
        <v>196</v>
      </c>
      <c r="E17" s="211">
        <v>421.76000000000931</v>
      </c>
      <c r="F17" s="160">
        <v>723.19999999999709</v>
      </c>
      <c r="G17" s="160">
        <v>742.25000000017462</v>
      </c>
      <c r="H17" s="160">
        <v>747.39999999996508</v>
      </c>
      <c r="I17" s="160">
        <v>119.33000000000175</v>
      </c>
      <c r="J17" s="160">
        <v>475.52999999988242</v>
      </c>
      <c r="K17" s="160">
        <v>543.39999999996508</v>
      </c>
      <c r="L17" s="160">
        <v>83.370000000053551</v>
      </c>
      <c r="M17" s="160">
        <v>609.68999999959487</v>
      </c>
      <c r="N17" s="160">
        <v>428.80000000004657</v>
      </c>
      <c r="O17" s="160">
        <v>798.35000000006403</v>
      </c>
      <c r="P17" s="160">
        <v>339.71000000007916</v>
      </c>
      <c r="Q17" s="212">
        <v>0</v>
      </c>
      <c r="R17" s="225">
        <f t="shared" si="3"/>
        <v>6032.7899999998335</v>
      </c>
      <c r="S17" s="211">
        <v>394.81000000005588</v>
      </c>
      <c r="T17" s="160">
        <v>329.37999999994645</v>
      </c>
      <c r="U17" s="160">
        <v>1618.7900000000373</v>
      </c>
      <c r="V17" s="160">
        <v>1648.3300000004092</v>
      </c>
      <c r="W17" s="243">
        <f>'units overall'!I15</f>
        <v>680.20999999999913</v>
      </c>
      <c r="X17" s="225">
        <f t="shared" si="0"/>
        <v>4671.5200000004479</v>
      </c>
      <c r="Y17" s="218">
        <f t="shared" si="1"/>
        <v>10704.310000000281</v>
      </c>
      <c r="Z17" s="20">
        <f t="shared" si="2"/>
        <v>10024.100000000282</v>
      </c>
      <c r="AA17" s="45"/>
    </row>
    <row r="18" spans="2:35" s="15" customFormat="1" hidden="1">
      <c r="B18"/>
      <c r="C18" s="58">
        <v>45759</v>
      </c>
      <c r="D18" s="206" t="s">
        <v>197</v>
      </c>
      <c r="E18" s="211">
        <v>457.46999999997206</v>
      </c>
      <c r="F18" s="160">
        <v>388.66999999999825</v>
      </c>
      <c r="G18" s="160">
        <v>681.62999999983003</v>
      </c>
      <c r="H18" s="160">
        <v>675.0400000000227</v>
      </c>
      <c r="I18" s="160">
        <v>107.05999999996493</v>
      </c>
      <c r="J18" s="160">
        <v>371.90000000011059</v>
      </c>
      <c r="K18" s="160">
        <v>580.42000000004191</v>
      </c>
      <c r="L18" s="160">
        <v>135.77999999996973</v>
      </c>
      <c r="M18" s="160">
        <v>468.79999999998836</v>
      </c>
      <c r="N18" s="160">
        <v>388.86999999987893</v>
      </c>
      <c r="O18" s="160">
        <v>734.9199999999546</v>
      </c>
      <c r="P18" s="160">
        <v>209.66999999992549</v>
      </c>
      <c r="Q18" s="212">
        <v>0</v>
      </c>
      <c r="R18" s="225">
        <f t="shared" si="3"/>
        <v>5200.2299999996576</v>
      </c>
      <c r="S18" s="211">
        <v>210.53000000002794</v>
      </c>
      <c r="T18" s="160">
        <v>396.98999999997613</v>
      </c>
      <c r="U18" s="160">
        <v>1558.2000000001863</v>
      </c>
      <c r="V18" s="160">
        <v>1442.3299999998417</v>
      </c>
      <c r="W18" s="243">
        <f>'units overall'!I16</f>
        <v>626.85000000000218</v>
      </c>
      <c r="X18" s="225">
        <f t="shared" si="0"/>
        <v>4234.9000000000342</v>
      </c>
      <c r="Y18" s="218">
        <f t="shared" si="1"/>
        <v>9435.1299999996918</v>
      </c>
      <c r="Z18" s="20">
        <f t="shared" si="2"/>
        <v>8808.2799999996896</v>
      </c>
      <c r="AA18" s="44"/>
      <c r="AB18"/>
      <c r="AC18"/>
      <c r="AD18"/>
      <c r="AE18"/>
      <c r="AF18"/>
      <c r="AG18"/>
      <c r="AH18"/>
      <c r="AI18"/>
    </row>
    <row r="19" spans="2:35" s="15" customFormat="1" hidden="1">
      <c r="B19"/>
      <c r="C19" s="183">
        <v>45760</v>
      </c>
      <c r="D19" s="207" t="s">
        <v>198</v>
      </c>
      <c r="E19" s="213">
        <v>139.52000000001863</v>
      </c>
      <c r="F19" s="195">
        <v>269.25999999999476</v>
      </c>
      <c r="G19" s="195">
        <v>43.460000000195578</v>
      </c>
      <c r="H19" s="195">
        <v>101.24000000001979</v>
      </c>
      <c r="I19" s="195">
        <v>19.64000000001397</v>
      </c>
      <c r="J19" s="195">
        <v>197.59999999997672</v>
      </c>
      <c r="K19" s="195">
        <v>6.4799999999813735</v>
      </c>
      <c r="L19" s="195">
        <v>83.630000000004657</v>
      </c>
      <c r="M19" s="195">
        <v>251.90000000031432</v>
      </c>
      <c r="N19" s="195">
        <v>17.790000000037253</v>
      </c>
      <c r="O19" s="195">
        <v>211.99999999994179</v>
      </c>
      <c r="P19" s="195">
        <v>123.45000000006985</v>
      </c>
      <c r="Q19" s="214">
        <v>0</v>
      </c>
      <c r="R19" s="226">
        <f t="shared" si="3"/>
        <v>1465.9700000005687</v>
      </c>
      <c r="S19" s="213">
        <v>1.9100000000034925</v>
      </c>
      <c r="T19" s="195">
        <v>67.409999999988941</v>
      </c>
      <c r="U19" s="195">
        <v>137.72999999951571</v>
      </c>
      <c r="V19" s="195">
        <v>86.819999999919673</v>
      </c>
      <c r="W19" s="244">
        <f>'units overall'!I17</f>
        <v>50.430000000000291</v>
      </c>
      <c r="X19" s="226">
        <f t="shared" si="0"/>
        <v>344.29999999942811</v>
      </c>
      <c r="Y19" s="219">
        <f t="shared" si="1"/>
        <v>1810.2699999999968</v>
      </c>
      <c r="Z19" s="185">
        <f t="shared" si="2"/>
        <v>1759.8399999999965</v>
      </c>
      <c r="AA19" s="44"/>
      <c r="AB19"/>
      <c r="AC19"/>
      <c r="AD19"/>
      <c r="AE19"/>
      <c r="AF19"/>
      <c r="AG19"/>
      <c r="AH19"/>
      <c r="AI19"/>
    </row>
    <row r="20" spans="2:35" hidden="1">
      <c r="C20" s="58">
        <v>45761</v>
      </c>
      <c r="D20" s="206" t="s">
        <v>192</v>
      </c>
      <c r="E20" s="211">
        <v>60.229999999981374</v>
      </c>
      <c r="F20" s="160">
        <v>289</v>
      </c>
      <c r="G20" s="160">
        <v>10.349999999860302</v>
      </c>
      <c r="H20" s="160">
        <v>14.910000000003492</v>
      </c>
      <c r="I20" s="160">
        <v>0.28999999997904524</v>
      </c>
      <c r="J20" s="160">
        <v>110.49000000004889</v>
      </c>
      <c r="K20" s="160">
        <v>4.7299999999813735</v>
      </c>
      <c r="L20" s="160">
        <v>108.55999999999767</v>
      </c>
      <c r="M20" s="160">
        <v>8.4800000000977889</v>
      </c>
      <c r="N20" s="160">
        <v>3.840000000083819</v>
      </c>
      <c r="O20" s="160">
        <v>28.14000000001397</v>
      </c>
      <c r="P20" s="160">
        <v>2.309999999939464</v>
      </c>
      <c r="Q20" s="212">
        <v>0</v>
      </c>
      <c r="R20" s="225">
        <f t="shared" si="3"/>
        <v>641.32999999998719</v>
      </c>
      <c r="S20" s="211">
        <v>2.3200000000069849</v>
      </c>
      <c r="T20" s="160">
        <v>59.129999999990105</v>
      </c>
      <c r="U20" s="160">
        <v>91.139999999664724</v>
      </c>
      <c r="V20" s="160">
        <v>71.389999999737483</v>
      </c>
      <c r="W20" s="243">
        <f>'units overall'!I18</f>
        <v>39.610000000000582</v>
      </c>
      <c r="X20" s="225">
        <f t="shared" si="0"/>
        <v>263.58999999939988</v>
      </c>
      <c r="Y20" s="218">
        <f t="shared" si="1"/>
        <v>904.91999999938707</v>
      </c>
      <c r="Z20" s="20">
        <f t="shared" si="2"/>
        <v>865.30999999938649</v>
      </c>
    </row>
    <row r="21" spans="2:35" hidden="1">
      <c r="C21" s="58">
        <v>45762</v>
      </c>
      <c r="D21" s="206" t="s">
        <v>193</v>
      </c>
      <c r="E21" s="211">
        <v>535.41999999992549</v>
      </c>
      <c r="F21" s="160">
        <v>657.02999999999884</v>
      </c>
      <c r="G21" s="160">
        <v>638.65999999985797</v>
      </c>
      <c r="H21" s="160">
        <v>556.61999999996624</v>
      </c>
      <c r="I21" s="160">
        <v>110.60000000002765</v>
      </c>
      <c r="J21" s="160">
        <v>439.19999999983702</v>
      </c>
      <c r="K21" s="160">
        <v>706.01000000000931</v>
      </c>
      <c r="L21" s="160">
        <v>192.44000000000233</v>
      </c>
      <c r="M21" s="160">
        <v>497.05999999988126</v>
      </c>
      <c r="N21" s="160">
        <v>349.81999999983236</v>
      </c>
      <c r="O21" s="160">
        <v>692.48000000009779</v>
      </c>
      <c r="P21" s="160">
        <v>223.93000000005122</v>
      </c>
      <c r="Q21" s="222">
        <v>0</v>
      </c>
      <c r="R21" s="225">
        <f t="shared" si="3"/>
        <v>5599.2699999994875</v>
      </c>
      <c r="S21" s="211">
        <v>496.69999999998254</v>
      </c>
      <c r="T21" s="160">
        <v>281.37000000002445</v>
      </c>
      <c r="U21" s="160">
        <v>1534.25</v>
      </c>
      <c r="V21" s="160">
        <v>1399.4500000003027</v>
      </c>
      <c r="W21" s="243">
        <f>'units overall'!I19</f>
        <v>818.18999999999869</v>
      </c>
      <c r="X21" s="225">
        <f t="shared" si="0"/>
        <v>4529.9600000003084</v>
      </c>
      <c r="Y21" s="218">
        <f t="shared" si="1"/>
        <v>10129.229999999796</v>
      </c>
      <c r="Z21" s="20">
        <f t="shared" si="2"/>
        <v>9311.0399999997971</v>
      </c>
    </row>
    <row r="22" spans="2:35" hidden="1">
      <c r="C22" s="58">
        <v>45763</v>
      </c>
      <c r="D22" s="206" t="s">
        <v>194</v>
      </c>
      <c r="E22" s="211">
        <v>505.6600000000326</v>
      </c>
      <c r="F22" s="160">
        <v>625.57000000000698</v>
      </c>
      <c r="G22" s="160">
        <v>657.480000000156</v>
      </c>
      <c r="H22" s="160">
        <v>716.8700000000099</v>
      </c>
      <c r="I22" s="160">
        <v>117.97999999998865</v>
      </c>
      <c r="J22" s="160">
        <v>437.56999999989057</v>
      </c>
      <c r="K22" s="160">
        <v>633.14000000001397</v>
      </c>
      <c r="L22" s="160">
        <v>160.21999999997206</v>
      </c>
      <c r="M22" s="160">
        <v>518.269999999844</v>
      </c>
      <c r="N22" s="160">
        <v>404.35000000009313</v>
      </c>
      <c r="O22" s="160">
        <v>679.76999999996042</v>
      </c>
      <c r="P22" s="160">
        <v>337.85999999998603</v>
      </c>
      <c r="Q22" s="222">
        <v>0</v>
      </c>
      <c r="R22" s="225">
        <f t="shared" si="3"/>
        <v>5794.7399999999543</v>
      </c>
      <c r="S22" s="211">
        <v>451.01999999993131</v>
      </c>
      <c r="T22" s="160">
        <v>391.52000000006228</v>
      </c>
      <c r="U22" s="160">
        <v>1397.25</v>
      </c>
      <c r="V22" s="160">
        <v>1477.8999999999796</v>
      </c>
      <c r="W22" s="243">
        <f>'units overall'!I20</f>
        <v>694.34000000000015</v>
      </c>
      <c r="X22" s="225">
        <f t="shared" si="0"/>
        <v>4412.0299999999734</v>
      </c>
      <c r="Y22" s="218">
        <f t="shared" si="1"/>
        <v>10206.769999999928</v>
      </c>
      <c r="Z22" s="20">
        <f t="shared" si="2"/>
        <v>9512.4299999999275</v>
      </c>
    </row>
    <row r="23" spans="2:35" hidden="1">
      <c r="C23" s="58">
        <v>45764</v>
      </c>
      <c r="D23" s="206" t="s">
        <v>195</v>
      </c>
      <c r="E23" s="211">
        <v>577.21999999997206</v>
      </c>
      <c r="F23" s="160">
        <v>652.86000000000058</v>
      </c>
      <c r="G23" s="160">
        <v>663.8000000002794</v>
      </c>
      <c r="H23" s="160">
        <v>693.82999999998719</v>
      </c>
      <c r="I23" s="160">
        <v>133.2400000000016</v>
      </c>
      <c r="J23" s="160">
        <v>397.07000000021071</v>
      </c>
      <c r="K23" s="160">
        <v>888.59999999997672</v>
      </c>
      <c r="L23" s="160">
        <v>192.62000000005355</v>
      </c>
      <c r="M23" s="160">
        <v>611.72000000020489</v>
      </c>
      <c r="N23" s="160">
        <v>386.31000000005588</v>
      </c>
      <c r="O23" s="160">
        <v>701.87999999997555</v>
      </c>
      <c r="P23" s="160">
        <v>331.96999999997206</v>
      </c>
      <c r="Q23" s="222">
        <v>0</v>
      </c>
      <c r="R23" s="225">
        <f t="shared" si="3"/>
        <v>6231.1200000006902</v>
      </c>
      <c r="S23" s="211">
        <v>447.60000000000582</v>
      </c>
      <c r="T23" s="160">
        <v>369.91000000000349</v>
      </c>
      <c r="U23" s="160">
        <v>1642.5200000004843</v>
      </c>
      <c r="V23" s="160">
        <v>1459.9400000000751</v>
      </c>
      <c r="W23" s="243">
        <f>'units overall'!I21</f>
        <v>700.91999999999825</v>
      </c>
      <c r="X23" s="225">
        <f t="shared" si="0"/>
        <v>4620.8900000005669</v>
      </c>
      <c r="Y23" s="218">
        <f t="shared" si="1"/>
        <v>10852.010000001257</v>
      </c>
      <c r="Z23" s="20">
        <f t="shared" si="2"/>
        <v>10151.090000001259</v>
      </c>
    </row>
    <row r="24" spans="2:35" hidden="1">
      <c r="C24" s="58">
        <v>45765</v>
      </c>
      <c r="D24" s="206" t="s">
        <v>196</v>
      </c>
      <c r="E24" s="211">
        <v>557.70000000006985</v>
      </c>
      <c r="F24" s="160">
        <v>690.33999999999651</v>
      </c>
      <c r="G24" s="160">
        <v>680.56999999994878</v>
      </c>
      <c r="H24" s="160">
        <v>708.13000000003376</v>
      </c>
      <c r="I24" s="160">
        <v>118.29000000002998</v>
      </c>
      <c r="J24" s="160">
        <v>456.16999999992549</v>
      </c>
      <c r="K24" s="160">
        <v>732.30999999999767</v>
      </c>
      <c r="L24" s="160">
        <v>192.27999999996973</v>
      </c>
      <c r="M24" s="160">
        <v>627.86999999982072</v>
      </c>
      <c r="N24" s="160">
        <v>429.68999999994412</v>
      </c>
      <c r="O24" s="160">
        <v>716.84999999997672</v>
      </c>
      <c r="P24" s="160">
        <v>356.93000000005122</v>
      </c>
      <c r="Q24" s="222">
        <v>0</v>
      </c>
      <c r="R24" s="225">
        <f t="shared" si="3"/>
        <v>6267.1299999997646</v>
      </c>
      <c r="S24" s="211">
        <v>465.14000000001397</v>
      </c>
      <c r="T24" s="160">
        <v>406.49999999998545</v>
      </c>
      <c r="U24" s="160">
        <v>1610.3600000003353</v>
      </c>
      <c r="V24" s="160">
        <v>1406.1100000001752</v>
      </c>
      <c r="W24" s="243">
        <f>'units overall'!I22</f>
        <v>901.19000000000233</v>
      </c>
      <c r="X24" s="225">
        <f t="shared" si="0"/>
        <v>4789.3000000005122</v>
      </c>
      <c r="Y24" s="218">
        <f t="shared" si="1"/>
        <v>11056.430000000277</v>
      </c>
      <c r="Z24" s="20">
        <f t="shared" si="2"/>
        <v>10155.240000000274</v>
      </c>
    </row>
    <row r="25" spans="2:35" hidden="1">
      <c r="C25" s="58">
        <v>45766</v>
      </c>
      <c r="D25" s="206" t="s">
        <v>197</v>
      </c>
      <c r="E25" s="211">
        <v>589.63000000000466</v>
      </c>
      <c r="F25" s="160">
        <v>503.36999999999534</v>
      </c>
      <c r="G25" s="278">
        <v>674.85999999986961</v>
      </c>
      <c r="H25" s="160">
        <v>662.94999999998254</v>
      </c>
      <c r="I25" s="160">
        <v>122.38999999994849</v>
      </c>
      <c r="J25" s="160">
        <v>426.22000000005937</v>
      </c>
      <c r="K25" s="160">
        <v>525.27000000001863</v>
      </c>
      <c r="L25" s="160">
        <v>177.32000000000698</v>
      </c>
      <c r="M25" s="160">
        <v>596.53999999980442</v>
      </c>
      <c r="N25" s="160">
        <v>456.58000000007451</v>
      </c>
      <c r="O25" s="160">
        <v>710.76999999998952</v>
      </c>
      <c r="P25" s="160">
        <v>376.56999999994878</v>
      </c>
      <c r="Q25" s="222">
        <v>0</v>
      </c>
      <c r="R25" s="225">
        <f t="shared" si="3"/>
        <v>5822.4699999997028</v>
      </c>
      <c r="S25" s="211">
        <v>465.87999999997555</v>
      </c>
      <c r="T25" s="160">
        <v>395.84000000002561</v>
      </c>
      <c r="U25" s="160">
        <v>1586.6999999992549</v>
      </c>
      <c r="V25" s="160">
        <v>1438.4499999997934</v>
      </c>
      <c r="W25" s="243">
        <f>'units overall'!I23</f>
        <v>666.46999999999753</v>
      </c>
      <c r="X25" s="225">
        <f t="shared" si="0"/>
        <v>4553.339999999047</v>
      </c>
      <c r="Y25" s="218">
        <f t="shared" si="1"/>
        <v>10375.80999999875</v>
      </c>
      <c r="Z25" s="20">
        <f t="shared" si="2"/>
        <v>9709.3399999987523</v>
      </c>
    </row>
    <row r="26" spans="2:35" s="15" customFormat="1" hidden="1">
      <c r="C26" s="183">
        <v>45767</v>
      </c>
      <c r="D26" s="207" t="s">
        <v>198</v>
      </c>
      <c r="E26" s="213">
        <v>249.3399999999674</v>
      </c>
      <c r="F26" s="195">
        <v>520.23000000001048</v>
      </c>
      <c r="G26" s="195">
        <v>30.809999999939464</v>
      </c>
      <c r="H26" s="195">
        <v>175.15999999997439</v>
      </c>
      <c r="I26" s="195">
        <v>28.460000000046421</v>
      </c>
      <c r="J26" s="195">
        <v>197.76000000000931</v>
      </c>
      <c r="K26" s="195">
        <v>38.229999999981374</v>
      </c>
      <c r="L26" s="195">
        <v>68.589999999967404</v>
      </c>
      <c r="M26" s="195">
        <v>299.3900000002468</v>
      </c>
      <c r="N26" s="195">
        <v>52.099999999860302</v>
      </c>
      <c r="O26" s="195">
        <v>201.83000000007451</v>
      </c>
      <c r="P26" s="195">
        <v>135.30000000004657</v>
      </c>
      <c r="Q26" s="223">
        <v>0</v>
      </c>
      <c r="R26" s="226">
        <f t="shared" si="3"/>
        <v>1997.2000000001244</v>
      </c>
      <c r="S26" s="213">
        <v>16.630000000091968</v>
      </c>
      <c r="T26" s="195">
        <v>48.049999999901047</v>
      </c>
      <c r="U26" s="195">
        <v>146.95000000018626</v>
      </c>
      <c r="V26" s="195">
        <v>43.500000000130967</v>
      </c>
      <c r="W26" s="244">
        <f>'units overall'!I24</f>
        <v>17.05000000000291</v>
      </c>
      <c r="X26" s="226">
        <f t="shared" si="0"/>
        <v>272.18000000031316</v>
      </c>
      <c r="Y26" s="219">
        <f t="shared" si="1"/>
        <v>2269.3800000004376</v>
      </c>
      <c r="Z26" s="185">
        <f t="shared" si="2"/>
        <v>2252.3300000004347</v>
      </c>
    </row>
    <row r="27" spans="2:35" hidden="1">
      <c r="C27" s="58">
        <v>45768</v>
      </c>
      <c r="D27" s="206" t="s">
        <v>192</v>
      </c>
      <c r="E27" s="211">
        <v>561.79000000003725</v>
      </c>
      <c r="F27" s="160">
        <v>783.1299999999901</v>
      </c>
      <c r="G27" s="160">
        <v>702.58999999985099</v>
      </c>
      <c r="H27" s="160">
        <v>652.2000000000553</v>
      </c>
      <c r="I27" s="160">
        <v>156.19999999997162</v>
      </c>
      <c r="J27" s="160">
        <v>530.90000000002328</v>
      </c>
      <c r="K27" s="160">
        <v>543.49000000004889</v>
      </c>
      <c r="L27" s="160">
        <v>111.5</v>
      </c>
      <c r="M27" s="160">
        <v>638.58999999985099</v>
      </c>
      <c r="N27" s="160">
        <v>460.41000000014901</v>
      </c>
      <c r="O27" s="160">
        <v>711.20999999996275</v>
      </c>
      <c r="P27" s="160">
        <v>448.77000000001863</v>
      </c>
      <c r="Q27" s="222">
        <v>0</v>
      </c>
      <c r="R27" s="225">
        <f t="shared" si="3"/>
        <v>6300.7799999999588</v>
      </c>
      <c r="S27" s="211">
        <v>528.84999999997672</v>
      </c>
      <c r="T27" s="160">
        <v>388.14000000002852</v>
      </c>
      <c r="U27" s="160">
        <v>1503.9300000006333</v>
      </c>
      <c r="V27" s="160">
        <v>1509.6999999998807</v>
      </c>
      <c r="W27" s="243">
        <f>'units overall'!I25</f>
        <v>683.46999999999753</v>
      </c>
      <c r="X27" s="225">
        <f t="shared" si="0"/>
        <v>4614.0900000005167</v>
      </c>
      <c r="Y27" s="218">
        <f t="shared" si="1"/>
        <v>10914.870000000476</v>
      </c>
      <c r="Z27" s="20">
        <f t="shared" si="2"/>
        <v>10231.400000000478</v>
      </c>
    </row>
    <row r="28" spans="2:35" hidden="1">
      <c r="C28" s="58">
        <v>45769</v>
      </c>
      <c r="D28" s="206" t="s">
        <v>193</v>
      </c>
      <c r="E28" s="211">
        <v>593.79999999993015</v>
      </c>
      <c r="F28" s="160">
        <v>803.91999999999825</v>
      </c>
      <c r="G28" s="160">
        <v>671.46000000031199</v>
      </c>
      <c r="H28" s="160">
        <v>784.39999999996508</v>
      </c>
      <c r="I28" s="160">
        <v>164.39000000002125</v>
      </c>
      <c r="J28" s="160">
        <v>473.9100000000326</v>
      </c>
      <c r="K28" s="160">
        <v>612.5</v>
      </c>
      <c r="L28" s="160">
        <v>137.06000000005588</v>
      </c>
      <c r="M28" s="160">
        <v>638.27000000030966</v>
      </c>
      <c r="N28" s="160">
        <v>489.21999999973923</v>
      </c>
      <c r="O28" s="160">
        <v>862.09999999997672</v>
      </c>
      <c r="P28" s="160">
        <v>365.81999999994878</v>
      </c>
      <c r="Q28" s="222">
        <v>0</v>
      </c>
      <c r="R28" s="225">
        <f t="shared" si="3"/>
        <v>6596.8500000002896</v>
      </c>
      <c r="S28" s="211">
        <v>437.60999999998603</v>
      </c>
      <c r="T28" s="160">
        <v>208.17000000001281</v>
      </c>
      <c r="U28" s="160">
        <v>1553.9399999994785</v>
      </c>
      <c r="V28" s="160">
        <v>1573.8800000000629</v>
      </c>
      <c r="W28" s="243">
        <f>'units overall'!I26</f>
        <v>794.56999999999971</v>
      </c>
      <c r="X28" s="225">
        <f t="shared" si="0"/>
        <v>4568.1699999995399</v>
      </c>
      <c r="Y28" s="218">
        <f t="shared" si="1"/>
        <v>11165.019999999829</v>
      </c>
      <c r="Z28" s="20">
        <f t="shared" si="2"/>
        <v>10370.44999999983</v>
      </c>
    </row>
    <row r="29" spans="2:35" hidden="1">
      <c r="C29" s="58">
        <v>45770</v>
      </c>
      <c r="D29" s="206" t="s">
        <v>194</v>
      </c>
      <c r="E29" s="211">
        <v>580.98999999999069</v>
      </c>
      <c r="F29" s="160">
        <v>765.19000000000233</v>
      </c>
      <c r="G29" s="160">
        <v>652.50999999995111</v>
      </c>
      <c r="H29" s="160">
        <v>728.1699999999837</v>
      </c>
      <c r="I29" s="160">
        <v>158.50999999998385</v>
      </c>
      <c r="J29" s="160">
        <v>340.71999999976833</v>
      </c>
      <c r="K29" s="160">
        <v>1014.0799999999581</v>
      </c>
      <c r="L29" s="160">
        <v>133.25</v>
      </c>
      <c r="M29" s="160">
        <v>528.50999999977648</v>
      </c>
      <c r="N29" s="160">
        <v>456.18999999994412</v>
      </c>
      <c r="O29" s="160">
        <v>868.65000000011059</v>
      </c>
      <c r="P29" s="160">
        <v>323.32999999995809</v>
      </c>
      <c r="Q29" s="222">
        <v>0</v>
      </c>
      <c r="R29" s="225">
        <f t="shared" si="3"/>
        <v>6550.0999999994274</v>
      </c>
      <c r="S29" s="211">
        <v>459.30000000001746</v>
      </c>
      <c r="T29" s="160">
        <v>381.37999999997555</v>
      </c>
      <c r="U29" s="160">
        <v>1545.1100000003353</v>
      </c>
      <c r="V29" s="160">
        <v>1345.0899999997928</v>
      </c>
      <c r="W29" s="243">
        <f>'units overall'!I27</f>
        <v>820.47999999999956</v>
      </c>
      <c r="X29" s="225">
        <f t="shared" si="0"/>
        <v>4551.3600000001206</v>
      </c>
      <c r="Y29" s="218">
        <f t="shared" si="1"/>
        <v>11101.459999999548</v>
      </c>
      <c r="Z29" s="20">
        <f t="shared" si="2"/>
        <v>10280.979999999548</v>
      </c>
    </row>
    <row r="30" spans="2:35" hidden="1">
      <c r="C30" s="58">
        <v>45771</v>
      </c>
      <c r="D30" s="206" t="s">
        <v>195</v>
      </c>
      <c r="E30" s="211">
        <v>610.17000000004191</v>
      </c>
      <c r="F30" s="160">
        <v>849.24000000000524</v>
      </c>
      <c r="G30" s="160">
        <v>647.88000000000466</v>
      </c>
      <c r="H30" s="160">
        <v>817.60000000003492</v>
      </c>
      <c r="I30" s="160">
        <v>168.39999999997963</v>
      </c>
      <c r="J30" s="160">
        <v>449.93000000008033</v>
      </c>
      <c r="K30" s="160">
        <v>738.67999999999302</v>
      </c>
      <c r="L30" s="160">
        <v>165.21999999997206</v>
      </c>
      <c r="M30" s="160">
        <v>625.18999999988591</v>
      </c>
      <c r="N30" s="160">
        <v>427.78000000026077</v>
      </c>
      <c r="O30" s="160">
        <v>858.18999999991502</v>
      </c>
      <c r="P30" s="160">
        <v>371.77000000001863</v>
      </c>
      <c r="Q30" s="222">
        <v>0</v>
      </c>
      <c r="R30" s="225">
        <f t="shared" si="3"/>
        <v>6730.0500000001921</v>
      </c>
      <c r="S30" s="211">
        <v>503.99999999991269</v>
      </c>
      <c r="T30" s="160">
        <v>405.28000000008615</v>
      </c>
      <c r="U30" s="160">
        <v>1551.8700000001118</v>
      </c>
      <c r="V30" s="160">
        <v>1472.9500000002154</v>
      </c>
      <c r="W30" s="243">
        <f>'units overall'!I28</f>
        <v>898.30000000000291</v>
      </c>
      <c r="X30" s="225">
        <f t="shared" si="0"/>
        <v>4832.4000000003289</v>
      </c>
      <c r="Y30" s="218">
        <f t="shared" si="1"/>
        <v>11562.450000000521</v>
      </c>
      <c r="Z30" s="20">
        <f t="shared" si="2"/>
        <v>10664.150000000518</v>
      </c>
    </row>
    <row r="31" spans="2:35" hidden="1">
      <c r="C31" s="58">
        <v>45772</v>
      </c>
      <c r="D31" s="206" t="s">
        <v>196</v>
      </c>
      <c r="E31" s="211">
        <v>596.55000000004657</v>
      </c>
      <c r="F31" s="160">
        <v>797.25999999999476</v>
      </c>
      <c r="G31" s="160">
        <v>723.09999999962747</v>
      </c>
      <c r="H31" s="160">
        <v>712.05999999999767</v>
      </c>
      <c r="I31" s="160">
        <v>167.83000000003813</v>
      </c>
      <c r="J31" s="160">
        <v>408.71000000002095</v>
      </c>
      <c r="K31" s="160">
        <v>442.14000000001397</v>
      </c>
      <c r="L31" s="160">
        <v>149.75</v>
      </c>
      <c r="M31" s="160">
        <v>626.43000000010943</v>
      </c>
      <c r="N31" s="160">
        <v>449.14999999990687</v>
      </c>
      <c r="O31" s="160">
        <v>828.21999999997206</v>
      </c>
      <c r="P31" s="160">
        <v>296.32000000006519</v>
      </c>
      <c r="Q31" s="222">
        <v>0</v>
      </c>
      <c r="R31" s="225">
        <f t="shared" si="3"/>
        <v>6197.5199999997931</v>
      </c>
      <c r="S31" s="211">
        <v>494.94000000003143</v>
      </c>
      <c r="T31" s="160">
        <v>387.9999999999709</v>
      </c>
      <c r="U31" s="160">
        <v>1581.4399999994785</v>
      </c>
      <c r="V31" s="160">
        <v>1468.4999999996508</v>
      </c>
      <c r="W31" s="243">
        <f>'units overall'!I29</f>
        <v>919.06999999999607</v>
      </c>
      <c r="X31" s="225">
        <f t="shared" si="0"/>
        <v>4851.9499999991276</v>
      </c>
      <c r="Y31" s="218">
        <f t="shared" si="1"/>
        <v>11049.469999998921</v>
      </c>
      <c r="Z31" s="20">
        <f t="shared" si="2"/>
        <v>10130.399999998925</v>
      </c>
    </row>
    <row r="32" spans="2:35" hidden="1">
      <c r="C32" s="58">
        <v>45773</v>
      </c>
      <c r="D32" s="206" t="s">
        <v>197</v>
      </c>
      <c r="E32" s="211">
        <v>586.75</v>
      </c>
      <c r="F32" s="160">
        <v>514.05999999999767</v>
      </c>
      <c r="G32" s="160">
        <v>701.11000000039348</v>
      </c>
      <c r="H32" s="160">
        <v>673.34000000001106</v>
      </c>
      <c r="I32" s="160">
        <v>151.60999999999331</v>
      </c>
      <c r="J32" s="160">
        <v>384.12000000014086</v>
      </c>
      <c r="K32" s="160">
        <v>690.70000000001164</v>
      </c>
      <c r="L32" s="160">
        <v>126</v>
      </c>
      <c r="M32" s="160">
        <v>638.52999999985332</v>
      </c>
      <c r="N32" s="160">
        <v>384.77000000001863</v>
      </c>
      <c r="O32" s="160">
        <v>804.91000000000349</v>
      </c>
      <c r="P32" s="160">
        <v>393.15999999991618</v>
      </c>
      <c r="Q32" s="222">
        <v>0</v>
      </c>
      <c r="R32" s="225">
        <f t="shared" si="3"/>
        <v>6049.0600000003396</v>
      </c>
      <c r="S32" s="211">
        <v>226.85000000006403</v>
      </c>
      <c r="T32" s="160">
        <v>395.55999999993946</v>
      </c>
      <c r="U32" s="160">
        <v>1597.9400000004098</v>
      </c>
      <c r="V32" s="160">
        <v>1598.4600000001374</v>
      </c>
      <c r="W32" s="243">
        <f>'units overall'!I30</f>
        <v>752.51000000000204</v>
      </c>
      <c r="X32" s="225">
        <f t="shared" si="0"/>
        <v>4571.3200000005527</v>
      </c>
      <c r="Y32" s="218">
        <f t="shared" si="1"/>
        <v>10620.380000000892</v>
      </c>
      <c r="Z32" s="20">
        <f t="shared" si="2"/>
        <v>9867.8700000008903</v>
      </c>
    </row>
    <row r="33" spans="3:26" hidden="1">
      <c r="C33" s="183">
        <v>45774</v>
      </c>
      <c r="D33" s="207" t="s">
        <v>198</v>
      </c>
      <c r="E33" s="213">
        <v>248.51000000000931</v>
      </c>
      <c r="F33" s="195">
        <v>529.6200000000099</v>
      </c>
      <c r="G33" s="195">
        <v>39.659999999974389</v>
      </c>
      <c r="H33" s="195">
        <v>196.9199999999546</v>
      </c>
      <c r="I33" s="195">
        <v>51.529999999969732</v>
      </c>
      <c r="J33" s="195">
        <v>84.080000000016298</v>
      </c>
      <c r="K33" s="195">
        <v>6.1300000000046566</v>
      </c>
      <c r="L33" s="195">
        <v>47.380000000004657</v>
      </c>
      <c r="M33" s="195">
        <v>288.63999999995576</v>
      </c>
      <c r="N33" s="195">
        <v>30.589999999850988</v>
      </c>
      <c r="O33" s="195">
        <v>223.97000000003027</v>
      </c>
      <c r="P33" s="195">
        <v>104.32000000006519</v>
      </c>
      <c r="Q33" s="223">
        <v>0</v>
      </c>
      <c r="R33" s="226">
        <f t="shared" si="3"/>
        <v>1851.3499999998457</v>
      </c>
      <c r="S33" s="213">
        <v>5.0399999998917338</v>
      </c>
      <c r="T33" s="195">
        <v>50.220000000103028</v>
      </c>
      <c r="U33" s="195">
        <v>105.91000000014901</v>
      </c>
      <c r="V33" s="195">
        <v>37.150000000387081</v>
      </c>
      <c r="W33" s="244">
        <f>'units overall'!I31</f>
        <v>16.959999999999127</v>
      </c>
      <c r="X33" s="226">
        <f t="shared" si="0"/>
        <v>215.28000000052998</v>
      </c>
      <c r="Y33" s="219">
        <f t="shared" si="1"/>
        <v>2066.6300000003757</v>
      </c>
      <c r="Z33" s="185">
        <f t="shared" si="2"/>
        <v>2049.6700000003766</v>
      </c>
    </row>
    <row r="34" spans="3:26" hidden="1">
      <c r="C34" s="58">
        <v>45775</v>
      </c>
      <c r="D34" s="206" t="s">
        <v>192</v>
      </c>
      <c r="E34" s="211">
        <v>547.64999999990687</v>
      </c>
      <c r="F34" s="160">
        <v>766.8799999999901</v>
      </c>
      <c r="G34" s="160">
        <v>647.38999999989755</v>
      </c>
      <c r="H34" s="160">
        <v>542.19000000001688</v>
      </c>
      <c r="I34" s="160">
        <v>158.69000000004598</v>
      </c>
      <c r="J34" s="160">
        <v>319.67999999996391</v>
      </c>
      <c r="K34" s="160">
        <v>512.19000000000233</v>
      </c>
      <c r="L34" s="160">
        <v>114.3399999999674</v>
      </c>
      <c r="M34" s="160">
        <v>588.09000000031665</v>
      </c>
      <c r="N34" s="160">
        <v>456.06000000005588</v>
      </c>
      <c r="O34" s="160">
        <v>598.56999999997788</v>
      </c>
      <c r="P34" s="160">
        <v>336.43999999994412</v>
      </c>
      <c r="Q34" s="222">
        <v>0</v>
      </c>
      <c r="R34" s="225">
        <f t="shared" si="3"/>
        <v>5588.1700000000856</v>
      </c>
      <c r="S34" s="211">
        <v>307.0000000000291</v>
      </c>
      <c r="T34" s="160">
        <v>317.15999999997439</v>
      </c>
      <c r="U34" s="160">
        <v>1531.1199999991804</v>
      </c>
      <c r="V34" s="160">
        <v>1673.8199999999779</v>
      </c>
      <c r="W34" s="243">
        <f>'units overall'!I32</f>
        <v>774.52999999999884</v>
      </c>
      <c r="X34" s="225">
        <f t="shared" si="0"/>
        <v>4603.6299999991606</v>
      </c>
      <c r="Y34" s="218">
        <f t="shared" si="1"/>
        <v>10191.799999999246</v>
      </c>
      <c r="Z34" s="20">
        <f t="shared" si="2"/>
        <v>9417.2699999992474</v>
      </c>
    </row>
    <row r="35" spans="3:26" hidden="1">
      <c r="C35" s="58">
        <v>45776</v>
      </c>
      <c r="D35" s="206" t="s">
        <v>193</v>
      </c>
      <c r="E35" s="211">
        <v>583.04000000003725</v>
      </c>
      <c r="F35" s="160">
        <v>841.38999999999942</v>
      </c>
      <c r="G35" s="160">
        <v>627.77999999985332</v>
      </c>
      <c r="H35" s="160">
        <v>621.97000000001572</v>
      </c>
      <c r="I35" s="160">
        <v>147.88000000000466</v>
      </c>
      <c r="J35" s="160">
        <v>391.59999999997672</v>
      </c>
      <c r="K35" s="160">
        <v>932.69000000000233</v>
      </c>
      <c r="L35" s="160">
        <v>130.06000000005588</v>
      </c>
      <c r="M35" s="160">
        <v>520.04000000003725</v>
      </c>
      <c r="N35" s="160">
        <v>387.07000000029802</v>
      </c>
      <c r="O35" s="160">
        <v>391.44000000000233</v>
      </c>
      <c r="P35" s="160">
        <v>295.35999999998603</v>
      </c>
      <c r="Q35" s="222">
        <v>0</v>
      </c>
      <c r="R35" s="225">
        <f t="shared" si="3"/>
        <v>5870.3200000002689</v>
      </c>
      <c r="S35" s="211">
        <v>201.04000000000815</v>
      </c>
      <c r="T35" s="160">
        <v>452.97999999999593</v>
      </c>
      <c r="U35" s="160">
        <v>1456.320000000298</v>
      </c>
      <c r="V35" s="160">
        <v>1574.7899999994988</v>
      </c>
      <c r="W35" s="243">
        <f>'units overall'!I33</f>
        <v>614.5</v>
      </c>
      <c r="X35" s="225">
        <f t="shared" si="0"/>
        <v>4299.6299999998009</v>
      </c>
      <c r="Y35" s="218">
        <f t="shared" si="1"/>
        <v>10169.95000000007</v>
      </c>
      <c r="Z35" s="20">
        <f t="shared" si="2"/>
        <v>9555.4500000000698</v>
      </c>
    </row>
    <row r="36" spans="3:26" hidden="1">
      <c r="C36" s="58">
        <v>45777</v>
      </c>
      <c r="D36" s="206" t="s">
        <v>194</v>
      </c>
      <c r="E36" s="211">
        <v>577.54000000003725</v>
      </c>
      <c r="F36" s="160">
        <v>909.98000000001048</v>
      </c>
      <c r="G36" s="160">
        <v>501.44000000011874</v>
      </c>
      <c r="H36" s="160">
        <v>473.64999999996508</v>
      </c>
      <c r="I36" s="160">
        <v>137.94999999995343</v>
      </c>
      <c r="J36" s="160">
        <v>313.40999999994528</v>
      </c>
      <c r="K36" s="160">
        <v>1014.4899999999907</v>
      </c>
      <c r="L36" s="160">
        <v>96.189999999944121</v>
      </c>
      <c r="M36" s="160">
        <v>484.85999999981141</v>
      </c>
      <c r="N36" s="160">
        <v>311.67999999970198</v>
      </c>
      <c r="O36" s="160">
        <v>154.71999999994296</v>
      </c>
      <c r="P36" s="160">
        <v>275.01000000000931</v>
      </c>
      <c r="Q36" s="222">
        <v>0</v>
      </c>
      <c r="R36" s="225">
        <f t="shared" si="3"/>
        <v>5250.9199999994307</v>
      </c>
      <c r="S36" s="211">
        <v>200.36999999996624</v>
      </c>
      <c r="T36" s="160">
        <v>419.86000000002969</v>
      </c>
      <c r="U36" s="160">
        <v>1495.320000000298</v>
      </c>
      <c r="V36" s="160">
        <v>1550.2100000003702</v>
      </c>
      <c r="W36" s="243">
        <f>'units overall'!I34</f>
        <v>731.9800000000032</v>
      </c>
      <c r="X36" s="225">
        <f t="shared" si="0"/>
        <v>4397.7400000006674</v>
      </c>
      <c r="Y36" s="218">
        <f t="shared" si="1"/>
        <v>9648.6600000000981</v>
      </c>
      <c r="Z36" s="20">
        <f t="shared" si="2"/>
        <v>8916.6800000000949</v>
      </c>
    </row>
    <row r="37" spans="3:26">
      <c r="C37" s="58"/>
      <c r="D37" s="206"/>
      <c r="E37" s="211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222"/>
      <c r="R37" s="225">
        <f t="shared" si="3"/>
        <v>0</v>
      </c>
      <c r="S37" s="211"/>
      <c r="T37" s="160"/>
      <c r="U37" s="160"/>
      <c r="V37" s="160"/>
      <c r="W37" s="243">
        <f>'units overall'!I35</f>
        <v>0</v>
      </c>
      <c r="X37" s="225">
        <f t="shared" ref="X37" si="4">SUM(S37:W37)</f>
        <v>0</v>
      </c>
      <c r="Y37" s="218">
        <f t="shared" ref="Y37" si="5">R37+X37</f>
        <v>0</v>
      </c>
      <c r="Z37" s="20">
        <f t="shared" ref="Z37" si="6">Y37-W37</f>
        <v>0</v>
      </c>
    </row>
    <row r="38" spans="3:26" ht="30" customHeight="1" thickBot="1">
      <c r="C38" s="130" t="s">
        <v>7</v>
      </c>
      <c r="D38" s="208"/>
      <c r="E38" s="215">
        <f t="shared" ref="E38:X38" si="7">SUM(E7:E37)</f>
        <v>13943.430000000051</v>
      </c>
      <c r="F38" s="216">
        <f t="shared" si="7"/>
        <v>18690.809999999998</v>
      </c>
      <c r="G38" s="216">
        <f t="shared" si="7"/>
        <v>16024.550000000047</v>
      </c>
      <c r="H38" s="216">
        <f t="shared" si="7"/>
        <v>16440.109999999964</v>
      </c>
      <c r="I38" s="216">
        <f t="shared" si="7"/>
        <v>3506.9299999999712</v>
      </c>
      <c r="J38" s="216">
        <f t="shared" si="7"/>
        <v>11504.849999999977</v>
      </c>
      <c r="K38" s="216">
        <f t="shared" si="7"/>
        <v>15548.539999999979</v>
      </c>
      <c r="L38" s="216">
        <f t="shared" si="7"/>
        <v>3637.6899999999441</v>
      </c>
      <c r="M38" s="216">
        <f t="shared" si="7"/>
        <v>15494.110000000044</v>
      </c>
      <c r="N38" s="216">
        <f t="shared" si="7"/>
        <v>10474.489999999758</v>
      </c>
      <c r="O38" s="216">
        <f t="shared" si="7"/>
        <v>17281.549999999988</v>
      </c>
      <c r="P38" s="216">
        <f t="shared" si="7"/>
        <v>8474.75</v>
      </c>
      <c r="Q38" s="216">
        <f t="shared" si="7"/>
        <v>0</v>
      </c>
      <c r="R38" s="217">
        <f t="shared" si="7"/>
        <v>151021.80999999976</v>
      </c>
      <c r="S38" s="217">
        <f t="shared" si="7"/>
        <v>9551.5899999999383</v>
      </c>
      <c r="T38" s="217">
        <f t="shared" si="7"/>
        <v>9525.280000000057</v>
      </c>
      <c r="U38" s="217">
        <f t="shared" si="7"/>
        <v>37933.040000000037</v>
      </c>
      <c r="V38" s="217">
        <f t="shared" si="7"/>
        <v>37248.180000000095</v>
      </c>
      <c r="W38" s="217">
        <f t="shared" si="7"/>
        <v>17807.71</v>
      </c>
      <c r="X38" s="217">
        <f t="shared" si="7"/>
        <v>112065.8000000001</v>
      </c>
      <c r="Y38" s="220">
        <f>SUM(Y7:Y37)</f>
        <v>263087.60999999987</v>
      </c>
      <c r="Z38" s="220">
        <f>SUM(Z7:Z37)</f>
        <v>245279.89999999991</v>
      </c>
    </row>
    <row r="39" spans="3:26"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3:26">
      <c r="F40" s="17"/>
      <c r="G40" s="17"/>
    </row>
    <row r="41" spans="3:26" ht="23.25">
      <c r="E41" s="55">
        <f>E28-E27</f>
        <v>32.009999999892898</v>
      </c>
      <c r="F41" s="55">
        <f t="shared" ref="F41:Y41" si="8">F28-F27</f>
        <v>20.790000000008149</v>
      </c>
      <c r="G41" s="55">
        <f t="shared" si="8"/>
        <v>-31.129999999538995</v>
      </c>
      <c r="H41" s="55">
        <f t="shared" si="8"/>
        <v>132.19999999990978</v>
      </c>
      <c r="I41" s="55">
        <f t="shared" si="8"/>
        <v>8.190000000049622</v>
      </c>
      <c r="J41" s="55">
        <f t="shared" si="8"/>
        <v>-56.989999999990687</v>
      </c>
      <c r="K41" s="55">
        <f t="shared" si="8"/>
        <v>69.009999999951106</v>
      </c>
      <c r="L41" s="55">
        <f t="shared" si="8"/>
        <v>25.560000000055879</v>
      </c>
      <c r="M41" s="55">
        <f t="shared" si="8"/>
        <v>-0.31999999954132363</v>
      </c>
      <c r="N41" s="55">
        <f t="shared" si="8"/>
        <v>28.809999999590218</v>
      </c>
      <c r="O41" s="55">
        <f t="shared" si="8"/>
        <v>150.89000000001397</v>
      </c>
      <c r="P41" s="55">
        <f t="shared" si="8"/>
        <v>-82.950000000069849</v>
      </c>
      <c r="Q41" s="55"/>
      <c r="R41" s="55">
        <f t="shared" si="8"/>
        <v>296.07000000033077</v>
      </c>
      <c r="S41" s="55"/>
      <c r="T41" s="55"/>
      <c r="U41" s="55"/>
      <c r="V41" s="55"/>
      <c r="W41" s="55"/>
      <c r="X41" s="55"/>
      <c r="Y41" s="55">
        <f t="shared" si="8"/>
        <v>250.14999999935389</v>
      </c>
    </row>
    <row r="42" spans="3:26">
      <c r="E42"/>
      <c r="F42"/>
      <c r="G42"/>
      <c r="H42"/>
      <c r="I42"/>
      <c r="J42"/>
      <c r="K42"/>
      <c r="L42"/>
      <c r="M42"/>
      <c r="N42"/>
    </row>
    <row r="43" spans="3:26">
      <c r="E43"/>
      <c r="F43"/>
      <c r="G43"/>
      <c r="H43"/>
      <c r="I43"/>
      <c r="J43"/>
      <c r="K43"/>
      <c r="L43"/>
      <c r="M43"/>
      <c r="N43"/>
    </row>
    <row r="44" spans="3:26" ht="18">
      <c r="E44" s="175">
        <f>(E38/Y38)*100</f>
        <v>5.299918912943129</v>
      </c>
      <c r="F44" s="175">
        <f>(F38/Y38)*100</f>
        <v>7.1044052587653246</v>
      </c>
      <c r="G44" s="175">
        <f>(G38/Y38)*100</f>
        <v>6.0909557846528974</v>
      </c>
      <c r="H44" s="175">
        <f>(H38/Y38)*100</f>
        <v>6.2489107715866865</v>
      </c>
      <c r="I44" s="175">
        <f>(I38/Y38)*100</f>
        <v>1.3329894174795889</v>
      </c>
      <c r="J44" s="175">
        <f>(J38/Y38)*100</f>
        <v>4.373010952511212</v>
      </c>
      <c r="K44" s="175">
        <f>(K38/Y38)*100</f>
        <v>5.9100236609394052</v>
      </c>
      <c r="L44" s="175">
        <f>(L38/Y38)*100</f>
        <v>1.3826914920090483</v>
      </c>
      <c r="M44" s="175">
        <f>(M38/Y38)*100</f>
        <v>5.8893347352997925</v>
      </c>
      <c r="N44" s="175">
        <f>(N38/Y38)*100</f>
        <v>3.9813695521426355</v>
      </c>
      <c r="O44" s="175">
        <f>(O38/Y38)*100</f>
        <v>6.5687433931229204</v>
      </c>
      <c r="P44" s="175">
        <f>(P38/Y38)*100</f>
        <v>3.2212653419900712</v>
      </c>
      <c r="Q44" s="175"/>
      <c r="R44" s="174">
        <f>(R38/Y38)*100</f>
        <v>57.403619273442729</v>
      </c>
      <c r="S44" s="174"/>
      <c r="T44" s="174"/>
      <c r="U44" s="174"/>
      <c r="V44" s="174"/>
      <c r="W44" s="174"/>
      <c r="X44" s="174"/>
      <c r="Y44" s="173">
        <f>(Y38/Y38)*100</f>
        <v>100</v>
      </c>
    </row>
    <row r="45" spans="3:26">
      <c r="F45" s="17"/>
      <c r="G45" s="17"/>
      <c r="I45" s="27"/>
    </row>
    <row r="46" spans="3:26">
      <c r="F46" s="17"/>
      <c r="G46" s="17"/>
    </row>
    <row r="47" spans="3:26">
      <c r="F47" s="17"/>
      <c r="G47" s="17"/>
    </row>
    <row r="48" spans="3:26">
      <c r="E48" s="39">
        <f>AVERAGE(E8:E12,E14:E19,E21:E26,E28:E31)</f>
        <v>477.26333333332911</v>
      </c>
      <c r="F48" s="39">
        <f t="shared" ref="F48:R48" si="9">AVERAGE(F8:F12,F14:F19,F21:F26,F28:F31)</f>
        <v>620.47476190476266</v>
      </c>
      <c r="G48" s="39">
        <f t="shared" si="9"/>
        <v>566.19857142855676</v>
      </c>
      <c r="H48" s="39">
        <f t="shared" si="9"/>
        <v>588.69761904761492</v>
      </c>
      <c r="I48" s="39">
        <f>AVERAGE(I8:I12,I14:I19,I21:I26,I28:I31)</f>
        <v>118.70238095238251</v>
      </c>
      <c r="J48" s="39">
        <f t="shared" si="9"/>
        <v>410.45619047618294</v>
      </c>
      <c r="K48" s="39">
        <f t="shared" si="9"/>
        <v>537.89428571428425</v>
      </c>
      <c r="L48" s="39">
        <f t="shared" si="9"/>
        <v>129.78714285714418</v>
      </c>
      <c r="M48" s="39">
        <f t="shared" si="9"/>
        <v>546.69285714285377</v>
      </c>
      <c r="N48" s="39">
        <f t="shared" si="9"/>
        <v>377.49666666666354</v>
      </c>
      <c r="O48" s="39">
        <f t="shared" si="9"/>
        <v>636.37666666667099</v>
      </c>
      <c r="P48" s="39">
        <f t="shared" si="9"/>
        <v>300.87523809524384</v>
      </c>
      <c r="Q48" s="39"/>
      <c r="R48" s="39">
        <f t="shared" si="9"/>
        <v>5310.9157142856902</v>
      </c>
      <c r="S48" s="39"/>
      <c r="T48" s="39"/>
      <c r="U48" s="39"/>
      <c r="V48" s="39"/>
      <c r="W48" s="39"/>
      <c r="X48" s="39"/>
    </row>
    <row r="49" spans="2:39">
      <c r="F49" s="17"/>
      <c r="G49" s="17"/>
    </row>
    <row r="50" spans="2:39" s="17" customFormat="1">
      <c r="B50"/>
      <c r="C50" s="73"/>
      <c r="D50" s="73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 spans="2:39" s="17" customFormat="1">
      <c r="B51"/>
      <c r="C51" s="73"/>
      <c r="D51" s="73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</row>
    <row r="52" spans="2:39" s="17" customFormat="1">
      <c r="B52"/>
      <c r="C52" s="73"/>
      <c r="D52" s="73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 spans="2:39" s="17" customFormat="1">
      <c r="B53"/>
      <c r="C53" s="73"/>
      <c r="D53" s="7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</row>
    <row r="54" spans="2:39" s="17" customFormat="1">
      <c r="B54"/>
      <c r="C54" s="73"/>
      <c r="D54" s="73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</row>
    <row r="55" spans="2:39" s="17" customFormat="1">
      <c r="B55"/>
      <c r="C55" s="73"/>
      <c r="D55" s="73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</row>
    <row r="56" spans="2:39" s="17" customFormat="1">
      <c r="B56"/>
      <c r="C56" s="73"/>
      <c r="D56" s="73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</row>
    <row r="57" spans="2:39" s="17" customFormat="1">
      <c r="B57"/>
      <c r="C57" s="73"/>
      <c r="D57" s="73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</row>
    <row r="58" spans="2:39" s="17" customFormat="1">
      <c r="B58"/>
      <c r="C58" s="73"/>
      <c r="D58" s="73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</row>
    <row r="59" spans="2:39" s="17" customFormat="1">
      <c r="B59"/>
      <c r="C59" s="73"/>
      <c r="D59" s="73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</row>
    <row r="60" spans="2:39" s="17" customFormat="1">
      <c r="B60"/>
      <c r="C60" s="73"/>
      <c r="D60" s="73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</row>
    <row r="61" spans="2:39" s="17" customFormat="1">
      <c r="B61"/>
      <c r="C61" s="73"/>
      <c r="D61" s="73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</row>
    <row r="62" spans="2:39" s="17" customFormat="1">
      <c r="B62"/>
      <c r="C62" s="73"/>
      <c r="D62" s="73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</row>
    <row r="63" spans="2:39" s="17" customFormat="1">
      <c r="B63"/>
      <c r="C63" s="73"/>
      <c r="D63" s="7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</row>
    <row r="64" spans="2:39" s="17" customFormat="1">
      <c r="B64"/>
      <c r="C64" s="73"/>
      <c r="D64" s="73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</row>
    <row r="65" spans="2:39" s="17" customFormat="1">
      <c r="B65"/>
      <c r="C65" s="73"/>
      <c r="D65" s="73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</row>
    <row r="66" spans="2:39" s="17" customFormat="1">
      <c r="B66"/>
      <c r="C66" s="73"/>
      <c r="D66" s="73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</row>
    <row r="67" spans="2:39" s="17" customFormat="1">
      <c r="B67"/>
      <c r="C67" s="73"/>
      <c r="D67" s="73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</row>
    <row r="68" spans="2:39" s="17" customFormat="1">
      <c r="B68"/>
      <c r="C68" s="73"/>
      <c r="D68" s="73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</row>
    <row r="69" spans="2:39" s="17" customFormat="1">
      <c r="B69"/>
      <c r="C69" s="73"/>
      <c r="D69" s="73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</row>
    <row r="70" spans="2:39" s="17" customFormat="1">
      <c r="B70"/>
      <c r="C70" s="73"/>
      <c r="D70" s="73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</row>
    <row r="71" spans="2:39" s="17" customFormat="1">
      <c r="B71"/>
      <c r="C71" s="73"/>
      <c r="D71" s="73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</row>
    <row r="72" spans="2:39" s="17" customFormat="1">
      <c r="B72"/>
      <c r="C72" s="73"/>
      <c r="D72" s="73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</row>
    <row r="73" spans="2:39" s="17" customFormat="1">
      <c r="B73"/>
      <c r="C73" s="73"/>
      <c r="D73" s="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</row>
    <row r="421" spans="5:24">
      <c r="E421" s="17">
        <v>1</v>
      </c>
      <c r="F421" s="43">
        <v>1</v>
      </c>
      <c r="G421" s="43">
        <v>1</v>
      </c>
      <c r="H421" s="17">
        <v>1</v>
      </c>
      <c r="I421" s="17">
        <v>1</v>
      </c>
      <c r="J421" s="17">
        <v>1</v>
      </c>
      <c r="K421" s="17">
        <v>1</v>
      </c>
      <c r="L421" s="17">
        <v>1</v>
      </c>
      <c r="M421" s="17">
        <v>4</v>
      </c>
      <c r="N421" s="17">
        <v>2</v>
      </c>
      <c r="O421" s="17">
        <v>6</v>
      </c>
      <c r="P421" s="17">
        <v>1</v>
      </c>
      <c r="Q421" s="17"/>
      <c r="R421" s="17">
        <v>2</v>
      </c>
      <c r="S421" s="17"/>
      <c r="T421" s="17"/>
      <c r="U421" s="17"/>
      <c r="V421" s="17"/>
      <c r="W421" s="17"/>
      <c r="X421" s="17"/>
    </row>
  </sheetData>
  <mergeCells count="4">
    <mergeCell ref="C4:Y4"/>
    <mergeCell ref="C5:C6"/>
    <mergeCell ref="E5:R5"/>
    <mergeCell ref="S5:X5"/>
  </mergeCells>
  <phoneticPr fontId="9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9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0" tint="-0.249977111117893"/>
    <pageSetUpPr fitToPage="1"/>
  </sheetPr>
  <dimension ref="B2:S42"/>
  <sheetViews>
    <sheetView zoomScale="90" zoomScaleNormal="90" workbookViewId="0">
      <pane xSplit="3" ySplit="5" topLeftCell="D18" activePane="bottomRight" state="frozen"/>
      <selection pane="topRight" activeCell="D1" sqref="D1"/>
      <selection pane="bottomLeft" activeCell="A6" sqref="A6"/>
      <selection pane="bottomRight" activeCell="H24" sqref="H24"/>
    </sheetView>
  </sheetViews>
  <sheetFormatPr defaultColWidth="9" defaultRowHeight="15"/>
  <cols>
    <col min="1" max="1" width="7.28515625" customWidth="1"/>
    <col min="2" max="3" width="10.28515625" style="96" customWidth="1"/>
    <col min="5" max="5" width="10" bestFit="1" customWidth="1"/>
    <col min="6" max="6" width="9.85546875" bestFit="1" customWidth="1"/>
    <col min="7" max="7" width="14.5703125" bestFit="1" customWidth="1"/>
    <col min="8" max="8" width="54.85546875" customWidth="1"/>
    <col min="9" max="9" width="9.85546875" customWidth="1"/>
    <col min="10" max="10" width="8.5703125" customWidth="1"/>
  </cols>
  <sheetData>
    <row r="2" spans="2:16" ht="14.25" customHeight="1">
      <c r="D2" s="36"/>
      <c r="E2" s="36"/>
      <c r="F2" s="36"/>
      <c r="G2" s="37"/>
    </row>
    <row r="4" spans="2:16" ht="15" customHeight="1">
      <c r="B4" s="307" t="s">
        <v>70</v>
      </c>
      <c r="C4" s="308"/>
      <c r="D4" s="309"/>
      <c r="E4" s="307" t="s">
        <v>71</v>
      </c>
      <c r="F4" s="308"/>
      <c r="G4" s="309"/>
      <c r="I4" s="11"/>
      <c r="K4" s="41"/>
      <c r="L4" s="42"/>
      <c r="M4" s="42"/>
      <c r="N4" s="42"/>
      <c r="O4" s="42"/>
      <c r="P4" s="42"/>
    </row>
    <row r="5" spans="2:16" ht="45">
      <c r="B5" s="131" t="s">
        <v>0</v>
      </c>
      <c r="C5" s="131" t="s">
        <v>149</v>
      </c>
      <c r="D5" s="132" t="s">
        <v>70</v>
      </c>
      <c r="E5" s="132" t="s">
        <v>72</v>
      </c>
      <c r="F5" s="132" t="s">
        <v>73</v>
      </c>
      <c r="G5" s="132" t="s">
        <v>142</v>
      </c>
    </row>
    <row r="6" spans="2:16">
      <c r="B6" s="58">
        <v>45748</v>
      </c>
      <c r="C6" s="58" t="s">
        <v>193</v>
      </c>
      <c r="D6" s="20">
        <f>'DG Usage'!E6+'DG Usage'!G6</f>
        <v>0</v>
      </c>
      <c r="E6" s="20"/>
      <c r="F6" s="20"/>
      <c r="G6" s="20"/>
      <c r="I6" s="21"/>
    </row>
    <row r="7" spans="2:16">
      <c r="B7" s="58">
        <v>45749</v>
      </c>
      <c r="C7" s="58" t="s">
        <v>194</v>
      </c>
      <c r="D7" s="20">
        <f>'DG Usage'!E7+'DG Usage'!G7</f>
        <v>0</v>
      </c>
      <c r="E7" s="20"/>
      <c r="F7" s="20"/>
      <c r="G7" s="20"/>
      <c r="H7" s="38"/>
      <c r="I7" s="21"/>
    </row>
    <row r="8" spans="2:16">
      <c r="B8" s="58">
        <v>45750</v>
      </c>
      <c r="C8" s="58" t="s">
        <v>195</v>
      </c>
      <c r="D8" s="20">
        <f>'DG Usage'!E8+'DG Usage'!G8</f>
        <v>0</v>
      </c>
      <c r="E8" s="20"/>
      <c r="F8" s="20"/>
      <c r="G8" s="20"/>
      <c r="H8" s="39"/>
      <c r="I8" s="21"/>
    </row>
    <row r="9" spans="2:16">
      <c r="B9" s="58">
        <v>45751</v>
      </c>
      <c r="C9" s="58" t="s">
        <v>196</v>
      </c>
      <c r="D9" s="20">
        <f>'DG Usage'!E9+'DG Usage'!G9</f>
        <v>0</v>
      </c>
      <c r="E9" s="20"/>
      <c r="F9" s="20"/>
      <c r="G9" s="20"/>
      <c r="H9" s="39"/>
      <c r="I9" s="21"/>
    </row>
    <row r="10" spans="2:16">
      <c r="B10" s="58">
        <v>45752</v>
      </c>
      <c r="C10" s="58" t="s">
        <v>197</v>
      </c>
      <c r="D10" s="20">
        <f>'DG Usage'!E10+'DG Usage'!G10</f>
        <v>0</v>
      </c>
      <c r="E10" s="20"/>
      <c r="F10" s="20"/>
      <c r="G10" s="20"/>
      <c r="H10" s="39"/>
      <c r="I10" s="21"/>
      <c r="K10" t="s">
        <v>74</v>
      </c>
    </row>
    <row r="11" spans="2:16">
      <c r="B11" s="183">
        <v>45753</v>
      </c>
      <c r="C11" s="183" t="s">
        <v>198</v>
      </c>
      <c r="D11" s="185">
        <f>'DG Usage'!E11+'DG Usage'!G11</f>
        <v>0</v>
      </c>
      <c r="E11" s="185"/>
      <c r="F11" s="185"/>
      <c r="G11" s="185"/>
      <c r="H11" s="39"/>
      <c r="I11" s="21"/>
    </row>
    <row r="12" spans="2:16">
      <c r="B12" s="58">
        <v>45754</v>
      </c>
      <c r="C12" s="58" t="s">
        <v>192</v>
      </c>
      <c r="D12" s="20">
        <f>'DG Usage'!E12+'DG Usage'!G12</f>
        <v>0</v>
      </c>
      <c r="E12" s="20"/>
      <c r="F12" s="20"/>
      <c r="G12" s="20"/>
      <c r="H12" s="21"/>
      <c r="I12" s="21"/>
    </row>
    <row r="13" spans="2:16">
      <c r="B13" s="58">
        <v>45755</v>
      </c>
      <c r="C13" s="58" t="s">
        <v>193</v>
      </c>
      <c r="D13" s="20">
        <f>'DG Usage'!E13+'DG Usage'!G13</f>
        <v>254</v>
      </c>
      <c r="E13" s="20"/>
      <c r="F13" s="20"/>
      <c r="G13" s="20"/>
      <c r="H13" s="21"/>
      <c r="I13" s="21"/>
    </row>
    <row r="14" spans="2:16">
      <c r="B14" s="58">
        <v>45756</v>
      </c>
      <c r="C14" s="58" t="s">
        <v>194</v>
      </c>
      <c r="D14" s="20">
        <f>'DG Usage'!E14+'DG Usage'!G14</f>
        <v>0</v>
      </c>
      <c r="E14" s="20"/>
      <c r="F14" s="20"/>
      <c r="G14" s="20"/>
      <c r="H14" s="21"/>
      <c r="I14" s="21"/>
    </row>
    <row r="15" spans="2:16">
      <c r="B15" s="58">
        <v>45757</v>
      </c>
      <c r="C15" s="58" t="s">
        <v>195</v>
      </c>
      <c r="D15" s="20">
        <f>'DG Usage'!E15+'DG Usage'!G15</f>
        <v>110.75</v>
      </c>
      <c r="E15" s="20"/>
      <c r="F15" s="20"/>
      <c r="G15" s="20"/>
      <c r="H15" s="21"/>
      <c r="I15" s="21"/>
    </row>
    <row r="16" spans="2:16">
      <c r="B16" s="58">
        <v>45758</v>
      </c>
      <c r="C16" s="58" t="s">
        <v>196</v>
      </c>
      <c r="D16" s="20">
        <f>'DG Usage'!E16+'DG Usage'!G16</f>
        <v>9766.75</v>
      </c>
      <c r="E16" s="20"/>
      <c r="F16" s="20"/>
      <c r="G16" s="20"/>
      <c r="H16" s="21"/>
      <c r="I16" s="21"/>
    </row>
    <row r="17" spans="2:19">
      <c r="B17" s="58">
        <v>45759</v>
      </c>
      <c r="C17" s="58" t="s">
        <v>197</v>
      </c>
      <c r="D17" s="20">
        <f>'DG Usage'!E17+'DG Usage'!G17</f>
        <v>4515.25</v>
      </c>
      <c r="E17" s="20"/>
      <c r="F17" s="20"/>
      <c r="G17" s="20"/>
      <c r="H17" s="21"/>
      <c r="I17" s="21"/>
    </row>
    <row r="18" spans="2:19">
      <c r="B18" s="183">
        <v>45760</v>
      </c>
      <c r="C18" s="183" t="s">
        <v>198</v>
      </c>
      <c r="D18" s="185">
        <f>'DG Usage'!E18+'DG Usage'!G18</f>
        <v>398</v>
      </c>
      <c r="E18" s="185"/>
      <c r="F18" s="185"/>
      <c r="G18" s="185"/>
      <c r="H18" s="21"/>
      <c r="I18" s="21"/>
    </row>
    <row r="19" spans="2:19">
      <c r="B19" s="58">
        <v>45761</v>
      </c>
      <c r="C19" s="58" t="s">
        <v>192</v>
      </c>
      <c r="D19" s="20">
        <f>'DG Usage'!E19+'DG Usage'!G19</f>
        <v>0</v>
      </c>
      <c r="E19" s="20"/>
      <c r="F19" s="20"/>
      <c r="G19" s="20"/>
      <c r="H19" s="21"/>
      <c r="I19" s="21"/>
    </row>
    <row r="20" spans="2:19">
      <c r="B20" s="58">
        <v>45762</v>
      </c>
      <c r="C20" s="58" t="s">
        <v>193</v>
      </c>
      <c r="D20" s="20">
        <f>'DG Usage'!E20+'DG Usage'!G20</f>
        <v>0</v>
      </c>
      <c r="E20" s="20"/>
      <c r="F20" s="20"/>
      <c r="G20" s="20"/>
      <c r="H20" s="21"/>
      <c r="I20" s="21"/>
    </row>
    <row r="21" spans="2:19">
      <c r="B21" s="58">
        <v>45763</v>
      </c>
      <c r="C21" s="58" t="s">
        <v>194</v>
      </c>
      <c r="D21" s="20">
        <f>'DG Usage'!E21+'DG Usage'!G21</f>
        <v>2903</v>
      </c>
      <c r="E21" s="20"/>
      <c r="F21" s="20"/>
      <c r="G21" s="20"/>
      <c r="H21" s="21"/>
      <c r="I21" s="21"/>
    </row>
    <row r="22" spans="2:19">
      <c r="B22" s="58">
        <v>45764</v>
      </c>
      <c r="C22" s="58" t="s">
        <v>195</v>
      </c>
      <c r="D22" s="20">
        <f>'DG Usage'!E22+'DG Usage'!G22</f>
        <v>0</v>
      </c>
      <c r="E22" s="20"/>
      <c r="F22" s="20"/>
      <c r="G22" s="20"/>
      <c r="H22" s="21"/>
      <c r="I22" s="21"/>
    </row>
    <row r="23" spans="2:19">
      <c r="B23" s="58">
        <v>45765</v>
      </c>
      <c r="C23" s="58" t="s">
        <v>196</v>
      </c>
      <c r="D23" s="20">
        <f>'DG Usage'!E23+'DG Usage'!G23</f>
        <v>0</v>
      </c>
      <c r="E23" s="20"/>
      <c r="F23" s="20"/>
      <c r="G23" s="20"/>
      <c r="H23" s="21"/>
      <c r="I23" s="21"/>
      <c r="J23" s="38"/>
      <c r="K23" s="38"/>
      <c r="L23" s="38"/>
      <c r="M23" s="38"/>
      <c r="N23" s="38"/>
      <c r="O23" s="38"/>
      <c r="P23" s="38"/>
      <c r="Q23" s="38"/>
      <c r="R23" s="38"/>
      <c r="S23" s="38"/>
    </row>
    <row r="24" spans="2:19">
      <c r="B24" s="58">
        <v>45766</v>
      </c>
      <c r="C24" s="58" t="s">
        <v>197</v>
      </c>
      <c r="D24" s="20">
        <f>'DG Usage'!E24+'DG Usage'!G24</f>
        <v>0</v>
      </c>
      <c r="E24" s="20"/>
      <c r="F24" s="20"/>
      <c r="G24" s="20"/>
      <c r="H24" s="21"/>
      <c r="I24" s="21"/>
      <c r="J24" s="38"/>
      <c r="K24" s="38"/>
      <c r="L24" s="38"/>
      <c r="M24" s="38"/>
      <c r="N24" s="38"/>
      <c r="O24" s="38"/>
      <c r="P24" s="38"/>
      <c r="Q24" s="38"/>
      <c r="R24" s="38"/>
      <c r="S24" s="38"/>
    </row>
    <row r="25" spans="2:19" s="15" customFormat="1">
      <c r="B25" s="183">
        <v>45767</v>
      </c>
      <c r="C25" s="183" t="s">
        <v>198</v>
      </c>
      <c r="D25" s="185">
        <f>'DG Usage'!E25+'DG Usage'!G25</f>
        <v>0</v>
      </c>
      <c r="E25" s="185"/>
      <c r="F25" s="185"/>
      <c r="G25" s="185"/>
      <c r="H25" s="21"/>
      <c r="I25" s="21"/>
      <c r="J25" s="38"/>
      <c r="K25" s="38"/>
      <c r="L25" s="38"/>
      <c r="M25" s="38"/>
      <c r="N25" s="38"/>
      <c r="O25" s="38"/>
      <c r="P25" s="38"/>
      <c r="Q25" s="38"/>
      <c r="R25" s="38"/>
      <c r="S25" s="38"/>
    </row>
    <row r="26" spans="2:19">
      <c r="B26" s="58">
        <v>45768</v>
      </c>
      <c r="C26" s="58" t="s">
        <v>192</v>
      </c>
      <c r="D26" s="20">
        <f>'DG Usage'!E26+'DG Usage'!G26</f>
        <v>0</v>
      </c>
      <c r="E26" s="20"/>
      <c r="F26" s="20"/>
      <c r="G26" s="20"/>
      <c r="H26" s="21"/>
      <c r="I26" s="21"/>
      <c r="J26" s="38"/>
      <c r="K26" s="38"/>
      <c r="L26" s="38"/>
      <c r="M26" s="38"/>
      <c r="N26" s="38"/>
      <c r="O26" s="38"/>
      <c r="P26" s="38"/>
      <c r="Q26" s="38"/>
      <c r="R26" s="38"/>
      <c r="S26" s="38"/>
    </row>
    <row r="27" spans="2:19">
      <c r="B27" s="58">
        <v>45769</v>
      </c>
      <c r="C27" s="58" t="s">
        <v>193</v>
      </c>
      <c r="D27" s="20">
        <f>'DG Usage'!E27+'DG Usage'!G27</f>
        <v>0</v>
      </c>
      <c r="E27" s="20"/>
      <c r="F27" s="20"/>
      <c r="G27" s="20"/>
      <c r="H27" s="21"/>
      <c r="I27" s="21"/>
      <c r="J27" s="38"/>
      <c r="K27" s="38"/>
      <c r="L27" s="38"/>
      <c r="M27" s="38"/>
      <c r="N27" s="38"/>
      <c r="O27" s="38"/>
      <c r="P27" s="38"/>
      <c r="Q27" s="38"/>
      <c r="R27" s="38"/>
      <c r="S27" s="38"/>
    </row>
    <row r="28" spans="2:19">
      <c r="B28" s="58">
        <v>45770</v>
      </c>
      <c r="C28" s="58" t="s">
        <v>194</v>
      </c>
      <c r="D28" s="20">
        <f>'DG Usage'!E28+'DG Usage'!G28</f>
        <v>0</v>
      </c>
      <c r="E28" s="20"/>
      <c r="F28" s="20"/>
      <c r="G28" s="20"/>
      <c r="H28" s="21"/>
      <c r="I28" s="21"/>
    </row>
    <row r="29" spans="2:19">
      <c r="B29" s="58">
        <v>45771</v>
      </c>
      <c r="C29" s="58" t="s">
        <v>195</v>
      </c>
      <c r="D29" s="20">
        <f>'DG Usage'!E29+'DG Usage'!G29</f>
        <v>0</v>
      </c>
      <c r="E29" s="20"/>
      <c r="F29" s="20"/>
      <c r="G29" s="20"/>
      <c r="H29" s="21"/>
      <c r="I29" s="21"/>
    </row>
    <row r="30" spans="2:19">
      <c r="B30" s="58">
        <v>45772</v>
      </c>
      <c r="C30" s="58" t="s">
        <v>196</v>
      </c>
      <c r="D30" s="20">
        <f>'DG Usage'!E30+'DG Usage'!G30</f>
        <v>669</v>
      </c>
      <c r="E30" s="20"/>
      <c r="F30" s="20"/>
      <c r="G30" s="20"/>
      <c r="H30" s="21"/>
      <c r="I30" s="21"/>
    </row>
    <row r="31" spans="2:19">
      <c r="B31" s="58">
        <v>45773</v>
      </c>
      <c r="C31" s="58" t="s">
        <v>197</v>
      </c>
      <c r="D31" s="20">
        <f>'DG Usage'!E31+'DG Usage'!G31</f>
        <v>0</v>
      </c>
      <c r="E31" s="20"/>
      <c r="F31" s="20"/>
      <c r="G31" s="20"/>
      <c r="H31" s="21"/>
      <c r="I31" s="21"/>
    </row>
    <row r="32" spans="2:19" ht="14.25" customHeight="1">
      <c r="B32" s="183">
        <v>45774</v>
      </c>
      <c r="C32" s="183" t="s">
        <v>198</v>
      </c>
      <c r="D32" s="185">
        <f>'DG Usage'!E32+'DG Usage'!G32</f>
        <v>6504</v>
      </c>
      <c r="E32" s="185"/>
      <c r="F32" s="185"/>
      <c r="G32" s="185"/>
      <c r="H32" s="21"/>
      <c r="I32" s="21"/>
    </row>
    <row r="33" spans="2:9" ht="14.25" customHeight="1">
      <c r="B33" s="58">
        <v>45775</v>
      </c>
      <c r="C33" s="58" t="s">
        <v>192</v>
      </c>
      <c r="D33" s="20">
        <f>'DG Usage'!E33+'DG Usage'!G33</f>
        <v>0</v>
      </c>
      <c r="E33" s="20"/>
      <c r="F33" s="20"/>
      <c r="G33" s="20"/>
      <c r="H33" s="21"/>
      <c r="I33" s="21"/>
    </row>
    <row r="34" spans="2:9" ht="14.25" customHeight="1">
      <c r="B34" s="58">
        <v>45776</v>
      </c>
      <c r="C34" s="58" t="s">
        <v>193</v>
      </c>
      <c r="D34" s="20">
        <f>'DG Usage'!E34+'DG Usage'!G34</f>
        <v>0</v>
      </c>
      <c r="E34" s="20"/>
      <c r="F34" s="20"/>
      <c r="G34" s="20"/>
      <c r="H34" s="21"/>
      <c r="I34" s="21"/>
    </row>
    <row r="35" spans="2:9" ht="14.25" customHeight="1">
      <c r="B35" s="58">
        <v>45777</v>
      </c>
      <c r="C35" s="58" t="s">
        <v>194</v>
      </c>
      <c r="D35" s="20">
        <f>'DG Usage'!E35+'DG Usage'!G35</f>
        <v>45</v>
      </c>
      <c r="E35" s="20"/>
      <c r="F35" s="20"/>
      <c r="G35" s="20"/>
      <c r="H35" s="21"/>
      <c r="I35" s="21"/>
    </row>
    <row r="36" spans="2:9">
      <c r="B36" s="58"/>
      <c r="C36" s="58"/>
      <c r="D36" s="20"/>
      <c r="E36" s="20"/>
      <c r="F36" s="20"/>
      <c r="G36" s="20"/>
      <c r="H36" s="21"/>
      <c r="I36" s="21"/>
    </row>
    <row r="37" spans="2:9" ht="29.25" customHeight="1">
      <c r="B37" s="133" t="s">
        <v>7</v>
      </c>
      <c r="C37" s="133"/>
      <c r="D37" s="134">
        <f>SUM(D6:D36)</f>
        <v>25165.75</v>
      </c>
      <c r="E37" s="134">
        <f>SUM(E6:E36)</f>
        <v>0</v>
      </c>
      <c r="F37" s="134">
        <f>SUM(F6:F36)</f>
        <v>0</v>
      </c>
      <c r="G37" s="134">
        <f>SUM(G6:G36)</f>
        <v>0</v>
      </c>
      <c r="H37" s="21"/>
      <c r="I37" s="21"/>
    </row>
    <row r="38" spans="2:9">
      <c r="E38" s="17"/>
    </row>
    <row r="39" spans="2:9">
      <c r="E39" s="39"/>
    </row>
    <row r="40" spans="2:9">
      <c r="E40" s="39"/>
    </row>
    <row r="41" spans="2:9">
      <c r="E41" s="17"/>
      <c r="G41" s="40"/>
    </row>
    <row r="42" spans="2:9">
      <c r="E42" s="17"/>
    </row>
  </sheetData>
  <mergeCells count="2">
    <mergeCell ref="E4:G4"/>
    <mergeCell ref="B4:D4"/>
  </mergeCells>
  <phoneticPr fontId="91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theme="9" tint="-0.249977111117893"/>
  </sheetPr>
  <dimension ref="B3:AD243"/>
  <sheetViews>
    <sheetView zoomScale="90" zoomScaleNormal="90" workbookViewId="0">
      <selection activeCell="G34" sqref="G34"/>
    </sheetView>
  </sheetViews>
  <sheetFormatPr defaultColWidth="9" defaultRowHeight="15"/>
  <cols>
    <col min="2" max="3" width="10.42578125" style="96" customWidth="1"/>
    <col min="4" max="4" width="10.7109375" customWidth="1"/>
    <col min="5" max="5" width="10.85546875" customWidth="1"/>
    <col min="6" max="6" width="10.140625" customWidth="1"/>
    <col min="7" max="7" width="10.5703125" customWidth="1"/>
    <col min="8" max="8" width="11.7109375" customWidth="1"/>
    <col min="9" max="10" width="9.140625" style="17"/>
    <col min="13" max="13" width="12.7109375" customWidth="1"/>
    <col min="14" max="14" width="12.140625" customWidth="1"/>
    <col min="15" max="15" width="10.85546875" customWidth="1"/>
    <col min="16" max="16" width="11.28515625" bestFit="1" customWidth="1"/>
  </cols>
  <sheetData>
    <row r="3" spans="2:20">
      <c r="B3" s="18"/>
      <c r="C3" s="18"/>
      <c r="D3" s="18"/>
      <c r="E3" s="18"/>
      <c r="F3" s="18"/>
    </row>
    <row r="4" spans="2:20" ht="15" customHeight="1">
      <c r="B4" s="310" t="s">
        <v>0</v>
      </c>
      <c r="C4" s="310" t="s">
        <v>149</v>
      </c>
      <c r="D4" s="312" t="s">
        <v>75</v>
      </c>
      <c r="E4" s="314" t="s">
        <v>73</v>
      </c>
      <c r="F4" s="234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2:20">
      <c r="B5" s="311"/>
      <c r="C5" s="311"/>
      <c r="D5" s="313"/>
      <c r="E5" s="314"/>
      <c r="F5" s="234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2:20" ht="15" customHeight="1">
      <c r="B6" s="58">
        <v>45748</v>
      </c>
      <c r="C6" s="58" t="s">
        <v>193</v>
      </c>
      <c r="D6" s="20">
        <f>'DG Usage'!I6+'DG Usage'!K6+'DG Usage'!M6+'DG Usage'!O6</f>
        <v>0</v>
      </c>
      <c r="E6" s="315"/>
      <c r="F6" s="234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2:20" ht="15" customHeight="1">
      <c r="B7" s="58">
        <v>45749</v>
      </c>
      <c r="C7" s="58" t="s">
        <v>194</v>
      </c>
      <c r="D7" s="20">
        <f>'DG Usage'!I7+'DG Usage'!K7+'DG Usage'!M7+'DG Usage'!O7</f>
        <v>0</v>
      </c>
      <c r="E7" s="316"/>
      <c r="F7" s="234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2:20" ht="15" customHeight="1">
      <c r="B8" s="58">
        <v>45750</v>
      </c>
      <c r="C8" s="58" t="s">
        <v>195</v>
      </c>
      <c r="D8" s="20">
        <f>'DG Usage'!I8+'DG Usage'!K8+'DG Usage'!M8+'DG Usage'!O8</f>
        <v>0</v>
      </c>
      <c r="E8" s="316"/>
      <c r="F8" s="234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2:20" ht="15" customHeight="1">
      <c r="B9" s="58">
        <v>45751</v>
      </c>
      <c r="C9" s="58" t="s">
        <v>196</v>
      </c>
      <c r="D9" s="20">
        <f>'DG Usage'!I9+'DG Usage'!K9+'DG Usage'!M9+'DG Usage'!O9</f>
        <v>0</v>
      </c>
      <c r="E9" s="316"/>
      <c r="F9" s="18"/>
    </row>
    <row r="10" spans="2:20" ht="15" customHeight="1">
      <c r="B10" s="58">
        <v>45752</v>
      </c>
      <c r="C10" s="58" t="s">
        <v>197</v>
      </c>
      <c r="D10" s="20">
        <f>'DG Usage'!I10+'DG Usage'!K10+'DG Usage'!M10+'DG Usage'!O10</f>
        <v>0</v>
      </c>
      <c r="E10" s="316"/>
      <c r="F10" s="18"/>
    </row>
    <row r="11" spans="2:20" ht="15" customHeight="1">
      <c r="B11" s="183">
        <v>45753</v>
      </c>
      <c r="C11" s="183" t="s">
        <v>198</v>
      </c>
      <c r="D11" s="185">
        <f>'DG Usage'!I11+'DG Usage'!K11+'DG Usage'!M11+'DG Usage'!O11</f>
        <v>0</v>
      </c>
      <c r="E11" s="316"/>
      <c r="F11" s="19"/>
      <c r="G11" s="19"/>
      <c r="H11" s="19"/>
      <c r="I11" s="19"/>
      <c r="J11" s="19"/>
      <c r="K11" s="19"/>
      <c r="L11" s="19"/>
      <c r="M11" s="19"/>
    </row>
    <row r="12" spans="2:20" ht="15" customHeight="1">
      <c r="B12" s="58">
        <v>45754</v>
      </c>
      <c r="C12" s="58" t="s">
        <v>192</v>
      </c>
      <c r="D12" s="20">
        <f>'DG Usage'!I12+'DG Usage'!K12+'DG Usage'!M12+'DG Usage'!O12</f>
        <v>0</v>
      </c>
      <c r="E12" s="316"/>
      <c r="F12" s="18"/>
    </row>
    <row r="13" spans="2:20" ht="15" customHeight="1">
      <c r="B13" s="58">
        <v>45755</v>
      </c>
      <c r="C13" s="58" t="s">
        <v>193</v>
      </c>
      <c r="D13" s="20">
        <f>'DG Usage'!I13+'DG Usage'!K13+'DG Usage'!M13+'DG Usage'!O13</f>
        <v>556</v>
      </c>
      <c r="E13" s="316"/>
      <c r="F13" s="18"/>
    </row>
    <row r="14" spans="2:20" ht="15" customHeight="1">
      <c r="B14" s="58">
        <v>45756</v>
      </c>
      <c r="C14" s="58" t="s">
        <v>194</v>
      </c>
      <c r="D14" s="20">
        <f>'DG Usage'!I14+'DG Usage'!K14+'DG Usage'!M14+'DG Usage'!O14</f>
        <v>0</v>
      </c>
      <c r="E14" s="316"/>
      <c r="F14" s="18"/>
    </row>
    <row r="15" spans="2:20" ht="15" customHeight="1">
      <c r="B15" s="58">
        <v>45757</v>
      </c>
      <c r="C15" s="58" t="s">
        <v>195</v>
      </c>
      <c r="D15" s="20">
        <f>'DG Usage'!I15+'DG Usage'!K15+'DG Usage'!M15+'DG Usage'!O15</f>
        <v>93.44</v>
      </c>
      <c r="E15" s="316"/>
      <c r="F15" s="18"/>
    </row>
    <row r="16" spans="2:20" ht="15" customHeight="1">
      <c r="B16" s="58">
        <v>45758</v>
      </c>
      <c r="C16" s="58" t="s">
        <v>196</v>
      </c>
      <c r="D16" s="20">
        <f>'DG Usage'!I16+'DG Usage'!K16+'DG Usage'!M16+'DG Usage'!O16</f>
        <v>18265.129999999997</v>
      </c>
      <c r="E16" s="316"/>
      <c r="F16" s="18"/>
    </row>
    <row r="17" spans="2:30" ht="15" customHeight="1">
      <c r="B17" s="58">
        <v>45759</v>
      </c>
      <c r="C17" s="58" t="s">
        <v>197</v>
      </c>
      <c r="D17" s="20">
        <f>'DG Usage'!I17+'DG Usage'!K17+'DG Usage'!M17+'DG Usage'!O17</f>
        <v>10702.27</v>
      </c>
      <c r="E17" s="316"/>
      <c r="F17" s="18"/>
    </row>
    <row r="18" spans="2:30" ht="15" customHeight="1">
      <c r="B18" s="183">
        <v>45760</v>
      </c>
      <c r="C18" s="183" t="s">
        <v>198</v>
      </c>
      <c r="D18" s="185">
        <f>'DG Usage'!I18+'DG Usage'!K18+'DG Usage'!M18+'DG Usage'!O18</f>
        <v>884.57999999999993</v>
      </c>
      <c r="E18" s="316"/>
      <c r="F18" s="18"/>
    </row>
    <row r="19" spans="2:30" ht="15" customHeight="1">
      <c r="B19" s="58">
        <v>45761</v>
      </c>
      <c r="C19" s="58" t="s">
        <v>192</v>
      </c>
      <c r="D19" s="20">
        <f>'DG Usage'!I19+'DG Usage'!K19+'DG Usage'!M19+'DG Usage'!O19</f>
        <v>0</v>
      </c>
      <c r="E19" s="316"/>
      <c r="F19" s="18"/>
    </row>
    <row r="20" spans="2:30" ht="15" customHeight="1">
      <c r="B20" s="58">
        <v>45762</v>
      </c>
      <c r="C20" s="58" t="s">
        <v>193</v>
      </c>
      <c r="D20" s="20">
        <f>'DG Usage'!I20+'DG Usage'!K20+'DG Usage'!M20+'DG Usage'!O20</f>
        <v>0</v>
      </c>
      <c r="E20" s="316"/>
      <c r="F20" s="18"/>
    </row>
    <row r="21" spans="2:30" ht="15" customHeight="1">
      <c r="B21" s="58">
        <v>45763</v>
      </c>
      <c r="C21" s="58" t="s">
        <v>194</v>
      </c>
      <c r="D21" s="20">
        <f>'DG Usage'!I21+'DG Usage'!K21+'DG Usage'!M21+'DG Usage'!O21</f>
        <v>8740.7199999999993</v>
      </c>
      <c r="E21" s="316"/>
      <c r="F21" s="18"/>
    </row>
    <row r="22" spans="2:30" ht="15" customHeight="1">
      <c r="B22" s="58">
        <v>45764</v>
      </c>
      <c r="C22" s="58" t="s">
        <v>195</v>
      </c>
      <c r="D22" s="20">
        <f>'DG Usage'!I22+'DG Usage'!K22+'DG Usage'!M22+'DG Usage'!O22</f>
        <v>0</v>
      </c>
      <c r="E22" s="316"/>
      <c r="F22" s="19"/>
      <c r="G22" s="19"/>
      <c r="H22" s="19"/>
      <c r="I22" s="19"/>
      <c r="J22" s="19"/>
    </row>
    <row r="23" spans="2:30" ht="15" customHeight="1">
      <c r="B23" s="58">
        <v>45765</v>
      </c>
      <c r="C23" s="58" t="s">
        <v>196</v>
      </c>
      <c r="D23" s="20">
        <f>'DG Usage'!I23+'DG Usage'!K23+'DG Usage'!M23+'DG Usage'!O23</f>
        <v>0</v>
      </c>
      <c r="E23" s="316"/>
      <c r="F23" s="19"/>
      <c r="G23" s="19"/>
      <c r="H23" s="19"/>
      <c r="I23" s="19"/>
      <c r="J23" s="19"/>
    </row>
    <row r="24" spans="2:30" ht="15" customHeight="1">
      <c r="B24" s="58">
        <v>45766</v>
      </c>
      <c r="C24" s="58" t="s">
        <v>197</v>
      </c>
      <c r="D24" s="20">
        <f>'DG Usage'!I24+'DG Usage'!K24+'DG Usage'!M24+'DG Usage'!O24</f>
        <v>0</v>
      </c>
      <c r="E24" s="316"/>
      <c r="F24" s="19"/>
      <c r="G24" s="19"/>
      <c r="H24" s="19"/>
      <c r="I24" s="19"/>
      <c r="J24" s="19"/>
      <c r="O24" s="19"/>
      <c r="P24" s="19"/>
    </row>
    <row r="25" spans="2:30" s="15" customFormat="1" ht="15" customHeight="1">
      <c r="B25" s="183">
        <v>45767</v>
      </c>
      <c r="C25" s="183" t="s">
        <v>198</v>
      </c>
      <c r="D25" s="185">
        <f>'DG Usage'!I25+'DG Usage'!K25+'DG Usage'!M25+'DG Usage'!O25</f>
        <v>0</v>
      </c>
      <c r="E25" s="316"/>
      <c r="F25" s="19"/>
      <c r="G25" s="19"/>
      <c r="H25" s="19"/>
      <c r="I25" s="19"/>
      <c r="J25" s="19"/>
      <c r="K25"/>
      <c r="L25"/>
      <c r="M25"/>
      <c r="N25"/>
      <c r="O25" s="19"/>
      <c r="P25" s="19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2:30" ht="15" customHeight="1">
      <c r="B26" s="58">
        <v>45768</v>
      </c>
      <c r="C26" s="58" t="s">
        <v>192</v>
      </c>
      <c r="D26" s="20">
        <f>'DG Usage'!I26+'DG Usage'!K26+'DG Usage'!M26+'DG Usage'!O26</f>
        <v>0</v>
      </c>
      <c r="E26" s="316"/>
      <c r="F26" s="19"/>
      <c r="G26" s="19"/>
      <c r="H26" s="163"/>
      <c r="I26" s="19"/>
      <c r="J26" s="19"/>
      <c r="K26" s="19"/>
      <c r="L26" s="19"/>
      <c r="M26" s="19"/>
      <c r="N26" s="19"/>
      <c r="O26" s="19"/>
      <c r="P26" s="19"/>
    </row>
    <row r="27" spans="2:30" ht="15" customHeight="1">
      <c r="B27" s="58">
        <v>45769</v>
      </c>
      <c r="C27" s="58" t="s">
        <v>193</v>
      </c>
      <c r="D27" s="20">
        <f>'DG Usage'!I27+'DG Usage'!K27+'DG Usage'!M27+'DG Usage'!O27</f>
        <v>0</v>
      </c>
      <c r="E27" s="316"/>
      <c r="F27" s="19"/>
      <c r="G27" s="19"/>
      <c r="H27" s="19"/>
      <c r="I27" s="19"/>
      <c r="J27" s="19"/>
    </row>
    <row r="28" spans="2:30" ht="15" customHeight="1">
      <c r="B28" s="58">
        <v>45770</v>
      </c>
      <c r="C28" s="58" t="s">
        <v>194</v>
      </c>
      <c r="D28" s="20">
        <f>'DG Usage'!I28+'DG Usage'!K28+'DG Usage'!M28+'DG Usage'!O28</f>
        <v>0</v>
      </c>
      <c r="E28" s="316"/>
      <c r="F28" s="19"/>
      <c r="G28" s="19"/>
      <c r="H28" s="19"/>
      <c r="I28" s="19"/>
      <c r="J28" s="19"/>
    </row>
    <row r="29" spans="2:30" ht="15" customHeight="1">
      <c r="B29" s="58">
        <v>45771</v>
      </c>
      <c r="C29" s="58" t="s">
        <v>195</v>
      </c>
      <c r="D29" s="20">
        <f>'DG Usage'!I29+'DG Usage'!K29+'DG Usage'!M29+'DG Usage'!O29</f>
        <v>0</v>
      </c>
      <c r="E29" s="316"/>
      <c r="F29" s="18"/>
      <c r="P29" s="233"/>
    </row>
    <row r="30" spans="2:30" ht="15" customHeight="1">
      <c r="B30" s="58">
        <v>45772</v>
      </c>
      <c r="C30" s="58" t="s">
        <v>196</v>
      </c>
      <c r="D30" s="20">
        <f>'DG Usage'!I30+'DG Usage'!K30+'DG Usage'!M30+'DG Usage'!O30</f>
        <v>2317</v>
      </c>
      <c r="E30" s="316"/>
      <c r="F30" s="18"/>
    </row>
    <row r="31" spans="2:30" ht="15" customHeight="1">
      <c r="B31" s="58">
        <v>45773</v>
      </c>
      <c r="C31" s="58" t="s">
        <v>197</v>
      </c>
      <c r="D31" s="20">
        <f>'DG Usage'!I31+'DG Usage'!K31+'DG Usage'!M31+'DG Usage'!O31</f>
        <v>1038.0899999999999</v>
      </c>
      <c r="E31" s="316"/>
      <c r="F31" s="18"/>
    </row>
    <row r="32" spans="2:30" ht="15" customHeight="1">
      <c r="B32" s="183">
        <v>45774</v>
      </c>
      <c r="C32" s="183" t="s">
        <v>198</v>
      </c>
      <c r="D32" s="185">
        <f>'DG Usage'!I32+'DG Usage'!K32+'DG Usage'!M32+'DG Usage'!O32</f>
        <v>4070.69</v>
      </c>
      <c r="E32" s="316"/>
      <c r="F32" s="18"/>
    </row>
    <row r="33" spans="2:6" ht="15" customHeight="1">
      <c r="B33" s="58">
        <v>45775</v>
      </c>
      <c r="C33" s="58" t="s">
        <v>192</v>
      </c>
      <c r="D33" s="20">
        <f>'DG Usage'!I33+'DG Usage'!K33+'DG Usage'!M33+'DG Usage'!O33</f>
        <v>0</v>
      </c>
      <c r="E33" s="316"/>
      <c r="F33" s="18"/>
    </row>
    <row r="34" spans="2:6" ht="15" customHeight="1">
      <c r="B34" s="58">
        <v>45776</v>
      </c>
      <c r="C34" s="58" t="s">
        <v>193</v>
      </c>
      <c r="D34" s="20">
        <f>'DG Usage'!I34+'DG Usage'!K34+'DG Usage'!M34+'DG Usage'!O34</f>
        <v>0</v>
      </c>
      <c r="E34" s="316"/>
      <c r="F34" s="18"/>
    </row>
    <row r="35" spans="2:6" ht="15" customHeight="1">
      <c r="B35" s="58">
        <v>45777</v>
      </c>
      <c r="C35" s="58" t="s">
        <v>194</v>
      </c>
      <c r="D35" s="20">
        <f>'DG Usage'!I35+'DG Usage'!K35+'DG Usage'!M35+'DG Usage'!O35</f>
        <v>13</v>
      </c>
      <c r="E35" s="316"/>
      <c r="F35" s="18"/>
    </row>
    <row r="36" spans="2:6" ht="15" customHeight="1">
      <c r="B36" s="58"/>
      <c r="C36" s="58"/>
      <c r="D36" s="20"/>
      <c r="E36" s="317"/>
      <c r="F36" s="18"/>
    </row>
    <row r="37" spans="2:6" ht="39" customHeight="1">
      <c r="B37" s="136" t="s">
        <v>7</v>
      </c>
      <c r="C37" s="136"/>
      <c r="D37" s="135">
        <f>SUM(D6:D36)</f>
        <v>46680.92</v>
      </c>
      <c r="E37" s="133">
        <f>E6</f>
        <v>0</v>
      </c>
      <c r="F37" s="18"/>
    </row>
    <row r="39" spans="2:6">
      <c r="D39" s="22"/>
      <c r="E39" s="22"/>
    </row>
    <row r="40" spans="2:6">
      <c r="E40" s="23"/>
    </row>
    <row r="41" spans="2:6">
      <c r="D41" s="44"/>
    </row>
    <row r="76" spans="6:16">
      <c r="F76" s="24"/>
      <c r="H76" t="s">
        <v>76</v>
      </c>
    </row>
    <row r="77" spans="6:16">
      <c r="F77" s="17"/>
      <c r="H77" s="93" t="s">
        <v>120</v>
      </c>
      <c r="I77" s="28">
        <v>4087</v>
      </c>
      <c r="K77">
        <f>9*230</f>
        <v>2070</v>
      </c>
      <c r="N77" s="232" t="s">
        <v>77</v>
      </c>
      <c r="O77" s="232"/>
      <c r="P77" s="30"/>
    </row>
    <row r="78" spans="6:16">
      <c r="F78" s="17"/>
      <c r="H78" t="s">
        <v>78</v>
      </c>
      <c r="I78" s="28">
        <v>12000</v>
      </c>
      <c r="J78" s="17">
        <f>I78*69.14</f>
        <v>829680</v>
      </c>
      <c r="N78" s="232" t="s">
        <v>79</v>
      </c>
      <c r="O78" s="232"/>
      <c r="P78" s="30"/>
    </row>
    <row r="79" spans="6:16" ht="18.75">
      <c r="F79" s="17"/>
      <c r="H79" s="71"/>
      <c r="I79" s="77">
        <f>SUM(I77:I78)</f>
        <v>16087</v>
      </c>
      <c r="J79" s="72"/>
      <c r="N79" s="232" t="s">
        <v>80</v>
      </c>
      <c r="O79" s="232"/>
      <c r="P79" s="30"/>
    </row>
    <row r="80" spans="6:16">
      <c r="F80" s="17"/>
      <c r="H80" s="93" t="s">
        <v>120</v>
      </c>
      <c r="I80" s="28">
        <v>4087</v>
      </c>
      <c r="N80" s="232" t="s">
        <v>81</v>
      </c>
      <c r="O80" s="232"/>
      <c r="P80" s="30"/>
    </row>
    <row r="81" spans="6:16">
      <c r="F81" s="17"/>
      <c r="H81" t="s">
        <v>82</v>
      </c>
      <c r="I81" s="17">
        <f>I79-I80</f>
        <v>12000</v>
      </c>
      <c r="N81" s="232" t="s">
        <v>83</v>
      </c>
      <c r="O81" s="232"/>
      <c r="P81" s="30"/>
    </row>
    <row r="82" spans="6:16">
      <c r="F82" s="17"/>
      <c r="H82" s="29" t="s">
        <v>84</v>
      </c>
      <c r="I82" s="25">
        <v>9050</v>
      </c>
      <c r="J82" s="63" t="s">
        <v>109</v>
      </c>
      <c r="M82" t="s">
        <v>85</v>
      </c>
    </row>
    <row r="83" spans="6:16">
      <c r="F83" s="17"/>
      <c r="H83" s="29" t="s">
        <v>86</v>
      </c>
      <c r="I83" s="25">
        <v>0</v>
      </c>
      <c r="J83" s="63" t="s">
        <v>109</v>
      </c>
      <c r="M83" s="25" t="s">
        <v>87</v>
      </c>
      <c r="N83" s="25" t="s">
        <v>88</v>
      </c>
      <c r="O83" s="25"/>
    </row>
    <row r="84" spans="6:16">
      <c r="F84" s="17"/>
      <c r="H84" s="29" t="s">
        <v>89</v>
      </c>
      <c r="I84" s="25">
        <v>120</v>
      </c>
      <c r="J84" s="63" t="s">
        <v>109</v>
      </c>
      <c r="M84" s="25" t="s">
        <v>84</v>
      </c>
      <c r="N84" s="25">
        <f>I82</f>
        <v>9050</v>
      </c>
      <c r="O84" s="63" t="s">
        <v>109</v>
      </c>
    </row>
    <row r="85" spans="6:16">
      <c r="F85" s="17"/>
      <c r="H85" s="29" t="s">
        <v>90</v>
      </c>
      <c r="I85" s="25">
        <v>0</v>
      </c>
      <c r="J85" s="63" t="s">
        <v>109</v>
      </c>
      <c r="M85" s="25" t="s">
        <v>86</v>
      </c>
      <c r="N85" s="25">
        <f t="shared" ref="N85:N87" si="0">I83</f>
        <v>0</v>
      </c>
      <c r="O85" s="63" t="s">
        <v>109</v>
      </c>
    </row>
    <row r="86" spans="6:16">
      <c r="F86" s="17"/>
      <c r="H86" s="29" t="s">
        <v>91</v>
      </c>
      <c r="I86" s="25">
        <v>90</v>
      </c>
      <c r="J86" s="63" t="s">
        <v>109</v>
      </c>
      <c r="M86" s="25" t="s">
        <v>89</v>
      </c>
      <c r="N86" s="25">
        <f t="shared" si="0"/>
        <v>120</v>
      </c>
      <c r="O86" s="63" t="s">
        <v>109</v>
      </c>
    </row>
    <row r="87" spans="6:16">
      <c r="F87" s="17"/>
      <c r="H87" t="s">
        <v>92</v>
      </c>
      <c r="I87" s="17">
        <f>I81-I82-I83-I84-I85-I86</f>
        <v>2740</v>
      </c>
      <c r="M87" s="25" t="s">
        <v>90</v>
      </c>
      <c r="N87" s="25">
        <f t="shared" si="0"/>
        <v>0</v>
      </c>
      <c r="O87" s="63" t="s">
        <v>109</v>
      </c>
    </row>
    <row r="88" spans="6:16">
      <c r="F88" s="17"/>
      <c r="H88" t="s">
        <v>93</v>
      </c>
      <c r="I88" s="17">
        <v>0</v>
      </c>
      <c r="M88" s="25" t="s">
        <v>94</v>
      </c>
      <c r="N88" s="25">
        <v>0</v>
      </c>
      <c r="O88" s="63" t="s">
        <v>109</v>
      </c>
    </row>
    <row r="89" spans="6:16">
      <c r="H89" t="s">
        <v>95</v>
      </c>
      <c r="I89" s="17">
        <v>0</v>
      </c>
      <c r="M89" s="25" t="s">
        <v>96</v>
      </c>
      <c r="N89" s="25">
        <v>36</v>
      </c>
      <c r="O89" s="63" t="s">
        <v>109</v>
      </c>
    </row>
    <row r="90" spans="6:16">
      <c r="H90" s="17" t="s">
        <v>97</v>
      </c>
    </row>
    <row r="91" spans="6:16">
      <c r="H91" t="s">
        <v>98</v>
      </c>
      <c r="I91" s="28">
        <f>(I87-I90)+I88+I89</f>
        <v>2740</v>
      </c>
    </row>
    <row r="92" spans="6:16">
      <c r="K92" s="17"/>
    </row>
    <row r="93" spans="6:16">
      <c r="K93" s="17"/>
    </row>
    <row r="94" spans="6:16">
      <c r="H94" s="66"/>
      <c r="K94" s="17"/>
    </row>
    <row r="95" spans="6:16">
      <c r="H95" s="66"/>
      <c r="K95" s="17"/>
      <c r="M95" s="17"/>
    </row>
    <row r="96" spans="6:16">
      <c r="K96" s="17"/>
      <c r="M96" s="17"/>
    </row>
    <row r="97" spans="2:13">
      <c r="J97" s="64"/>
      <c r="K97" s="17"/>
      <c r="M97" s="17"/>
    </row>
    <row r="98" spans="2:13">
      <c r="K98" s="17"/>
      <c r="M98" s="17"/>
    </row>
    <row r="99" spans="2:13">
      <c r="K99" s="17"/>
      <c r="M99" s="17"/>
    </row>
    <row r="100" spans="2:13">
      <c r="K100" s="17"/>
      <c r="M100" s="17"/>
    </row>
    <row r="103" spans="2:13">
      <c r="B103" s="97"/>
      <c r="C103" s="97"/>
      <c r="D103" s="25"/>
      <c r="E103" s="25"/>
    </row>
    <row r="104" spans="2:13">
      <c r="B104" s="97"/>
      <c r="C104" s="97"/>
      <c r="D104" s="25"/>
      <c r="E104" s="25"/>
    </row>
    <row r="105" spans="2:13">
      <c r="B105" s="97"/>
      <c r="C105" s="97"/>
      <c r="D105" s="25"/>
      <c r="E105" s="25"/>
    </row>
    <row r="106" spans="2:13">
      <c r="B106" s="98"/>
      <c r="C106" s="98"/>
      <c r="D106" s="25"/>
      <c r="E106" s="25"/>
      <c r="F106" s="21"/>
      <c r="H106" s="29"/>
      <c r="I106" s="26"/>
      <c r="J106" s="26"/>
      <c r="K106" s="26"/>
      <c r="L106" s="29"/>
    </row>
    <row r="107" spans="2:13">
      <c r="B107" s="98"/>
      <c r="C107" s="98"/>
      <c r="D107" s="25"/>
      <c r="E107" s="25"/>
      <c r="F107" s="21"/>
      <c r="H107" s="29"/>
      <c r="I107" s="25"/>
      <c r="J107" s="25"/>
      <c r="K107" s="25"/>
      <c r="L107" s="25"/>
    </row>
    <row r="108" spans="2:13">
      <c r="B108" s="98"/>
      <c r="C108" s="98"/>
      <c r="D108" s="25"/>
      <c r="E108" s="25"/>
      <c r="F108" s="21"/>
      <c r="H108" s="29"/>
      <c r="I108" s="25"/>
      <c r="J108" s="25"/>
      <c r="K108" s="25"/>
      <c r="L108" s="25"/>
    </row>
    <row r="109" spans="2:13">
      <c r="B109" s="99"/>
      <c r="C109" s="99"/>
      <c r="D109" s="25"/>
      <c r="E109" s="25"/>
      <c r="F109" s="21"/>
      <c r="H109" s="29"/>
      <c r="I109" s="25"/>
      <c r="J109" s="25"/>
      <c r="K109" s="25"/>
      <c r="L109" s="25"/>
    </row>
    <row r="110" spans="2:13">
      <c r="H110" s="29"/>
      <c r="I110" s="25"/>
      <c r="J110" s="25"/>
      <c r="K110" s="25"/>
      <c r="L110" s="25"/>
    </row>
    <row r="112" spans="2:13">
      <c r="K112" s="17"/>
      <c r="L112" s="17"/>
    </row>
    <row r="114" spans="9:9">
      <c r="I114"/>
    </row>
    <row r="115" spans="9:9">
      <c r="I115"/>
    </row>
    <row r="116" spans="9:9">
      <c r="I116"/>
    </row>
    <row r="205" spans="2:11">
      <c r="I205"/>
      <c r="J205"/>
      <c r="K205" s="17"/>
    </row>
    <row r="206" spans="2:11" s="16" customFormat="1">
      <c r="B206" s="100"/>
      <c r="C206" s="100"/>
      <c r="G206" s="31" t="s">
        <v>0</v>
      </c>
      <c r="H206" s="33">
        <v>43391</v>
      </c>
      <c r="I206" s="33">
        <v>43422</v>
      </c>
      <c r="J206" s="34"/>
      <c r="K206" s="34"/>
    </row>
    <row r="207" spans="2:11">
      <c r="G207" s="32">
        <v>1</v>
      </c>
      <c r="H207" s="25">
        <v>230</v>
      </c>
      <c r="I207" s="25">
        <v>690</v>
      </c>
      <c r="K207" s="17"/>
    </row>
    <row r="208" spans="2:11">
      <c r="G208" s="32">
        <v>2</v>
      </c>
      <c r="H208" s="25">
        <v>0</v>
      </c>
      <c r="I208" s="25">
        <v>460</v>
      </c>
      <c r="K208" s="17"/>
    </row>
    <row r="209" spans="7:11">
      <c r="G209" s="32">
        <v>3</v>
      </c>
      <c r="H209" s="25">
        <v>460</v>
      </c>
      <c r="I209" s="25">
        <v>460</v>
      </c>
      <c r="K209" s="17"/>
    </row>
    <row r="210" spans="7:11">
      <c r="G210" s="32">
        <v>4</v>
      </c>
      <c r="H210" s="25">
        <v>460</v>
      </c>
      <c r="I210" s="25">
        <v>0</v>
      </c>
      <c r="K210" s="17"/>
    </row>
    <row r="211" spans="7:11">
      <c r="G211" s="32">
        <v>5</v>
      </c>
      <c r="H211" s="25">
        <v>460</v>
      </c>
      <c r="I211" s="25">
        <v>230</v>
      </c>
      <c r="K211" s="17"/>
    </row>
    <row r="212" spans="7:11">
      <c r="G212" s="32">
        <v>6</v>
      </c>
      <c r="H212" s="25">
        <v>460</v>
      </c>
      <c r="I212" s="25">
        <v>0</v>
      </c>
      <c r="K212" s="17"/>
    </row>
    <row r="213" spans="7:11">
      <c r="G213" s="32">
        <v>7</v>
      </c>
      <c r="H213" s="25">
        <v>0</v>
      </c>
      <c r="I213" s="25">
        <v>0</v>
      </c>
      <c r="K213" s="17"/>
    </row>
    <row r="214" spans="7:11">
      <c r="G214" s="32">
        <v>8</v>
      </c>
      <c r="H214" s="25">
        <v>460</v>
      </c>
      <c r="I214" s="25">
        <v>0</v>
      </c>
      <c r="K214" s="17"/>
    </row>
    <row r="215" spans="7:11">
      <c r="G215" s="32">
        <v>9</v>
      </c>
      <c r="H215" s="25">
        <v>230</v>
      </c>
      <c r="I215" s="25">
        <v>460</v>
      </c>
      <c r="K215" s="17"/>
    </row>
    <row r="216" spans="7:11">
      <c r="G216" s="32">
        <v>10</v>
      </c>
      <c r="H216" s="25">
        <v>460</v>
      </c>
      <c r="I216" s="25">
        <v>460</v>
      </c>
      <c r="K216" s="17"/>
    </row>
    <row r="217" spans="7:11">
      <c r="G217" s="32">
        <v>11</v>
      </c>
      <c r="H217" s="25">
        <v>230</v>
      </c>
      <c r="I217" s="25">
        <v>0</v>
      </c>
      <c r="K217" s="17"/>
    </row>
    <row r="218" spans="7:11">
      <c r="G218" s="32">
        <v>12</v>
      </c>
      <c r="H218" s="25">
        <v>690</v>
      </c>
      <c r="I218" s="25">
        <v>690</v>
      </c>
      <c r="K218" s="17"/>
    </row>
    <row r="219" spans="7:11">
      <c r="G219" s="32">
        <v>13</v>
      </c>
      <c r="H219" s="25">
        <v>0</v>
      </c>
      <c r="I219" s="25">
        <v>460</v>
      </c>
      <c r="K219" s="17"/>
    </row>
    <row r="220" spans="7:11">
      <c r="G220" s="32">
        <v>14</v>
      </c>
      <c r="H220" s="25">
        <v>460</v>
      </c>
      <c r="I220" s="25">
        <v>460</v>
      </c>
      <c r="K220" s="17"/>
    </row>
    <row r="221" spans="7:11">
      <c r="G221" s="32">
        <v>15</v>
      </c>
      <c r="H221" s="25">
        <v>0</v>
      </c>
      <c r="I221" s="25">
        <v>460</v>
      </c>
      <c r="K221" s="17"/>
    </row>
    <row r="222" spans="7:11">
      <c r="G222" s="32">
        <v>16</v>
      </c>
      <c r="H222" s="25">
        <v>690</v>
      </c>
      <c r="I222" s="25">
        <v>230</v>
      </c>
      <c r="K222" s="17"/>
    </row>
    <row r="223" spans="7:11">
      <c r="G223" s="32">
        <v>17</v>
      </c>
      <c r="H223" s="25">
        <v>460</v>
      </c>
      <c r="I223" s="25">
        <v>460</v>
      </c>
      <c r="K223" s="17"/>
    </row>
    <row r="224" spans="7:11">
      <c r="G224" s="32">
        <v>18</v>
      </c>
      <c r="H224" s="25">
        <v>460</v>
      </c>
      <c r="I224" s="25">
        <v>0</v>
      </c>
      <c r="K224" s="17"/>
    </row>
    <row r="225" spans="7:11">
      <c r="G225" s="32">
        <v>19</v>
      </c>
      <c r="H225" s="25">
        <v>690</v>
      </c>
      <c r="I225" s="25">
        <v>460</v>
      </c>
      <c r="K225" s="17"/>
    </row>
    <row r="226" spans="7:11">
      <c r="G226" s="32">
        <v>20</v>
      </c>
      <c r="H226" s="25">
        <v>0</v>
      </c>
      <c r="I226" s="25">
        <v>460</v>
      </c>
      <c r="K226" s="17"/>
    </row>
    <row r="227" spans="7:11">
      <c r="G227" s="32">
        <v>21</v>
      </c>
      <c r="H227" s="25">
        <v>0</v>
      </c>
      <c r="I227" s="25">
        <v>230</v>
      </c>
      <c r="K227" s="17"/>
    </row>
    <row r="228" spans="7:11">
      <c r="G228" s="32">
        <v>22</v>
      </c>
      <c r="H228" s="25">
        <v>460</v>
      </c>
      <c r="I228" s="25">
        <v>0</v>
      </c>
      <c r="K228" s="17"/>
    </row>
    <row r="229" spans="7:11">
      <c r="G229" s="32">
        <v>23</v>
      </c>
      <c r="H229" s="25">
        <v>0</v>
      </c>
      <c r="I229" s="25">
        <v>460</v>
      </c>
      <c r="K229" s="17"/>
    </row>
    <row r="230" spans="7:11">
      <c r="G230" s="32">
        <v>24</v>
      </c>
      <c r="H230" s="25">
        <v>460</v>
      </c>
      <c r="I230" s="25">
        <v>460</v>
      </c>
      <c r="K230" s="17"/>
    </row>
    <row r="231" spans="7:11">
      <c r="G231" s="32">
        <v>25</v>
      </c>
      <c r="H231" s="25">
        <v>230</v>
      </c>
      <c r="I231" s="25">
        <v>0</v>
      </c>
      <c r="K231" s="17"/>
    </row>
    <row r="232" spans="7:11">
      <c r="G232" s="32">
        <v>26</v>
      </c>
      <c r="H232" s="25">
        <v>460</v>
      </c>
      <c r="I232" s="25">
        <v>690</v>
      </c>
      <c r="K232" s="17"/>
    </row>
    <row r="233" spans="7:11">
      <c r="G233" s="32">
        <v>27</v>
      </c>
      <c r="H233" s="35">
        <v>460</v>
      </c>
      <c r="I233" s="25">
        <v>0</v>
      </c>
      <c r="K233" s="17"/>
    </row>
    <row r="234" spans="7:11">
      <c r="G234" s="32">
        <v>28</v>
      </c>
      <c r="H234" s="35">
        <v>0</v>
      </c>
      <c r="I234" s="25">
        <v>460</v>
      </c>
      <c r="K234" s="17"/>
    </row>
    <row r="235" spans="7:11">
      <c r="G235" s="32">
        <v>29</v>
      </c>
      <c r="H235" s="35">
        <v>460</v>
      </c>
      <c r="I235" s="25">
        <v>460</v>
      </c>
      <c r="K235" s="17"/>
    </row>
    <row r="236" spans="7:11">
      <c r="G236" s="32">
        <v>30</v>
      </c>
      <c r="H236" s="35">
        <v>230</v>
      </c>
      <c r="I236" s="25">
        <v>460</v>
      </c>
      <c r="K236" s="17"/>
    </row>
    <row r="237" spans="7:11">
      <c r="G237" s="32">
        <v>31</v>
      </c>
      <c r="H237" s="35">
        <v>230</v>
      </c>
      <c r="I237" s="25">
        <v>0</v>
      </c>
    </row>
    <row r="238" spans="7:11">
      <c r="G238" s="25" t="s">
        <v>7</v>
      </c>
      <c r="H238" s="25">
        <f>SUM(H207:H237)</f>
        <v>9890</v>
      </c>
      <c r="I238" s="25">
        <f>SUM(I207:I237)</f>
        <v>9660</v>
      </c>
    </row>
    <row r="239" spans="7:11">
      <c r="H239" s="17">
        <v>10000</v>
      </c>
    </row>
    <row r="240" spans="7:11">
      <c r="H240" s="17">
        <f>H239-H238</f>
        <v>110</v>
      </c>
    </row>
    <row r="243" spans="9:9">
      <c r="I243" s="17" t="s">
        <v>99</v>
      </c>
    </row>
  </sheetData>
  <mergeCells count="5">
    <mergeCell ref="B4:B5"/>
    <mergeCell ref="D4:D5"/>
    <mergeCell ref="E4:E5"/>
    <mergeCell ref="E6:E36"/>
    <mergeCell ref="C4:C5"/>
  </mergeCells>
  <phoneticPr fontId="91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92D050"/>
    <pageSetUpPr fitToPage="1"/>
  </sheetPr>
  <dimension ref="A2:DI99"/>
  <sheetViews>
    <sheetView topLeftCell="A19" zoomScale="85" zoomScaleNormal="85" workbookViewId="0">
      <selection activeCell="U37" sqref="U37"/>
    </sheetView>
  </sheetViews>
  <sheetFormatPr defaultColWidth="9.140625" defaultRowHeight="21"/>
  <cols>
    <col min="1" max="1" width="11.7109375" style="3" bestFit="1" customWidth="1"/>
    <col min="2" max="3" width="11.7109375" style="5" customWidth="1"/>
    <col min="4" max="4" width="13.140625" style="5" customWidth="1"/>
    <col min="5" max="5" width="13.140625" style="3" customWidth="1"/>
    <col min="6" max="6" width="12" style="3" bestFit="1" customWidth="1"/>
    <col min="7" max="7" width="11.28515625" style="3" customWidth="1"/>
    <col min="8" max="8" width="9.28515625" style="3" customWidth="1"/>
    <col min="9" max="9" width="11" style="3" bestFit="1" customWidth="1"/>
    <col min="10" max="10" width="11.7109375" style="3" customWidth="1"/>
    <col min="11" max="11" width="12.85546875" style="3" customWidth="1"/>
    <col min="12" max="12" width="9.42578125" style="3" customWidth="1"/>
    <col min="13" max="13" width="11.28515625" style="3" customWidth="1"/>
    <col min="14" max="14" width="12.28515625" style="3" customWidth="1"/>
    <col min="15" max="15" width="11" style="3" bestFit="1" customWidth="1"/>
    <col min="16" max="16" width="13.28515625" style="3" customWidth="1"/>
    <col min="17" max="19" width="10.7109375" style="3" customWidth="1"/>
    <col min="20" max="20" width="16.28515625" style="3" bestFit="1" customWidth="1"/>
    <col min="21" max="35" width="10.7109375" style="3" customWidth="1"/>
    <col min="36" max="36" width="12.28515625" style="3" bestFit="1" customWidth="1"/>
    <col min="37" max="50" width="10.7109375" style="3" customWidth="1"/>
    <col min="51" max="52" width="9.140625" style="3" customWidth="1"/>
    <col min="53" max="53" width="12.7109375" style="4" customWidth="1"/>
    <col min="54" max="54" width="9.140625" style="3" customWidth="1"/>
    <col min="55" max="55" width="9.140625" style="4" customWidth="1"/>
    <col min="56" max="56" width="17.7109375" style="4" bestFit="1" customWidth="1"/>
    <col min="57" max="60" width="9.140625" style="3" customWidth="1"/>
    <col min="61" max="61" width="13.140625" style="3" bestFit="1" customWidth="1"/>
    <col min="62" max="62" width="17.7109375" style="4" bestFit="1" customWidth="1"/>
    <col min="63" max="63" width="11.5703125" style="3" bestFit="1" customWidth="1"/>
    <col min="64" max="64" width="17.7109375" style="4" bestFit="1" customWidth="1"/>
    <col min="65" max="65" width="9.140625" style="3" customWidth="1"/>
    <col min="66" max="66" width="11.5703125" style="3" bestFit="1" customWidth="1"/>
    <col min="67" max="67" width="17.7109375" style="3" bestFit="1" customWidth="1"/>
    <col min="68" max="68" width="11.5703125" style="3" bestFit="1" customWidth="1"/>
    <col min="69" max="69" width="17.7109375" style="3" bestFit="1" customWidth="1"/>
    <col min="70" max="70" width="9.140625" style="3" customWidth="1"/>
    <col min="71" max="71" width="11.5703125" style="3" bestFit="1" customWidth="1"/>
    <col min="72" max="72" width="17.7109375" style="3" bestFit="1" customWidth="1"/>
    <col min="73" max="73" width="11.5703125" style="3" bestFit="1" customWidth="1"/>
    <col min="74" max="74" width="17.7109375" style="3" bestFit="1" customWidth="1"/>
    <col min="75" max="76" width="9.140625" style="3" customWidth="1"/>
    <col min="77" max="79" width="9.140625" style="3"/>
    <col min="80" max="80" width="14" style="4" bestFit="1" customWidth="1"/>
    <col min="81" max="81" width="10.7109375" style="3" bestFit="1" customWidth="1"/>
    <col min="82" max="83" width="13.140625" style="3" bestFit="1" customWidth="1"/>
    <col min="84" max="85" width="9.140625" style="3"/>
    <col min="86" max="86" width="12.28515625" style="4" bestFit="1" customWidth="1"/>
    <col min="87" max="87" width="10.7109375" style="4" bestFit="1" customWidth="1"/>
    <col min="88" max="88" width="13.140625" style="3" bestFit="1" customWidth="1"/>
    <col min="89" max="89" width="11.5703125" style="4" bestFit="1" customWidth="1"/>
    <col min="90" max="92" width="9.140625" style="3"/>
    <col min="93" max="93" width="10.7109375" style="3" bestFit="1" customWidth="1"/>
    <col min="94" max="94" width="14" style="3" bestFit="1" customWidth="1"/>
    <col min="95" max="95" width="11.5703125" style="3" bestFit="1" customWidth="1"/>
    <col min="96" max="97" width="9.140625" style="3"/>
    <col min="98" max="98" width="10.7109375" style="4" bestFit="1" customWidth="1"/>
    <col min="99" max="99" width="14.7109375" style="4" bestFit="1" customWidth="1"/>
    <col min="100" max="100" width="15.5703125" style="3" bestFit="1" customWidth="1"/>
    <col min="101" max="101" width="16.42578125" style="3" bestFit="1" customWidth="1"/>
    <col min="102" max="103" width="9.140625" style="3"/>
    <col min="104" max="104" width="9.140625" style="4"/>
    <col min="105" max="105" width="12.140625" style="4" bestFit="1" customWidth="1"/>
    <col min="106" max="106" width="14.7109375" style="4" bestFit="1" customWidth="1"/>
    <col min="107" max="107" width="12.140625" style="4" bestFit="1" customWidth="1"/>
    <col min="108" max="109" width="9.140625" style="3"/>
    <col min="110" max="110" width="10.7109375" style="4" bestFit="1" customWidth="1"/>
    <col min="111" max="111" width="12.28515625" style="4" bestFit="1" customWidth="1"/>
    <col min="112" max="113" width="11.5703125" style="4" bestFit="1" customWidth="1"/>
    <col min="114" max="16384" width="9.140625" style="3"/>
  </cols>
  <sheetData>
    <row r="2" spans="2:113" ht="21.75" thickBot="1"/>
    <row r="3" spans="2:113" ht="33" customHeight="1" thickBot="1">
      <c r="B3" s="319" t="s">
        <v>145</v>
      </c>
      <c r="C3" s="320"/>
      <c r="D3" s="320"/>
      <c r="E3" s="320"/>
      <c r="F3" s="320"/>
      <c r="G3" s="320"/>
      <c r="H3" s="319" t="s">
        <v>146</v>
      </c>
      <c r="I3" s="320"/>
      <c r="J3" s="320"/>
      <c r="K3" s="320"/>
      <c r="L3" s="320"/>
      <c r="M3" s="320"/>
      <c r="N3" s="320"/>
      <c r="O3" s="330"/>
      <c r="CA3" s="84"/>
      <c r="CB3" s="85"/>
      <c r="CC3" s="84"/>
      <c r="CD3" s="84"/>
      <c r="CE3" s="84"/>
      <c r="CF3" s="84"/>
      <c r="CG3" s="84"/>
      <c r="CH3" s="87" t="s">
        <v>104</v>
      </c>
      <c r="CI3" s="87"/>
      <c r="CJ3" s="86" t="s">
        <v>110</v>
      </c>
      <c r="CK3" s="87"/>
      <c r="CL3" s="84"/>
      <c r="CM3" s="84"/>
      <c r="CN3" s="84"/>
      <c r="CO3" s="84"/>
      <c r="CP3" s="84"/>
      <c r="CQ3" s="84"/>
      <c r="CR3" s="84"/>
      <c r="CS3" s="84"/>
      <c r="CT3" s="85"/>
      <c r="CU3" s="85"/>
      <c r="CV3" s="84"/>
    </row>
    <row r="4" spans="2:113" s="1" customFormat="1" ht="64.5" customHeight="1">
      <c r="B4" s="140" t="s">
        <v>100</v>
      </c>
      <c r="C4" s="153"/>
      <c r="D4" s="328" t="s">
        <v>101</v>
      </c>
      <c r="E4" s="329"/>
      <c r="F4" s="318" t="s">
        <v>102</v>
      </c>
      <c r="G4" s="318"/>
      <c r="H4" s="318" t="s">
        <v>103</v>
      </c>
      <c r="I4" s="318"/>
      <c r="J4" s="318" t="s">
        <v>143</v>
      </c>
      <c r="K4" s="318"/>
      <c r="L4" s="318" t="s">
        <v>173</v>
      </c>
      <c r="M4" s="318"/>
      <c r="N4" s="318" t="s">
        <v>144</v>
      </c>
      <c r="O4" s="318"/>
      <c r="AZ4" s="318" t="s">
        <v>144</v>
      </c>
      <c r="BA4" s="318"/>
      <c r="BC4" s="318" t="s">
        <v>144</v>
      </c>
      <c r="BD4" s="318"/>
      <c r="BI4" s="318" t="s">
        <v>170</v>
      </c>
      <c r="BJ4" s="318"/>
      <c r="BK4" s="318" t="s">
        <v>170</v>
      </c>
      <c r="BL4" s="318"/>
      <c r="BN4" s="318" t="s">
        <v>171</v>
      </c>
      <c r="BO4" s="318"/>
      <c r="BP4" s="318" t="s">
        <v>171</v>
      </c>
      <c r="BQ4" s="318"/>
      <c r="BS4" s="318" t="s">
        <v>172</v>
      </c>
      <c r="BT4" s="318"/>
      <c r="BU4" s="318" t="s">
        <v>172</v>
      </c>
      <c r="BV4" s="318"/>
      <c r="CA4" s="88"/>
      <c r="CB4" s="325" t="s">
        <v>119</v>
      </c>
      <c r="CC4" s="326"/>
      <c r="CD4" s="326"/>
      <c r="CE4" s="327"/>
      <c r="CF4" s="88"/>
      <c r="CG4" s="84"/>
      <c r="CH4" s="103" t="s">
        <v>102</v>
      </c>
      <c r="CI4" s="87"/>
      <c r="CJ4" s="86"/>
      <c r="CK4" s="87"/>
      <c r="CL4" s="88"/>
      <c r="CM4" s="88"/>
      <c r="CN4" s="321">
        <v>1250</v>
      </c>
      <c r="CO4" s="321"/>
      <c r="CP4" s="88"/>
      <c r="CQ4" s="88"/>
      <c r="CR4" s="88"/>
      <c r="CS4" s="88"/>
      <c r="CT4" s="321">
        <v>1500</v>
      </c>
      <c r="CU4" s="321"/>
      <c r="CV4" s="88"/>
      <c r="CY4" s="88"/>
      <c r="CZ4" s="321" t="s">
        <v>118</v>
      </c>
      <c r="DA4" s="321"/>
      <c r="DB4" s="102"/>
      <c r="DC4" s="102"/>
      <c r="DE4" s="88"/>
      <c r="DF4" s="321" t="s">
        <v>121</v>
      </c>
      <c r="DG4" s="321"/>
      <c r="DH4" s="102"/>
      <c r="DI4" s="102"/>
    </row>
    <row r="5" spans="2:113">
      <c r="B5" s="137" t="s">
        <v>0</v>
      </c>
      <c r="C5" s="137"/>
      <c r="D5" s="137" t="s">
        <v>104</v>
      </c>
      <c r="E5" s="138" t="s">
        <v>105</v>
      </c>
      <c r="F5" s="137" t="s">
        <v>104</v>
      </c>
      <c r="G5" s="137" t="s">
        <v>105</v>
      </c>
      <c r="H5" s="137" t="s">
        <v>104</v>
      </c>
      <c r="I5" s="137" t="s">
        <v>105</v>
      </c>
      <c r="J5" s="137" t="s">
        <v>104</v>
      </c>
      <c r="K5" s="137" t="s">
        <v>105</v>
      </c>
      <c r="L5" s="137" t="s">
        <v>104</v>
      </c>
      <c r="M5" s="137" t="s">
        <v>105</v>
      </c>
      <c r="N5" s="137" t="s">
        <v>104</v>
      </c>
      <c r="O5" s="137" t="s">
        <v>105</v>
      </c>
      <c r="AH5" s="4" t="s">
        <v>176</v>
      </c>
      <c r="AI5" s="4">
        <v>1.9</v>
      </c>
      <c r="AK5" s="4" t="s">
        <v>177</v>
      </c>
      <c r="AL5" s="3">
        <v>1000</v>
      </c>
      <c r="AO5" s="3" t="s">
        <v>174</v>
      </c>
      <c r="AR5" s="3" t="s">
        <v>175</v>
      </c>
      <c r="AZ5" s="137" t="s">
        <v>169</v>
      </c>
      <c r="BA5" s="137" t="s">
        <v>168</v>
      </c>
      <c r="BC5" s="137" t="s">
        <v>104</v>
      </c>
      <c r="BD5" s="137" t="s">
        <v>168</v>
      </c>
      <c r="BI5" s="137" t="s">
        <v>169</v>
      </c>
      <c r="BJ5" s="137" t="s">
        <v>168</v>
      </c>
      <c r="BK5" s="137" t="s">
        <v>104</v>
      </c>
      <c r="BL5" s="137" t="s">
        <v>168</v>
      </c>
      <c r="BN5" s="137" t="s">
        <v>169</v>
      </c>
      <c r="BO5" s="137" t="s">
        <v>168</v>
      </c>
      <c r="BP5" s="137" t="s">
        <v>104</v>
      </c>
      <c r="BQ5" s="137" t="s">
        <v>168</v>
      </c>
      <c r="BS5" s="137" t="s">
        <v>169</v>
      </c>
      <c r="BT5" s="137" t="s">
        <v>168</v>
      </c>
      <c r="BU5" s="137" t="s">
        <v>104</v>
      </c>
      <c r="BV5" s="137" t="s">
        <v>168</v>
      </c>
      <c r="CA5" s="84"/>
      <c r="CB5" s="85" t="s">
        <v>104</v>
      </c>
      <c r="CC5" s="85" t="s">
        <v>105</v>
      </c>
      <c r="CD5" s="85" t="s">
        <v>104</v>
      </c>
      <c r="CE5" s="85" t="s">
        <v>105</v>
      </c>
      <c r="CF5" s="84"/>
      <c r="CG5" s="84"/>
      <c r="CH5" s="85" t="s">
        <v>104</v>
      </c>
      <c r="CI5" s="85" t="s">
        <v>105</v>
      </c>
      <c r="CJ5" s="85" t="s">
        <v>104</v>
      </c>
      <c r="CK5" s="85" t="s">
        <v>105</v>
      </c>
      <c r="CL5" s="84"/>
      <c r="CM5" s="84"/>
      <c r="CN5" s="85" t="s">
        <v>104</v>
      </c>
      <c r="CO5" s="85" t="s">
        <v>105</v>
      </c>
      <c r="CP5" s="85" t="s">
        <v>104</v>
      </c>
      <c r="CQ5" s="85" t="s">
        <v>105</v>
      </c>
      <c r="CR5" s="84"/>
      <c r="CS5" s="84"/>
      <c r="CT5" s="85" t="s">
        <v>104</v>
      </c>
      <c r="CU5" s="85" t="s">
        <v>105</v>
      </c>
      <c r="CV5" s="85" t="s">
        <v>104</v>
      </c>
      <c r="CW5" s="4" t="s">
        <v>105</v>
      </c>
      <c r="CY5" s="84"/>
      <c r="CZ5" s="85" t="s">
        <v>104</v>
      </c>
      <c r="DA5" s="85" t="s">
        <v>105</v>
      </c>
      <c r="DB5" s="85" t="s">
        <v>104</v>
      </c>
      <c r="DC5" s="85" t="s">
        <v>105</v>
      </c>
      <c r="DE5" s="84"/>
      <c r="DF5" s="85" t="s">
        <v>104</v>
      </c>
      <c r="DG5" s="85" t="s">
        <v>105</v>
      </c>
      <c r="DH5" s="85" t="s">
        <v>104</v>
      </c>
      <c r="DI5" s="85" t="s">
        <v>105</v>
      </c>
    </row>
    <row r="6" spans="2:113">
      <c r="B6" s="94">
        <v>45748</v>
      </c>
      <c r="C6" s="94" t="s">
        <v>193</v>
      </c>
      <c r="D6" s="95">
        <v>0</v>
      </c>
      <c r="E6" s="95">
        <v>0</v>
      </c>
      <c r="F6" s="95">
        <v>0</v>
      </c>
      <c r="G6" s="95">
        <v>0</v>
      </c>
      <c r="H6" s="95">
        <v>0</v>
      </c>
      <c r="I6" s="95">
        <v>0</v>
      </c>
      <c r="J6" s="95">
        <v>0</v>
      </c>
      <c r="K6" s="95">
        <v>0</v>
      </c>
      <c r="L6" s="95">
        <v>0</v>
      </c>
      <c r="M6" s="95">
        <v>0</v>
      </c>
      <c r="N6" s="95">
        <v>0</v>
      </c>
      <c r="O6" s="95">
        <v>0</v>
      </c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79">
        <v>1789.88</v>
      </c>
      <c r="AI6" s="79">
        <v>1790</v>
      </c>
      <c r="AJ6" s="79">
        <f>AI6-E6</f>
        <v>1790</v>
      </c>
      <c r="AK6" s="79">
        <f>AI6-AH6</f>
        <v>0.11999999999989086</v>
      </c>
      <c r="AL6" s="79">
        <v>0</v>
      </c>
      <c r="AM6" s="79">
        <f>AL6-I6</f>
        <v>0</v>
      </c>
      <c r="AN6" s="156"/>
      <c r="AO6" s="79">
        <v>1077</v>
      </c>
      <c r="AP6" s="79">
        <f>AO6-K6</f>
        <v>1077</v>
      </c>
      <c r="AQ6" s="156"/>
      <c r="AR6" s="79">
        <v>0</v>
      </c>
      <c r="AS6" s="79">
        <f>AR6-M6</f>
        <v>0</v>
      </c>
      <c r="AT6" s="156"/>
      <c r="AU6" s="156"/>
      <c r="AV6" s="156"/>
      <c r="AW6" s="156"/>
      <c r="AZ6" s="4">
        <f>(BA7-BA6)*240</f>
        <v>1943.9999999999782</v>
      </c>
      <c r="BA6" s="76">
        <v>2702.8</v>
      </c>
      <c r="BC6" s="4">
        <f>(BD7-BD6)*60</f>
        <v>545.99999999999454</v>
      </c>
      <c r="BD6" s="4">
        <v>2421.8000000000002</v>
      </c>
      <c r="BE6" s="4">
        <f>BC6/60</f>
        <v>9.0999999999999091</v>
      </c>
      <c r="BH6" s="3">
        <v>1</v>
      </c>
      <c r="BI6" s="79">
        <f>(BJ7-BJ6)</f>
        <v>4</v>
      </c>
      <c r="BJ6" s="79">
        <v>1777341</v>
      </c>
      <c r="BK6" s="4">
        <f>(BL7-BL6)*60</f>
        <v>11.999999999989086</v>
      </c>
      <c r="BL6" s="4">
        <v>4620.6000000000004</v>
      </c>
      <c r="BN6" s="79">
        <f>(BO7-BO6)</f>
        <v>-2421.8000000000002</v>
      </c>
      <c r="BO6" s="4">
        <v>2421.8000000000002</v>
      </c>
      <c r="BP6" s="4">
        <f>(BQ7-BQ6)*60</f>
        <v>-145308</v>
      </c>
      <c r="BQ6" s="4">
        <v>2421.8000000000002</v>
      </c>
      <c r="BS6" s="79">
        <f>(BT7-BT6)</f>
        <v>-2421.8000000000002</v>
      </c>
      <c r="BT6" s="4">
        <v>2421.8000000000002</v>
      </c>
      <c r="BU6" s="4">
        <f>(BV7-BV6)*60</f>
        <v>-145308</v>
      </c>
      <c r="BV6" s="4">
        <v>2421.8000000000002</v>
      </c>
      <c r="CA6" s="85">
        <v>1</v>
      </c>
      <c r="CB6" s="92">
        <v>71626.45</v>
      </c>
      <c r="CC6" s="92">
        <v>777165</v>
      </c>
      <c r="CD6" s="85">
        <f>(CB7-CB6)*60</f>
        <v>0</v>
      </c>
      <c r="CE6" s="85">
        <f>CC7-CC6</f>
        <v>0</v>
      </c>
      <c r="CF6" s="84"/>
      <c r="CG6" s="85">
        <v>1</v>
      </c>
      <c r="CH6" s="85">
        <v>33529.300000000003</v>
      </c>
      <c r="CI6" s="89">
        <v>596657</v>
      </c>
      <c r="CJ6" s="89">
        <f>(CH7-CH6)*60</f>
        <v>0</v>
      </c>
      <c r="CK6" s="89">
        <f>(CI7-CI6)</f>
        <v>0</v>
      </c>
      <c r="CL6" s="84"/>
      <c r="CM6" s="85">
        <v>1</v>
      </c>
      <c r="CN6" s="84">
        <v>597.20000000000005</v>
      </c>
      <c r="CO6" s="89">
        <v>261183</v>
      </c>
      <c r="CP6" s="89">
        <f>(CN7-CN6)*60</f>
        <v>0</v>
      </c>
      <c r="CQ6" s="89">
        <f>(CO7-CO6)</f>
        <v>0</v>
      </c>
      <c r="CR6" s="84"/>
      <c r="CS6" s="85">
        <v>1</v>
      </c>
      <c r="CT6" s="85">
        <v>8399.9</v>
      </c>
      <c r="CU6" s="89">
        <v>864599</v>
      </c>
      <c r="CV6" s="89">
        <f>(CT7-CT6)*60</f>
        <v>0</v>
      </c>
      <c r="CW6" s="79">
        <f>(CU7-CU6)</f>
        <v>0</v>
      </c>
      <c r="CY6" s="85">
        <v>1</v>
      </c>
      <c r="CZ6" s="85">
        <v>1114</v>
      </c>
      <c r="DA6" s="89">
        <v>432331</v>
      </c>
      <c r="DB6" s="89">
        <f t="shared" ref="DB6:DB31" si="0">(CZ7-CZ6)*60</f>
        <v>0</v>
      </c>
      <c r="DC6" s="89">
        <f>(DA7-DA6)</f>
        <v>17</v>
      </c>
      <c r="DE6" s="85">
        <v>1</v>
      </c>
      <c r="DF6" s="85">
        <v>3961.7</v>
      </c>
      <c r="DG6" s="89">
        <v>1430631</v>
      </c>
      <c r="DH6" s="89">
        <f t="shared" ref="DH6:DH37" si="1">(DF7-DF6)*60</f>
        <v>0</v>
      </c>
      <c r="DI6" s="89">
        <f>(DG7-DG6)</f>
        <v>0</v>
      </c>
    </row>
    <row r="7" spans="2:113">
      <c r="B7" s="94">
        <v>45749</v>
      </c>
      <c r="C7" s="94" t="s">
        <v>194</v>
      </c>
      <c r="D7" s="95">
        <v>0</v>
      </c>
      <c r="E7" s="95">
        <v>0</v>
      </c>
      <c r="F7" s="95">
        <v>0</v>
      </c>
      <c r="G7" s="95">
        <v>0</v>
      </c>
      <c r="H7" s="95">
        <v>0</v>
      </c>
      <c r="I7" s="95">
        <v>0</v>
      </c>
      <c r="J7" s="95">
        <v>0</v>
      </c>
      <c r="K7" s="95">
        <v>0</v>
      </c>
      <c r="L7" s="95">
        <v>0</v>
      </c>
      <c r="M7" s="95">
        <v>0</v>
      </c>
      <c r="N7" s="95">
        <v>0</v>
      </c>
      <c r="O7" s="95">
        <v>0</v>
      </c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79">
        <v>2804.25</v>
      </c>
      <c r="AI7" s="79">
        <v>2800</v>
      </c>
      <c r="AJ7" s="79">
        <f t="shared" ref="AJ7:AJ36" si="2">AI7-E7</f>
        <v>2800</v>
      </c>
      <c r="AK7" s="79">
        <f t="shared" ref="AK7:AK36" si="3">AI7-AH7</f>
        <v>-4.25</v>
      </c>
      <c r="AL7" s="79">
        <v>1062</v>
      </c>
      <c r="AM7" s="79">
        <f t="shared" ref="AM7:AM36" si="4">AL7-I7</f>
        <v>1062</v>
      </c>
      <c r="AN7" s="156"/>
      <c r="AO7" s="79">
        <v>1744</v>
      </c>
      <c r="AP7" s="79">
        <f t="shared" ref="AP7:AP36" si="5">AO7-K7</f>
        <v>1744</v>
      </c>
      <c r="AQ7" s="156"/>
      <c r="AR7" s="79">
        <v>1444</v>
      </c>
      <c r="AS7" s="79">
        <f t="shared" ref="AS7:AS36" si="6">AR7-M7</f>
        <v>1444</v>
      </c>
      <c r="AT7" s="156"/>
      <c r="AU7" s="156"/>
      <c r="AV7" s="156"/>
      <c r="AW7" s="156"/>
      <c r="AZ7" s="4">
        <f t="shared" ref="AZ7:AZ35" si="7">(BA8-BA7)*240</f>
        <v>1703.9999999999782</v>
      </c>
      <c r="BA7" s="76">
        <v>2710.9</v>
      </c>
      <c r="BC7" s="4">
        <f t="shared" ref="BC7:BC35" si="8">(BD8-BD7)*60</f>
        <v>264.00000000000546</v>
      </c>
      <c r="BD7" s="4">
        <v>2430.9</v>
      </c>
      <c r="BE7" s="4">
        <f t="shared" ref="BE7:BE34" si="9">BC7/60</f>
        <v>4.4000000000000909</v>
      </c>
      <c r="BH7" s="3">
        <v>2</v>
      </c>
      <c r="BI7" s="79">
        <f t="shared" ref="BI7:BI36" si="10">(BJ8-BJ7)</f>
        <v>0</v>
      </c>
      <c r="BJ7" s="4">
        <v>1777345</v>
      </c>
      <c r="BK7" s="4">
        <f t="shared" ref="BK7:BK36" si="11">(BL8-BL7)*60</f>
        <v>161.99999999998909</v>
      </c>
      <c r="BL7" s="4">
        <v>4620.8</v>
      </c>
      <c r="BN7" s="79">
        <f t="shared" ref="BN7:BN36" si="12">(BO8-BO7)</f>
        <v>0</v>
      </c>
      <c r="BP7" s="4">
        <f t="shared" ref="BP7:BP36" si="13">(BQ8-BQ7)*60</f>
        <v>0</v>
      </c>
      <c r="BS7" s="79">
        <f t="shared" ref="BS7:BS36" si="14">(BT8-BT7)</f>
        <v>0</v>
      </c>
      <c r="BU7" s="4">
        <f t="shared" ref="BU7:BU36" si="15">(BV8-BV7)*60</f>
        <v>0</v>
      </c>
      <c r="CA7" s="85">
        <v>2</v>
      </c>
      <c r="CB7" s="92">
        <v>71626.45</v>
      </c>
      <c r="CC7" s="92">
        <v>777165</v>
      </c>
      <c r="CD7" s="85">
        <f t="shared" ref="CD7:CD30" si="16">(CB8-CB7)*60</f>
        <v>0</v>
      </c>
      <c r="CE7" s="85">
        <f t="shared" ref="CE7:CE30" si="17">CC8-CC7</f>
        <v>0</v>
      </c>
      <c r="CF7" s="84"/>
      <c r="CG7" s="85">
        <v>2</v>
      </c>
      <c r="CH7" s="85">
        <v>33529.300000000003</v>
      </c>
      <c r="CI7" s="89">
        <v>596657</v>
      </c>
      <c r="CJ7" s="89">
        <f t="shared" ref="CJ7:CJ31" si="18">(CH8-CH7)*60</f>
        <v>17.999999999738066</v>
      </c>
      <c r="CK7" s="89">
        <f>(CI8-CI7)</f>
        <v>0</v>
      </c>
      <c r="CL7" s="84"/>
      <c r="CM7" s="85">
        <v>2</v>
      </c>
      <c r="CN7" s="84">
        <v>597.20000000000005</v>
      </c>
      <c r="CO7" s="89">
        <v>261183</v>
      </c>
      <c r="CP7" s="89">
        <f t="shared" ref="CP7:CP31" si="19">(CN8-CN7)*60</f>
        <v>71.999999999995907</v>
      </c>
      <c r="CQ7" s="89">
        <f>(CO8-CO7)</f>
        <v>316</v>
      </c>
      <c r="CR7" s="84"/>
      <c r="CS7" s="85">
        <v>2</v>
      </c>
      <c r="CT7" s="85">
        <v>8399.9</v>
      </c>
      <c r="CU7" s="89">
        <v>864599</v>
      </c>
      <c r="CV7" s="89">
        <f t="shared" ref="CV7:CV31" si="20">(CT8-CT7)*60</f>
        <v>60</v>
      </c>
      <c r="CW7" s="79">
        <f>(CU8-CU7)</f>
        <v>668</v>
      </c>
      <c r="CY7" s="85">
        <v>2</v>
      </c>
      <c r="CZ7" s="85">
        <v>1114</v>
      </c>
      <c r="DA7" s="89">
        <v>432348</v>
      </c>
      <c r="DB7" s="89">
        <f t="shared" si="0"/>
        <v>60</v>
      </c>
      <c r="DC7" s="89">
        <f>(DA8-DA7)</f>
        <v>239</v>
      </c>
      <c r="DE7" s="85">
        <v>2</v>
      </c>
      <c r="DF7" s="85">
        <v>3961.7</v>
      </c>
      <c r="DG7" s="89">
        <v>1430631</v>
      </c>
      <c r="DH7" s="89">
        <f t="shared" si="1"/>
        <v>72.000000000016371</v>
      </c>
      <c r="DI7" s="89">
        <f>(DG8-DG7)</f>
        <v>224</v>
      </c>
    </row>
    <row r="8" spans="2:113">
      <c r="B8" s="94">
        <v>45750</v>
      </c>
      <c r="C8" s="94" t="s">
        <v>195</v>
      </c>
      <c r="D8" s="95">
        <v>0</v>
      </c>
      <c r="E8" s="95">
        <v>0</v>
      </c>
      <c r="F8" s="95">
        <v>0</v>
      </c>
      <c r="G8" s="95">
        <v>0</v>
      </c>
      <c r="H8" s="95">
        <v>0</v>
      </c>
      <c r="I8" s="95">
        <v>0</v>
      </c>
      <c r="J8" s="95">
        <v>0</v>
      </c>
      <c r="K8" s="95">
        <v>0</v>
      </c>
      <c r="L8" s="95">
        <v>0</v>
      </c>
      <c r="M8" s="95">
        <v>0</v>
      </c>
      <c r="N8" s="95">
        <v>0</v>
      </c>
      <c r="O8" s="95">
        <v>0</v>
      </c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79">
        <v>4503</v>
      </c>
      <c r="AI8" s="79">
        <v>4500</v>
      </c>
      <c r="AJ8" s="79">
        <f t="shared" si="2"/>
        <v>4500</v>
      </c>
      <c r="AK8" s="79">
        <f t="shared" si="3"/>
        <v>-3</v>
      </c>
      <c r="AL8" s="79">
        <v>1596</v>
      </c>
      <c r="AM8" s="79">
        <f t="shared" si="4"/>
        <v>1596</v>
      </c>
      <c r="AN8" s="156"/>
      <c r="AO8" s="79">
        <v>3242</v>
      </c>
      <c r="AP8" s="79">
        <f t="shared" si="5"/>
        <v>3242</v>
      </c>
      <c r="AQ8" s="156"/>
      <c r="AR8" s="79">
        <v>2030</v>
      </c>
      <c r="AS8" s="79">
        <f t="shared" si="6"/>
        <v>2030</v>
      </c>
      <c r="AT8" s="156"/>
      <c r="AU8" s="156"/>
      <c r="AV8" s="156"/>
      <c r="AW8" s="156"/>
      <c r="AZ8" s="4">
        <f t="shared" si="7"/>
        <v>1823.9999999999782</v>
      </c>
      <c r="BA8" s="76">
        <v>2718</v>
      </c>
      <c r="BC8" s="4">
        <f t="shared" si="8"/>
        <v>0</v>
      </c>
      <c r="BD8" s="4">
        <v>2435.3000000000002</v>
      </c>
      <c r="BE8" s="4">
        <f t="shared" si="9"/>
        <v>0</v>
      </c>
      <c r="BH8" s="3">
        <v>3</v>
      </c>
      <c r="BI8" s="79">
        <f t="shared" si="10"/>
        <v>1077</v>
      </c>
      <c r="BJ8" s="4">
        <v>1777345</v>
      </c>
      <c r="BK8" s="4">
        <f t="shared" si="11"/>
        <v>210</v>
      </c>
      <c r="BL8" s="4">
        <v>4623.5</v>
      </c>
      <c r="BN8" s="79">
        <f t="shared" si="12"/>
        <v>0</v>
      </c>
      <c r="BP8" s="4">
        <f t="shared" si="13"/>
        <v>0</v>
      </c>
      <c r="BS8" s="79">
        <f t="shared" si="14"/>
        <v>0</v>
      </c>
      <c r="BU8" s="4">
        <f t="shared" si="15"/>
        <v>0</v>
      </c>
      <c r="CA8" s="85">
        <v>3</v>
      </c>
      <c r="CB8" s="92">
        <v>71626.45</v>
      </c>
      <c r="CC8" s="92">
        <v>777165</v>
      </c>
      <c r="CD8" s="85">
        <f t="shared" si="16"/>
        <v>0</v>
      </c>
      <c r="CE8" s="85">
        <f t="shared" si="17"/>
        <v>0</v>
      </c>
      <c r="CF8" s="84"/>
      <c r="CG8" s="85">
        <v>3</v>
      </c>
      <c r="CH8" s="85">
        <v>33529.599999999999</v>
      </c>
      <c r="CI8" s="89">
        <v>596657</v>
      </c>
      <c r="CJ8" s="89">
        <f t="shared" si="18"/>
        <v>65.999999999912689</v>
      </c>
      <c r="CK8" s="89">
        <f t="shared" ref="CK8:CK31" si="21">(CI9-CI8)</f>
        <v>41</v>
      </c>
      <c r="CL8" s="84"/>
      <c r="CM8" s="85">
        <v>3</v>
      </c>
      <c r="CN8" s="84">
        <v>598.4</v>
      </c>
      <c r="CO8" s="89">
        <v>261499</v>
      </c>
      <c r="CP8" s="89">
        <f t="shared" si="19"/>
        <v>0</v>
      </c>
      <c r="CQ8" s="89">
        <f t="shared" ref="CQ8:CQ31" si="22">(CO9-CO8)</f>
        <v>0</v>
      </c>
      <c r="CR8" s="84"/>
      <c r="CS8" s="85">
        <v>3</v>
      </c>
      <c r="CT8" s="85">
        <v>8400.9</v>
      </c>
      <c r="CU8" s="89">
        <v>865267</v>
      </c>
      <c r="CV8" s="89">
        <f t="shared" si="20"/>
        <v>0</v>
      </c>
      <c r="CW8" s="79">
        <f t="shared" ref="CW8:CW31" si="23">(CU9-CU8)</f>
        <v>0</v>
      </c>
      <c r="CY8" s="85">
        <v>3</v>
      </c>
      <c r="CZ8" s="85">
        <v>1115</v>
      </c>
      <c r="DA8" s="89">
        <v>432587</v>
      </c>
      <c r="DB8" s="89">
        <f t="shared" si="0"/>
        <v>0</v>
      </c>
      <c r="DC8" s="89">
        <f t="shared" ref="DC8:DC31" si="24">(DA9-DA8)</f>
        <v>0</v>
      </c>
      <c r="DE8" s="85">
        <v>3</v>
      </c>
      <c r="DF8" s="85">
        <v>3962.9</v>
      </c>
      <c r="DG8" s="89">
        <v>1430855</v>
      </c>
      <c r="DH8" s="89">
        <f t="shared" si="1"/>
        <v>0</v>
      </c>
      <c r="DI8" s="89">
        <f t="shared" ref="DI8:DI37" si="25">(DG9-DG8)</f>
        <v>0</v>
      </c>
    </row>
    <row r="9" spans="2:113">
      <c r="B9" s="94">
        <v>45751</v>
      </c>
      <c r="C9" s="94" t="s">
        <v>196</v>
      </c>
      <c r="D9" s="95">
        <v>0</v>
      </c>
      <c r="E9" s="95">
        <v>0</v>
      </c>
      <c r="F9" s="95">
        <v>0</v>
      </c>
      <c r="G9" s="95">
        <v>0</v>
      </c>
      <c r="H9" s="95">
        <v>0</v>
      </c>
      <c r="I9" s="95">
        <v>0</v>
      </c>
      <c r="J9" s="95">
        <v>0</v>
      </c>
      <c r="K9" s="95">
        <v>0</v>
      </c>
      <c r="L9" s="95">
        <v>0</v>
      </c>
      <c r="M9" s="95">
        <v>0</v>
      </c>
      <c r="N9" s="95">
        <v>0</v>
      </c>
      <c r="O9" s="95">
        <v>0</v>
      </c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79">
        <v>88.25</v>
      </c>
      <c r="AI9" s="79">
        <v>90</v>
      </c>
      <c r="AJ9" s="79">
        <f t="shared" si="2"/>
        <v>90</v>
      </c>
      <c r="AK9" s="79">
        <f t="shared" si="3"/>
        <v>1.75</v>
      </c>
      <c r="AL9" s="79">
        <v>2444</v>
      </c>
      <c r="AM9" s="79">
        <f t="shared" si="4"/>
        <v>2444</v>
      </c>
      <c r="AN9" s="156"/>
      <c r="AO9" s="79">
        <v>568</v>
      </c>
      <c r="AP9" s="79">
        <f t="shared" si="5"/>
        <v>568</v>
      </c>
      <c r="AQ9" s="156"/>
      <c r="AR9" s="79">
        <v>3862</v>
      </c>
      <c r="AS9" s="79">
        <f t="shared" si="6"/>
        <v>3862</v>
      </c>
      <c r="AT9" s="156"/>
      <c r="AU9" s="156"/>
      <c r="AV9" s="156"/>
      <c r="AW9" s="156"/>
      <c r="AZ9" s="4">
        <f t="shared" si="7"/>
        <v>0</v>
      </c>
      <c r="BA9" s="76">
        <v>2725.6</v>
      </c>
      <c r="BC9" s="4">
        <f t="shared" si="8"/>
        <v>0</v>
      </c>
      <c r="BD9" s="4">
        <v>2435.3000000000002</v>
      </c>
      <c r="BE9" s="4">
        <f t="shared" si="9"/>
        <v>0</v>
      </c>
      <c r="BH9" s="3">
        <v>4</v>
      </c>
      <c r="BI9" s="79">
        <f t="shared" si="10"/>
        <v>1744</v>
      </c>
      <c r="BJ9" s="4">
        <v>1778422</v>
      </c>
      <c r="BK9" s="4">
        <f t="shared" si="11"/>
        <v>263.99999999997817</v>
      </c>
      <c r="BL9" s="4">
        <v>4627</v>
      </c>
      <c r="BN9" s="79">
        <f t="shared" si="12"/>
        <v>0</v>
      </c>
      <c r="BP9" s="4">
        <f t="shared" si="13"/>
        <v>0</v>
      </c>
      <c r="BS9" s="79">
        <f t="shared" si="14"/>
        <v>0</v>
      </c>
      <c r="BU9" s="4">
        <f t="shared" si="15"/>
        <v>0</v>
      </c>
      <c r="CA9" s="85">
        <v>4</v>
      </c>
      <c r="CB9" s="92">
        <v>71626.45</v>
      </c>
      <c r="CC9" s="92">
        <v>777165</v>
      </c>
      <c r="CD9" s="85">
        <f t="shared" si="16"/>
        <v>0</v>
      </c>
      <c r="CE9" s="85">
        <f t="shared" si="17"/>
        <v>0</v>
      </c>
      <c r="CF9" s="84"/>
      <c r="CG9" s="85">
        <v>4</v>
      </c>
      <c r="CH9" s="85">
        <v>33530.699999999997</v>
      </c>
      <c r="CI9" s="89">
        <v>596698</v>
      </c>
      <c r="CJ9" s="89">
        <f t="shared" si="18"/>
        <v>0</v>
      </c>
      <c r="CK9" s="89">
        <f t="shared" si="21"/>
        <v>0</v>
      </c>
      <c r="CL9" s="84"/>
      <c r="CM9" s="85">
        <v>4</v>
      </c>
      <c r="CN9" s="84">
        <v>598.4</v>
      </c>
      <c r="CO9" s="89">
        <v>261499</v>
      </c>
      <c r="CP9" s="89">
        <f t="shared" si="19"/>
        <v>0</v>
      </c>
      <c r="CQ9" s="89">
        <f t="shared" si="22"/>
        <v>0</v>
      </c>
      <c r="CR9" s="84"/>
      <c r="CS9" s="85">
        <v>4</v>
      </c>
      <c r="CT9" s="85">
        <v>8400.9</v>
      </c>
      <c r="CU9" s="89">
        <v>865267</v>
      </c>
      <c r="CV9" s="89">
        <f t="shared" si="20"/>
        <v>0</v>
      </c>
      <c r="CW9" s="79">
        <f t="shared" si="23"/>
        <v>0</v>
      </c>
      <c r="CY9" s="85">
        <v>4</v>
      </c>
      <c r="CZ9" s="85">
        <v>1115</v>
      </c>
      <c r="DA9" s="89">
        <v>432587</v>
      </c>
      <c r="DB9" s="89">
        <f t="shared" si="0"/>
        <v>0</v>
      </c>
      <c r="DC9" s="89">
        <f t="shared" si="24"/>
        <v>0</v>
      </c>
      <c r="DE9" s="85">
        <v>4</v>
      </c>
      <c r="DF9" s="85">
        <v>3962.9</v>
      </c>
      <c r="DG9" s="89">
        <v>1430855</v>
      </c>
      <c r="DH9" s="89">
        <f t="shared" si="1"/>
        <v>0</v>
      </c>
      <c r="DI9" s="89">
        <f t="shared" si="25"/>
        <v>0</v>
      </c>
    </row>
    <row r="10" spans="2:113">
      <c r="B10" s="94">
        <v>45752</v>
      </c>
      <c r="C10" s="94" t="s">
        <v>197</v>
      </c>
      <c r="D10" s="95">
        <v>0</v>
      </c>
      <c r="E10" s="95">
        <v>0</v>
      </c>
      <c r="F10" s="95">
        <v>0</v>
      </c>
      <c r="G10" s="95">
        <v>0</v>
      </c>
      <c r="H10" s="95">
        <v>0</v>
      </c>
      <c r="I10" s="95">
        <v>0</v>
      </c>
      <c r="J10" s="95">
        <v>0</v>
      </c>
      <c r="K10" s="95">
        <v>0</v>
      </c>
      <c r="L10" s="95">
        <v>0</v>
      </c>
      <c r="M10" s="95">
        <v>0</v>
      </c>
      <c r="N10" s="95">
        <v>0</v>
      </c>
      <c r="O10" s="95">
        <v>0</v>
      </c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79">
        <v>0</v>
      </c>
      <c r="AI10" s="79">
        <v>0</v>
      </c>
      <c r="AJ10" s="79">
        <f t="shared" si="2"/>
        <v>0</v>
      </c>
      <c r="AK10" s="79">
        <f t="shared" si="3"/>
        <v>0</v>
      </c>
      <c r="AL10" s="79">
        <v>0</v>
      </c>
      <c r="AM10" s="79">
        <f t="shared" si="4"/>
        <v>0</v>
      </c>
      <c r="AN10" s="156"/>
      <c r="AO10" s="79">
        <v>3</v>
      </c>
      <c r="AP10" s="79">
        <f t="shared" si="5"/>
        <v>3</v>
      </c>
      <c r="AQ10" s="156"/>
      <c r="AR10" s="79">
        <v>387</v>
      </c>
      <c r="AS10" s="79">
        <f t="shared" si="6"/>
        <v>387</v>
      </c>
      <c r="AT10" s="156"/>
      <c r="AU10" s="156"/>
      <c r="AV10" s="156"/>
      <c r="AW10" s="156"/>
      <c r="AZ10" s="4">
        <f t="shared" si="7"/>
        <v>0</v>
      </c>
      <c r="BA10" s="76">
        <v>2725.6</v>
      </c>
      <c r="BC10" s="4">
        <f t="shared" si="8"/>
        <v>0</v>
      </c>
      <c r="BD10" s="4">
        <v>2435.3000000000002</v>
      </c>
      <c r="BE10" s="4">
        <f t="shared" si="9"/>
        <v>0</v>
      </c>
      <c r="BH10" s="3">
        <v>5</v>
      </c>
      <c r="BI10" s="79">
        <f t="shared" si="10"/>
        <v>3242</v>
      </c>
      <c r="BJ10" s="4">
        <v>1780166</v>
      </c>
      <c r="BK10" s="4">
        <f t="shared" si="11"/>
        <v>144.00000000003274</v>
      </c>
      <c r="BL10" s="4">
        <v>4631.3999999999996</v>
      </c>
      <c r="BN10" s="79">
        <f t="shared" si="12"/>
        <v>0</v>
      </c>
      <c r="BP10" s="4">
        <f t="shared" si="13"/>
        <v>0</v>
      </c>
      <c r="BS10" s="79">
        <f t="shared" si="14"/>
        <v>0</v>
      </c>
      <c r="BU10" s="4">
        <f t="shared" si="15"/>
        <v>0</v>
      </c>
      <c r="CA10" s="85">
        <v>5</v>
      </c>
      <c r="CB10" s="92">
        <v>71626.45</v>
      </c>
      <c r="CC10" s="92">
        <v>777165</v>
      </c>
      <c r="CD10" s="85">
        <f t="shared" si="16"/>
        <v>0</v>
      </c>
      <c r="CE10" s="85">
        <f t="shared" si="17"/>
        <v>0</v>
      </c>
      <c r="CF10" s="84"/>
      <c r="CG10" s="85">
        <v>5</v>
      </c>
      <c r="CH10" s="85">
        <v>33530.699999999997</v>
      </c>
      <c r="CI10" s="89">
        <v>596698</v>
      </c>
      <c r="CJ10" s="89">
        <f t="shared" si="18"/>
        <v>36.000000000349246</v>
      </c>
      <c r="CK10" s="89">
        <v>200</v>
      </c>
      <c r="CL10" s="84"/>
      <c r="CM10" s="85">
        <v>5</v>
      </c>
      <c r="CN10" s="84">
        <v>598.4</v>
      </c>
      <c r="CO10" s="89">
        <v>261499</v>
      </c>
      <c r="CP10" s="89">
        <f t="shared" si="19"/>
        <v>36.000000000001364</v>
      </c>
      <c r="CQ10" s="89">
        <f t="shared" si="22"/>
        <v>66</v>
      </c>
      <c r="CR10" s="84"/>
      <c r="CS10" s="85">
        <v>5</v>
      </c>
      <c r="CT10" s="85">
        <v>8400.9</v>
      </c>
      <c r="CU10" s="89">
        <v>865267</v>
      </c>
      <c r="CV10" s="89">
        <f t="shared" si="20"/>
        <v>30</v>
      </c>
      <c r="CW10" s="79">
        <f t="shared" si="23"/>
        <v>72</v>
      </c>
      <c r="CY10" s="85">
        <v>5</v>
      </c>
      <c r="CZ10" s="85">
        <v>1115</v>
      </c>
      <c r="DA10" s="89">
        <v>432587</v>
      </c>
      <c r="DB10" s="89">
        <f t="shared" si="0"/>
        <v>0</v>
      </c>
      <c r="DC10" s="89">
        <f t="shared" si="24"/>
        <v>48</v>
      </c>
      <c r="DE10" s="85">
        <v>5</v>
      </c>
      <c r="DF10" s="85">
        <v>3962.9</v>
      </c>
      <c r="DG10" s="89">
        <v>1430855</v>
      </c>
      <c r="DH10" s="89">
        <f t="shared" si="1"/>
        <v>35.999999999994543</v>
      </c>
      <c r="DI10" s="89">
        <f t="shared" si="25"/>
        <v>112</v>
      </c>
    </row>
    <row r="11" spans="2:113">
      <c r="B11" s="190">
        <v>45753</v>
      </c>
      <c r="C11" s="190" t="s">
        <v>198</v>
      </c>
      <c r="D11" s="191">
        <v>0</v>
      </c>
      <c r="E11" s="191">
        <v>0</v>
      </c>
      <c r="F11" s="191">
        <v>0</v>
      </c>
      <c r="G11" s="191">
        <v>0</v>
      </c>
      <c r="H11" s="191">
        <v>0</v>
      </c>
      <c r="I11" s="191">
        <v>0</v>
      </c>
      <c r="J11" s="191">
        <v>0</v>
      </c>
      <c r="K11" s="191">
        <v>0</v>
      </c>
      <c r="L11" s="191">
        <v>0</v>
      </c>
      <c r="M11" s="191">
        <v>0</v>
      </c>
      <c r="N11" s="191">
        <v>0</v>
      </c>
      <c r="O11" s="191">
        <v>0</v>
      </c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79">
        <v>1094.6300000000001</v>
      </c>
      <c r="AI11" s="79">
        <v>856</v>
      </c>
      <c r="AJ11" s="79">
        <f t="shared" si="2"/>
        <v>856</v>
      </c>
      <c r="AK11" s="79">
        <f t="shared" si="3"/>
        <v>-238.63000000000011</v>
      </c>
      <c r="AL11" s="79">
        <v>0</v>
      </c>
      <c r="AM11" s="79">
        <f t="shared" si="4"/>
        <v>0</v>
      </c>
      <c r="AN11" s="156"/>
      <c r="AO11" s="79">
        <v>790</v>
      </c>
      <c r="AP11" s="79">
        <f t="shared" si="5"/>
        <v>790</v>
      </c>
      <c r="AQ11" s="156"/>
      <c r="AR11" s="79">
        <v>0</v>
      </c>
      <c r="AS11" s="79">
        <f t="shared" si="6"/>
        <v>0</v>
      </c>
      <c r="AT11" s="156"/>
      <c r="AU11" s="156"/>
      <c r="AV11" s="156"/>
      <c r="AW11" s="156"/>
      <c r="AZ11" s="4">
        <f t="shared" si="7"/>
        <v>1008.0000000000655</v>
      </c>
      <c r="BA11" s="76">
        <v>2725.6</v>
      </c>
      <c r="BC11" s="4">
        <f t="shared" si="8"/>
        <v>305.99999999999454</v>
      </c>
      <c r="BD11" s="4">
        <v>2435.3000000000002</v>
      </c>
      <c r="BE11" s="4">
        <f t="shared" si="9"/>
        <v>5.0999999999999091</v>
      </c>
      <c r="BH11" s="3">
        <v>6</v>
      </c>
      <c r="BI11" s="79">
        <f t="shared" si="10"/>
        <v>568</v>
      </c>
      <c r="BJ11" s="4">
        <v>1783408</v>
      </c>
      <c r="BK11" s="4">
        <f t="shared" si="11"/>
        <v>11.999999999989086</v>
      </c>
      <c r="BL11" s="4">
        <v>4633.8</v>
      </c>
      <c r="BN11" s="79">
        <f t="shared" si="12"/>
        <v>0</v>
      </c>
      <c r="BP11" s="4">
        <f t="shared" si="13"/>
        <v>0</v>
      </c>
      <c r="BS11" s="79">
        <f t="shared" si="14"/>
        <v>0</v>
      </c>
      <c r="BU11" s="4">
        <f t="shared" si="15"/>
        <v>0</v>
      </c>
      <c r="CA11" s="85">
        <v>6</v>
      </c>
      <c r="CB11" s="92">
        <v>71626.45</v>
      </c>
      <c r="CC11" s="92">
        <v>777165</v>
      </c>
      <c r="CD11" s="85">
        <f t="shared" si="16"/>
        <v>0</v>
      </c>
      <c r="CE11" s="85">
        <f t="shared" si="17"/>
        <v>0</v>
      </c>
      <c r="CF11" s="84"/>
      <c r="CG11" s="85">
        <v>6</v>
      </c>
      <c r="CH11" s="85">
        <v>33531.300000000003</v>
      </c>
      <c r="CI11" s="89">
        <v>596698</v>
      </c>
      <c r="CJ11" s="89">
        <f t="shared" si="18"/>
        <v>-2011878.0000000002</v>
      </c>
      <c r="CK11" s="89">
        <f t="shared" si="21"/>
        <v>-596698</v>
      </c>
      <c r="CL11" s="84"/>
      <c r="CM11" s="85">
        <v>6</v>
      </c>
      <c r="CN11" s="84">
        <v>599</v>
      </c>
      <c r="CO11" s="89">
        <v>261565</v>
      </c>
      <c r="CP11" s="89">
        <f t="shared" si="19"/>
        <v>-35940</v>
      </c>
      <c r="CQ11" s="89">
        <f t="shared" si="22"/>
        <v>-261565</v>
      </c>
      <c r="CR11" s="84"/>
      <c r="CS11" s="85">
        <v>6</v>
      </c>
      <c r="CT11" s="85">
        <v>8401.4</v>
      </c>
      <c r="CU11" s="89">
        <v>865339</v>
      </c>
      <c r="CV11" s="89">
        <f t="shared" si="20"/>
        <v>-504084</v>
      </c>
      <c r="CW11" s="79">
        <f t="shared" si="23"/>
        <v>-865339</v>
      </c>
      <c r="CY11" s="85">
        <v>6</v>
      </c>
      <c r="CZ11" s="85">
        <v>1115</v>
      </c>
      <c r="DA11" s="89">
        <v>432635</v>
      </c>
      <c r="DB11" s="89">
        <f t="shared" si="0"/>
        <v>-66900</v>
      </c>
      <c r="DC11" s="89">
        <f t="shared" si="24"/>
        <v>-432635</v>
      </c>
      <c r="DE11" s="85">
        <v>6</v>
      </c>
      <c r="DF11" s="85">
        <v>3963.5</v>
      </c>
      <c r="DG11" s="89">
        <v>1430967</v>
      </c>
      <c r="DH11" s="89">
        <f t="shared" si="1"/>
        <v>-237810</v>
      </c>
      <c r="DI11" s="89">
        <f t="shared" si="25"/>
        <v>-1430967</v>
      </c>
    </row>
    <row r="12" spans="2:113">
      <c r="B12" s="94">
        <v>45754</v>
      </c>
      <c r="C12" s="94" t="s">
        <v>192</v>
      </c>
      <c r="D12" s="95">
        <v>0</v>
      </c>
      <c r="E12" s="95">
        <v>0</v>
      </c>
      <c r="F12" s="95">
        <v>0</v>
      </c>
      <c r="G12" s="95">
        <v>0</v>
      </c>
      <c r="H12" s="95">
        <v>0</v>
      </c>
      <c r="I12" s="95">
        <v>0</v>
      </c>
      <c r="J12" s="95">
        <v>0</v>
      </c>
      <c r="K12" s="95">
        <v>0</v>
      </c>
      <c r="L12" s="95">
        <v>0</v>
      </c>
      <c r="M12" s="95">
        <v>0</v>
      </c>
      <c r="N12" s="95">
        <v>0</v>
      </c>
      <c r="O12" s="95">
        <v>0</v>
      </c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79">
        <v>3057.25</v>
      </c>
      <c r="AI12" s="79">
        <v>2843</v>
      </c>
      <c r="AJ12" s="79">
        <f t="shared" si="2"/>
        <v>2843</v>
      </c>
      <c r="AK12" s="79">
        <f t="shared" si="3"/>
        <v>-214.25</v>
      </c>
      <c r="AL12" s="79">
        <v>672</v>
      </c>
      <c r="AM12" s="79">
        <f t="shared" si="4"/>
        <v>672</v>
      </c>
      <c r="AN12" s="156"/>
      <c r="AO12" s="79">
        <v>1844</v>
      </c>
      <c r="AP12" s="79">
        <f t="shared" si="5"/>
        <v>1844</v>
      </c>
      <c r="AQ12" s="156"/>
      <c r="AR12" s="79">
        <v>953</v>
      </c>
      <c r="AS12" s="79">
        <f t="shared" si="6"/>
        <v>953</v>
      </c>
      <c r="AT12" s="156"/>
      <c r="AU12" s="156"/>
      <c r="AV12" s="156"/>
      <c r="AW12" s="156"/>
      <c r="AZ12" s="4">
        <f t="shared" si="7"/>
        <v>1295.9999999999127</v>
      </c>
      <c r="BA12" s="76">
        <v>2729.8</v>
      </c>
      <c r="BC12" s="4">
        <f t="shared" si="8"/>
        <v>551.99999999998909</v>
      </c>
      <c r="BD12" s="4">
        <v>2440.4</v>
      </c>
      <c r="BE12" s="4">
        <f t="shared" si="9"/>
        <v>9.1999999999998181</v>
      </c>
      <c r="BH12" s="3">
        <v>7</v>
      </c>
      <c r="BI12" s="79">
        <f t="shared" si="10"/>
        <v>3</v>
      </c>
      <c r="BJ12" s="4">
        <v>1783976</v>
      </c>
      <c r="BK12" s="4">
        <f t="shared" si="11"/>
        <v>90</v>
      </c>
      <c r="BL12" s="4">
        <v>4634</v>
      </c>
      <c r="BN12" s="79">
        <f t="shared" si="12"/>
        <v>0</v>
      </c>
      <c r="BP12" s="4">
        <f t="shared" si="13"/>
        <v>0</v>
      </c>
      <c r="BS12" s="79">
        <f t="shared" si="14"/>
        <v>0</v>
      </c>
      <c r="BU12" s="4">
        <f t="shared" si="15"/>
        <v>0</v>
      </c>
      <c r="CA12" s="85">
        <v>7</v>
      </c>
      <c r="CB12" s="92">
        <v>71626.45</v>
      </c>
      <c r="CC12" s="92">
        <v>777165</v>
      </c>
      <c r="CD12" s="85">
        <f t="shared" si="16"/>
        <v>0</v>
      </c>
      <c r="CE12" s="85">
        <f t="shared" si="17"/>
        <v>0</v>
      </c>
      <c r="CF12" s="84"/>
      <c r="CG12" s="85">
        <v>7</v>
      </c>
      <c r="CH12" s="85"/>
      <c r="CI12" s="89"/>
      <c r="CJ12" s="89">
        <f t="shared" si="18"/>
        <v>0</v>
      </c>
      <c r="CK12" s="89">
        <f t="shared" si="21"/>
        <v>0</v>
      </c>
      <c r="CL12" s="84"/>
      <c r="CM12" s="85">
        <v>7</v>
      </c>
      <c r="CN12" s="84"/>
      <c r="CO12" s="89"/>
      <c r="CP12" s="89">
        <f t="shared" si="19"/>
        <v>0</v>
      </c>
      <c r="CQ12" s="89">
        <f t="shared" si="22"/>
        <v>0</v>
      </c>
      <c r="CR12" s="84"/>
      <c r="CS12" s="85">
        <v>7</v>
      </c>
      <c r="CT12" s="85"/>
      <c r="CU12" s="89"/>
      <c r="CV12" s="89">
        <f t="shared" si="20"/>
        <v>0</v>
      </c>
      <c r="CW12" s="79">
        <f t="shared" si="23"/>
        <v>0</v>
      </c>
      <c r="CY12" s="85">
        <v>7</v>
      </c>
      <c r="CZ12" s="85"/>
      <c r="DA12" s="89"/>
      <c r="DB12" s="89">
        <f t="shared" si="0"/>
        <v>0</v>
      </c>
      <c r="DC12" s="89">
        <f t="shared" si="24"/>
        <v>0</v>
      </c>
      <c r="DE12" s="85">
        <v>7</v>
      </c>
      <c r="DF12" s="85"/>
      <c r="DG12" s="89"/>
      <c r="DH12" s="89">
        <f t="shared" si="1"/>
        <v>0</v>
      </c>
      <c r="DI12" s="89">
        <f t="shared" si="25"/>
        <v>0</v>
      </c>
    </row>
    <row r="13" spans="2:113">
      <c r="B13" s="94">
        <v>45755</v>
      </c>
      <c r="C13" s="94" t="s">
        <v>193</v>
      </c>
      <c r="D13" s="95">
        <v>10</v>
      </c>
      <c r="E13" s="95">
        <v>254</v>
      </c>
      <c r="F13" s="95">
        <v>0</v>
      </c>
      <c r="G13" s="95">
        <v>0</v>
      </c>
      <c r="H13" s="95">
        <v>10</v>
      </c>
      <c r="I13" s="95">
        <v>249</v>
      </c>
      <c r="J13" s="95">
        <v>10</v>
      </c>
      <c r="K13" s="95">
        <v>69</v>
      </c>
      <c r="L13" s="95">
        <v>10</v>
      </c>
      <c r="M13" s="95">
        <v>238</v>
      </c>
      <c r="N13" s="95">
        <v>0</v>
      </c>
      <c r="O13" s="95">
        <v>0</v>
      </c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79">
        <v>6314.63</v>
      </c>
      <c r="AI13" s="79">
        <v>6998</v>
      </c>
      <c r="AJ13" s="79">
        <f t="shared" si="2"/>
        <v>6744</v>
      </c>
      <c r="AK13" s="79">
        <f t="shared" si="3"/>
        <v>683.36999999999989</v>
      </c>
      <c r="AL13" s="79">
        <v>1726</v>
      </c>
      <c r="AM13" s="79">
        <f t="shared" si="4"/>
        <v>1477</v>
      </c>
      <c r="AN13" s="156"/>
      <c r="AO13" s="79">
        <v>5895</v>
      </c>
      <c r="AP13" s="79">
        <f t="shared" si="5"/>
        <v>5826</v>
      </c>
      <c r="AQ13" s="156"/>
      <c r="AR13" s="79">
        <v>2254</v>
      </c>
      <c r="AS13" s="79">
        <f t="shared" si="6"/>
        <v>2016</v>
      </c>
      <c r="AT13" s="156"/>
      <c r="AU13" s="156"/>
      <c r="AV13" s="156"/>
      <c r="AW13" s="156"/>
      <c r="AZ13" s="4">
        <f t="shared" si="7"/>
        <v>2256.0000000000218</v>
      </c>
      <c r="BA13" s="76">
        <v>2735.2</v>
      </c>
      <c r="BC13" s="4">
        <f t="shared" si="8"/>
        <v>132.00000000001637</v>
      </c>
      <c r="BD13" s="4">
        <v>2449.6</v>
      </c>
      <c r="BE13" s="4">
        <f t="shared" si="9"/>
        <v>2.2000000000002728</v>
      </c>
      <c r="BH13" s="3">
        <v>8</v>
      </c>
      <c r="BI13" s="79">
        <f t="shared" si="10"/>
        <v>8529</v>
      </c>
      <c r="BJ13" s="4">
        <v>1783979</v>
      </c>
      <c r="BK13" s="4">
        <f t="shared" si="11"/>
        <v>198.00000000001091</v>
      </c>
      <c r="BL13" s="4">
        <v>4635.5</v>
      </c>
      <c r="BN13" s="79">
        <f t="shared" si="12"/>
        <v>0</v>
      </c>
      <c r="BP13" s="4">
        <f t="shared" si="13"/>
        <v>0</v>
      </c>
      <c r="BS13" s="79">
        <f t="shared" si="14"/>
        <v>0</v>
      </c>
      <c r="BU13" s="4">
        <f t="shared" si="15"/>
        <v>0</v>
      </c>
      <c r="CA13" s="85">
        <v>8</v>
      </c>
      <c r="CB13" s="92">
        <v>71626.45</v>
      </c>
      <c r="CC13" s="92">
        <v>777165</v>
      </c>
      <c r="CD13" s="85">
        <f t="shared" si="16"/>
        <v>0</v>
      </c>
      <c r="CE13" s="85">
        <f t="shared" si="17"/>
        <v>0</v>
      </c>
      <c r="CF13" s="84"/>
      <c r="CG13" s="85">
        <v>8</v>
      </c>
      <c r="CH13" s="85"/>
      <c r="CI13" s="89"/>
      <c r="CJ13" s="89">
        <f t="shared" si="18"/>
        <v>0</v>
      </c>
      <c r="CK13" s="89">
        <f t="shared" si="21"/>
        <v>0</v>
      </c>
      <c r="CL13" s="84"/>
      <c r="CM13" s="85">
        <v>8</v>
      </c>
      <c r="CN13" s="84"/>
      <c r="CO13" s="89"/>
      <c r="CP13" s="89">
        <f t="shared" si="19"/>
        <v>0</v>
      </c>
      <c r="CQ13" s="89">
        <f t="shared" si="22"/>
        <v>0</v>
      </c>
      <c r="CR13" s="84"/>
      <c r="CS13" s="85">
        <v>8</v>
      </c>
      <c r="CT13" s="85"/>
      <c r="CU13" s="89"/>
      <c r="CV13" s="89">
        <f t="shared" si="20"/>
        <v>0</v>
      </c>
      <c r="CW13" s="79">
        <f t="shared" si="23"/>
        <v>0</v>
      </c>
      <c r="CY13" s="85">
        <v>8</v>
      </c>
      <c r="CZ13" s="85"/>
      <c r="DA13" s="89"/>
      <c r="DB13" s="89">
        <f t="shared" si="0"/>
        <v>0</v>
      </c>
      <c r="DC13" s="89">
        <f t="shared" si="24"/>
        <v>0</v>
      </c>
      <c r="DE13" s="85">
        <v>8</v>
      </c>
      <c r="DF13" s="85"/>
      <c r="DG13" s="89"/>
      <c r="DH13" s="89">
        <f t="shared" si="1"/>
        <v>0</v>
      </c>
      <c r="DI13" s="89">
        <f t="shared" si="25"/>
        <v>0</v>
      </c>
    </row>
    <row r="14" spans="2:113">
      <c r="B14" s="94">
        <v>45756</v>
      </c>
      <c r="C14" s="94" t="s">
        <v>194</v>
      </c>
      <c r="D14" s="95">
        <v>0</v>
      </c>
      <c r="E14" s="95">
        <v>0</v>
      </c>
      <c r="F14" s="95">
        <v>0</v>
      </c>
      <c r="G14" s="95">
        <v>0</v>
      </c>
      <c r="H14" s="95">
        <v>0</v>
      </c>
      <c r="I14" s="95">
        <v>0</v>
      </c>
      <c r="J14" s="95">
        <v>0</v>
      </c>
      <c r="K14" s="95">
        <v>0</v>
      </c>
      <c r="L14" s="95">
        <v>0</v>
      </c>
      <c r="M14" s="95">
        <v>0</v>
      </c>
      <c r="N14" s="95">
        <v>0</v>
      </c>
      <c r="O14" s="95">
        <v>0</v>
      </c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79">
        <v>4151.38</v>
      </c>
      <c r="AI14" s="79">
        <v>3683</v>
      </c>
      <c r="AJ14" s="79">
        <f t="shared" si="2"/>
        <v>3683</v>
      </c>
      <c r="AK14" s="79">
        <f t="shared" si="3"/>
        <v>-468.38000000000011</v>
      </c>
      <c r="AL14" s="79">
        <v>1480</v>
      </c>
      <c r="AM14" s="79">
        <f t="shared" si="4"/>
        <v>1480</v>
      </c>
      <c r="AN14" s="156"/>
      <c r="AO14" s="79">
        <v>2902</v>
      </c>
      <c r="AP14" s="79">
        <f t="shared" si="5"/>
        <v>2902</v>
      </c>
      <c r="AQ14" s="156"/>
      <c r="AR14" s="79">
        <v>5155</v>
      </c>
      <c r="AS14" s="79">
        <f t="shared" si="6"/>
        <v>5155</v>
      </c>
      <c r="AT14" s="156"/>
      <c r="AU14" s="156"/>
      <c r="AV14" s="156"/>
      <c r="AW14" s="156"/>
      <c r="AZ14" s="4">
        <f t="shared" si="7"/>
        <v>1848.0000000000655</v>
      </c>
      <c r="BA14" s="76">
        <v>2744.6</v>
      </c>
      <c r="BC14" s="4">
        <f t="shared" si="8"/>
        <v>251.99999999998909</v>
      </c>
      <c r="BD14" s="4">
        <v>2451.8000000000002</v>
      </c>
      <c r="BE14" s="4">
        <f t="shared" si="9"/>
        <v>4.1999999999998181</v>
      </c>
      <c r="BH14" s="3">
        <v>9</v>
      </c>
      <c r="BI14" s="79">
        <f t="shared" si="10"/>
        <v>2902</v>
      </c>
      <c r="BJ14" s="4">
        <v>1792508</v>
      </c>
      <c r="BK14" s="4">
        <f t="shared" si="11"/>
        <v>570</v>
      </c>
      <c r="BL14" s="4">
        <v>4638.8</v>
      </c>
      <c r="BN14" s="79">
        <f t="shared" si="12"/>
        <v>0</v>
      </c>
      <c r="BP14" s="4">
        <f t="shared" si="13"/>
        <v>0</v>
      </c>
      <c r="BS14" s="79">
        <f t="shared" si="14"/>
        <v>0</v>
      </c>
      <c r="BU14" s="4">
        <f t="shared" si="15"/>
        <v>0</v>
      </c>
      <c r="CA14" s="85">
        <v>9</v>
      </c>
      <c r="CB14" s="92">
        <v>71626.45</v>
      </c>
      <c r="CC14" s="92">
        <v>777165</v>
      </c>
      <c r="CD14" s="85">
        <f t="shared" si="16"/>
        <v>0</v>
      </c>
      <c r="CE14" s="85">
        <f t="shared" si="17"/>
        <v>0</v>
      </c>
      <c r="CF14" s="84"/>
      <c r="CG14" s="85">
        <v>9</v>
      </c>
      <c r="CH14" s="85"/>
      <c r="CI14" s="89"/>
      <c r="CJ14" s="89">
        <f t="shared" si="18"/>
        <v>0</v>
      </c>
      <c r="CK14" s="89">
        <f t="shared" si="21"/>
        <v>0</v>
      </c>
      <c r="CL14" s="84"/>
      <c r="CM14" s="85">
        <v>9</v>
      </c>
      <c r="CN14" s="84"/>
      <c r="CO14" s="89"/>
      <c r="CP14" s="89">
        <f t="shared" si="19"/>
        <v>0</v>
      </c>
      <c r="CQ14" s="89">
        <f t="shared" si="22"/>
        <v>0</v>
      </c>
      <c r="CR14" s="84"/>
      <c r="CS14" s="85">
        <v>9</v>
      </c>
      <c r="CT14" s="85"/>
      <c r="CU14" s="89"/>
      <c r="CV14" s="89">
        <f t="shared" si="20"/>
        <v>0</v>
      </c>
      <c r="CW14" s="79">
        <f t="shared" si="23"/>
        <v>0</v>
      </c>
      <c r="CY14" s="85">
        <v>9</v>
      </c>
      <c r="CZ14" s="85"/>
      <c r="DA14" s="89"/>
      <c r="DB14" s="89">
        <f t="shared" si="0"/>
        <v>0</v>
      </c>
      <c r="DC14" s="89">
        <f t="shared" si="24"/>
        <v>0</v>
      </c>
      <c r="DE14" s="85">
        <v>9</v>
      </c>
      <c r="DF14" s="85"/>
      <c r="DG14" s="89"/>
      <c r="DH14" s="89">
        <f t="shared" si="1"/>
        <v>0</v>
      </c>
      <c r="DI14" s="89">
        <f t="shared" si="25"/>
        <v>0</v>
      </c>
    </row>
    <row r="15" spans="2:113">
      <c r="B15" s="94">
        <v>45757</v>
      </c>
      <c r="C15" s="94" t="s">
        <v>195</v>
      </c>
      <c r="D15" s="95">
        <v>10</v>
      </c>
      <c r="E15" s="95">
        <v>110.75</v>
      </c>
      <c r="F15" s="95">
        <v>0</v>
      </c>
      <c r="G15" s="95">
        <v>0</v>
      </c>
      <c r="H15" s="95">
        <v>0</v>
      </c>
      <c r="I15" s="95">
        <v>0</v>
      </c>
      <c r="J15" s="95">
        <v>0</v>
      </c>
      <c r="K15" s="95">
        <v>0</v>
      </c>
      <c r="L15" s="95">
        <v>10</v>
      </c>
      <c r="M15" s="95">
        <v>93.44</v>
      </c>
      <c r="N15" s="95">
        <v>0</v>
      </c>
      <c r="O15" s="95">
        <v>0</v>
      </c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79">
        <v>651.63</v>
      </c>
      <c r="AI15" s="79">
        <v>651</v>
      </c>
      <c r="AJ15" s="79">
        <f t="shared" si="2"/>
        <v>540.25</v>
      </c>
      <c r="AK15" s="79">
        <f t="shared" si="3"/>
        <v>-0.62999999999999545</v>
      </c>
      <c r="AL15" s="79">
        <v>2590</v>
      </c>
      <c r="AM15" s="79">
        <f t="shared" si="4"/>
        <v>2590</v>
      </c>
      <c r="AN15" s="156"/>
      <c r="AO15" s="79">
        <v>956</v>
      </c>
      <c r="AP15" s="79">
        <f t="shared" si="5"/>
        <v>956</v>
      </c>
      <c r="AQ15" s="156"/>
      <c r="AR15" s="79">
        <v>3809</v>
      </c>
      <c r="AS15" s="79">
        <f t="shared" si="6"/>
        <v>3715.56</v>
      </c>
      <c r="AT15" s="156"/>
      <c r="AU15" s="156"/>
      <c r="AV15" s="156"/>
      <c r="AW15" s="156"/>
      <c r="AZ15" s="4">
        <f t="shared" si="7"/>
        <v>311.99999999993452</v>
      </c>
      <c r="BA15" s="76">
        <v>2752.3</v>
      </c>
      <c r="BC15" s="4">
        <f t="shared" si="8"/>
        <v>78.000000000010914</v>
      </c>
      <c r="BD15" s="4">
        <v>2456</v>
      </c>
      <c r="BE15" s="4">
        <f t="shared" si="9"/>
        <v>1.3000000000001819</v>
      </c>
      <c r="BH15" s="3">
        <v>10</v>
      </c>
      <c r="BI15" s="79">
        <f>(BJ16-BJ15)</f>
        <v>956</v>
      </c>
      <c r="BJ15" s="4">
        <v>1795410</v>
      </c>
      <c r="BK15" s="4">
        <f t="shared" si="11"/>
        <v>318.00000000001091</v>
      </c>
      <c r="BL15" s="4">
        <v>4648.3</v>
      </c>
      <c r="BN15" s="79">
        <f t="shared" si="12"/>
        <v>0</v>
      </c>
      <c r="BP15" s="4">
        <f t="shared" si="13"/>
        <v>0</v>
      </c>
      <c r="BS15" s="79">
        <f t="shared" si="14"/>
        <v>0</v>
      </c>
      <c r="BU15" s="4">
        <f t="shared" si="15"/>
        <v>0</v>
      </c>
      <c r="CA15" s="85">
        <v>10</v>
      </c>
      <c r="CB15" s="92">
        <v>71626.45</v>
      </c>
      <c r="CC15" s="92">
        <v>777165</v>
      </c>
      <c r="CD15" s="85">
        <f t="shared" si="16"/>
        <v>0</v>
      </c>
      <c r="CE15" s="85">
        <f t="shared" si="17"/>
        <v>0</v>
      </c>
      <c r="CF15" s="84"/>
      <c r="CG15" s="85">
        <v>10</v>
      </c>
      <c r="CH15" s="85"/>
      <c r="CI15" s="89"/>
      <c r="CJ15" s="89">
        <f t="shared" si="18"/>
        <v>0</v>
      </c>
      <c r="CK15" s="89">
        <f t="shared" si="21"/>
        <v>0</v>
      </c>
      <c r="CL15" s="84"/>
      <c r="CM15" s="85">
        <v>10</v>
      </c>
      <c r="CN15" s="84"/>
      <c r="CO15" s="89"/>
      <c r="CP15" s="89">
        <f t="shared" si="19"/>
        <v>0</v>
      </c>
      <c r="CQ15" s="89">
        <f t="shared" si="22"/>
        <v>0</v>
      </c>
      <c r="CR15" s="84"/>
      <c r="CS15" s="85">
        <v>10</v>
      </c>
      <c r="CT15" s="85"/>
      <c r="CU15" s="89"/>
      <c r="CV15" s="89">
        <f t="shared" si="20"/>
        <v>0</v>
      </c>
      <c r="CW15" s="79">
        <f t="shared" si="23"/>
        <v>0</v>
      </c>
      <c r="CY15" s="85">
        <v>10</v>
      </c>
      <c r="CZ15" s="85"/>
      <c r="DA15" s="89"/>
      <c r="DB15" s="89">
        <f t="shared" si="0"/>
        <v>0</v>
      </c>
      <c r="DC15" s="89">
        <f t="shared" si="24"/>
        <v>0</v>
      </c>
      <c r="DE15" s="85">
        <v>10</v>
      </c>
      <c r="DF15" s="85"/>
      <c r="DG15" s="89"/>
      <c r="DH15" s="89">
        <f t="shared" si="1"/>
        <v>0</v>
      </c>
      <c r="DI15" s="89">
        <f t="shared" si="25"/>
        <v>0</v>
      </c>
    </row>
    <row r="16" spans="2:113">
      <c r="B16" s="94">
        <v>45758</v>
      </c>
      <c r="C16" s="94" t="s">
        <v>196</v>
      </c>
      <c r="D16" s="95">
        <v>760</v>
      </c>
      <c r="E16" s="95">
        <v>9766.75</v>
      </c>
      <c r="F16" s="95">
        <v>0</v>
      </c>
      <c r="G16" s="95">
        <v>0</v>
      </c>
      <c r="H16" s="95">
        <v>760</v>
      </c>
      <c r="I16" s="95">
        <v>2685</v>
      </c>
      <c r="J16" s="95">
        <v>760</v>
      </c>
      <c r="K16" s="95">
        <v>9489</v>
      </c>
      <c r="L16" s="95">
        <v>760</v>
      </c>
      <c r="M16" s="95">
        <v>2661.12</v>
      </c>
      <c r="N16" s="95">
        <v>760</v>
      </c>
      <c r="O16" s="95">
        <v>3430.01</v>
      </c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79">
        <v>0</v>
      </c>
      <c r="AI16" s="79">
        <v>0</v>
      </c>
      <c r="AJ16" s="79">
        <f t="shared" si="2"/>
        <v>-9766.75</v>
      </c>
      <c r="AK16" s="79">
        <f t="shared" si="3"/>
        <v>0</v>
      </c>
      <c r="AL16" s="79">
        <v>723</v>
      </c>
      <c r="AM16" s="79">
        <f t="shared" si="4"/>
        <v>-1962</v>
      </c>
      <c r="AN16" s="156"/>
      <c r="AO16" s="79">
        <v>2</v>
      </c>
      <c r="AP16" s="79">
        <f t="shared" si="5"/>
        <v>-9487</v>
      </c>
      <c r="AQ16" s="156"/>
      <c r="AR16" s="79">
        <v>1167</v>
      </c>
      <c r="AS16" s="79">
        <f t="shared" si="6"/>
        <v>-1494.12</v>
      </c>
      <c r="AT16" s="156"/>
      <c r="AU16" s="156"/>
      <c r="AV16" s="156"/>
      <c r="AW16" s="156"/>
      <c r="AZ16" s="4">
        <f t="shared" si="7"/>
        <v>0</v>
      </c>
      <c r="BA16" s="76">
        <v>2753.6</v>
      </c>
      <c r="BC16" s="4">
        <f t="shared" si="8"/>
        <v>0</v>
      </c>
      <c r="BD16" s="4">
        <v>2457.3000000000002</v>
      </c>
      <c r="BE16" s="4">
        <f t="shared" si="9"/>
        <v>0</v>
      </c>
      <c r="BH16" s="3">
        <v>11</v>
      </c>
      <c r="BI16" s="79">
        <f t="shared" si="10"/>
        <v>2</v>
      </c>
      <c r="BJ16" s="4">
        <v>1796366</v>
      </c>
      <c r="BK16" s="4">
        <f t="shared" si="11"/>
        <v>120</v>
      </c>
      <c r="BL16" s="4">
        <v>4653.6000000000004</v>
      </c>
      <c r="BN16" s="79">
        <f t="shared" si="12"/>
        <v>0</v>
      </c>
      <c r="BP16" s="4">
        <f t="shared" si="13"/>
        <v>0</v>
      </c>
      <c r="BS16" s="79">
        <f t="shared" si="14"/>
        <v>0</v>
      </c>
      <c r="BU16" s="4">
        <f t="shared" si="15"/>
        <v>0</v>
      </c>
      <c r="CA16" s="85">
        <v>11</v>
      </c>
      <c r="CB16" s="92">
        <v>71626.45</v>
      </c>
      <c r="CC16" s="92">
        <v>777165</v>
      </c>
      <c r="CD16" s="85">
        <f t="shared" si="16"/>
        <v>0</v>
      </c>
      <c r="CE16" s="85">
        <f t="shared" si="17"/>
        <v>0</v>
      </c>
      <c r="CF16" s="84"/>
      <c r="CG16" s="85">
        <v>11</v>
      </c>
      <c r="CH16" s="85"/>
      <c r="CI16" s="89"/>
      <c r="CJ16" s="89">
        <f t="shared" si="18"/>
        <v>0</v>
      </c>
      <c r="CK16" s="89">
        <f t="shared" si="21"/>
        <v>0</v>
      </c>
      <c r="CL16" s="84"/>
      <c r="CM16" s="85">
        <v>11</v>
      </c>
      <c r="CN16" s="84"/>
      <c r="CO16" s="89"/>
      <c r="CP16" s="89">
        <f t="shared" si="19"/>
        <v>0</v>
      </c>
      <c r="CQ16" s="89">
        <f t="shared" si="22"/>
        <v>0</v>
      </c>
      <c r="CR16" s="84"/>
      <c r="CS16" s="85">
        <v>11</v>
      </c>
      <c r="CT16" s="85"/>
      <c r="CU16" s="89"/>
      <c r="CV16" s="89">
        <f t="shared" si="20"/>
        <v>0</v>
      </c>
      <c r="CW16" s="79">
        <f t="shared" si="23"/>
        <v>0</v>
      </c>
      <c r="CY16" s="85">
        <v>11</v>
      </c>
      <c r="CZ16" s="85"/>
      <c r="DA16" s="89"/>
      <c r="DB16" s="89">
        <f t="shared" si="0"/>
        <v>0</v>
      </c>
      <c r="DC16" s="89">
        <f t="shared" si="24"/>
        <v>0</v>
      </c>
      <c r="DE16" s="85">
        <v>11</v>
      </c>
      <c r="DF16" s="85"/>
      <c r="DG16" s="89"/>
      <c r="DH16" s="89">
        <f t="shared" si="1"/>
        <v>0</v>
      </c>
      <c r="DI16" s="89">
        <f t="shared" si="25"/>
        <v>0</v>
      </c>
    </row>
    <row r="17" spans="1:113">
      <c r="B17" s="94">
        <v>45759</v>
      </c>
      <c r="C17" s="94" t="s">
        <v>197</v>
      </c>
      <c r="D17" s="95">
        <v>240</v>
      </c>
      <c r="E17" s="95">
        <v>4515.25</v>
      </c>
      <c r="F17" s="95">
        <v>0</v>
      </c>
      <c r="G17" s="95">
        <v>0</v>
      </c>
      <c r="H17" s="95">
        <v>240</v>
      </c>
      <c r="I17" s="95">
        <v>2949</v>
      </c>
      <c r="J17" s="95">
        <v>240</v>
      </c>
      <c r="K17" s="95">
        <v>2734</v>
      </c>
      <c r="L17" s="95">
        <v>240</v>
      </c>
      <c r="M17" s="95">
        <v>3397.25</v>
      </c>
      <c r="N17" s="95">
        <v>240</v>
      </c>
      <c r="O17" s="95">
        <v>1622.02</v>
      </c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79">
        <v>0</v>
      </c>
      <c r="AI17" s="79">
        <v>0</v>
      </c>
      <c r="AJ17" s="79">
        <f t="shared" si="2"/>
        <v>-4515.25</v>
      </c>
      <c r="AK17" s="79">
        <f t="shared" si="3"/>
        <v>0</v>
      </c>
      <c r="AL17" s="79">
        <v>0</v>
      </c>
      <c r="AM17" s="79">
        <f t="shared" si="4"/>
        <v>-2949</v>
      </c>
      <c r="AN17" s="156"/>
      <c r="AO17" s="79">
        <v>3</v>
      </c>
      <c r="AP17" s="79">
        <f t="shared" si="5"/>
        <v>-2731</v>
      </c>
      <c r="AQ17" s="156"/>
      <c r="AR17" s="79">
        <v>0</v>
      </c>
      <c r="AS17" s="79">
        <f t="shared" si="6"/>
        <v>-3397.25</v>
      </c>
      <c r="AT17" s="156"/>
      <c r="AU17" s="156"/>
      <c r="AV17" s="156"/>
      <c r="AW17" s="156"/>
      <c r="AZ17" s="4">
        <f t="shared" si="7"/>
        <v>0</v>
      </c>
      <c r="BA17" s="76">
        <v>2753.6</v>
      </c>
      <c r="BC17" s="4">
        <f t="shared" si="8"/>
        <v>0</v>
      </c>
      <c r="BD17" s="4">
        <v>2457.3000000000002</v>
      </c>
      <c r="BE17" s="4">
        <f t="shared" si="9"/>
        <v>0</v>
      </c>
      <c r="BH17" s="3">
        <v>12</v>
      </c>
      <c r="BI17" s="79">
        <f t="shared" si="10"/>
        <v>3</v>
      </c>
      <c r="BJ17" s="4">
        <v>1796368</v>
      </c>
      <c r="BK17" s="4">
        <f t="shared" si="11"/>
        <v>5.9999999999672582</v>
      </c>
      <c r="BL17" s="4">
        <v>4655.6000000000004</v>
      </c>
      <c r="BN17" s="79">
        <f t="shared" si="12"/>
        <v>0</v>
      </c>
      <c r="BP17" s="4">
        <f t="shared" si="13"/>
        <v>0</v>
      </c>
      <c r="BS17" s="79">
        <f t="shared" si="14"/>
        <v>0</v>
      </c>
      <c r="BU17" s="4">
        <f t="shared" si="15"/>
        <v>0</v>
      </c>
      <c r="CA17" s="85">
        <v>12</v>
      </c>
      <c r="CB17" s="92">
        <v>71626.45</v>
      </c>
      <c r="CC17" s="92">
        <v>777165</v>
      </c>
      <c r="CD17" s="85">
        <f t="shared" si="16"/>
        <v>0</v>
      </c>
      <c r="CE17" s="85">
        <f t="shared" si="17"/>
        <v>0</v>
      </c>
      <c r="CF17" s="84"/>
      <c r="CG17" s="85">
        <v>12</v>
      </c>
      <c r="CH17" s="85"/>
      <c r="CI17" s="89"/>
      <c r="CJ17" s="89">
        <f t="shared" si="18"/>
        <v>0</v>
      </c>
      <c r="CK17" s="89">
        <f t="shared" si="21"/>
        <v>0</v>
      </c>
      <c r="CL17" s="84"/>
      <c r="CM17" s="85">
        <v>12</v>
      </c>
      <c r="CN17" s="84"/>
      <c r="CO17" s="89"/>
      <c r="CP17" s="89">
        <f t="shared" si="19"/>
        <v>0</v>
      </c>
      <c r="CQ17" s="89">
        <f t="shared" si="22"/>
        <v>0</v>
      </c>
      <c r="CR17" s="84"/>
      <c r="CS17" s="85">
        <v>12</v>
      </c>
      <c r="CT17" s="85"/>
      <c r="CU17" s="89"/>
      <c r="CV17" s="89">
        <f t="shared" si="20"/>
        <v>0</v>
      </c>
      <c r="CW17" s="79">
        <f t="shared" si="23"/>
        <v>0</v>
      </c>
      <c r="CY17" s="85">
        <v>12</v>
      </c>
      <c r="CZ17" s="85"/>
      <c r="DA17" s="89"/>
      <c r="DB17" s="89">
        <f t="shared" si="0"/>
        <v>0</v>
      </c>
      <c r="DC17" s="89">
        <f t="shared" si="24"/>
        <v>0</v>
      </c>
      <c r="DE17" s="85">
        <v>12</v>
      </c>
      <c r="DF17" s="85"/>
      <c r="DG17" s="89"/>
      <c r="DH17" s="89">
        <f t="shared" si="1"/>
        <v>0</v>
      </c>
      <c r="DI17" s="89">
        <f t="shared" si="25"/>
        <v>0</v>
      </c>
    </row>
    <row r="18" spans="1:113">
      <c r="B18" s="190">
        <v>45760</v>
      </c>
      <c r="C18" s="190" t="s">
        <v>198</v>
      </c>
      <c r="D18" s="191">
        <v>60</v>
      </c>
      <c r="E18" s="191">
        <v>398</v>
      </c>
      <c r="F18" s="191">
        <v>0</v>
      </c>
      <c r="G18" s="191">
        <v>0</v>
      </c>
      <c r="H18" s="191">
        <v>0</v>
      </c>
      <c r="I18" s="191">
        <v>0</v>
      </c>
      <c r="J18" s="191">
        <v>60</v>
      </c>
      <c r="K18" s="191">
        <v>672</v>
      </c>
      <c r="L18" s="191">
        <v>60</v>
      </c>
      <c r="M18" s="191">
        <v>22.14</v>
      </c>
      <c r="N18" s="191">
        <v>60</v>
      </c>
      <c r="O18" s="191">
        <v>190.44</v>
      </c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79">
        <v>0</v>
      </c>
      <c r="AI18" s="79">
        <v>0</v>
      </c>
      <c r="AJ18" s="79">
        <f t="shared" si="2"/>
        <v>-398</v>
      </c>
      <c r="AK18" s="79">
        <f t="shared" si="3"/>
        <v>0</v>
      </c>
      <c r="AL18" s="79">
        <v>0</v>
      </c>
      <c r="AM18" s="79">
        <f t="shared" si="4"/>
        <v>0</v>
      </c>
      <c r="AN18" s="156"/>
      <c r="AO18" s="79">
        <v>2</v>
      </c>
      <c r="AP18" s="79">
        <f t="shared" si="5"/>
        <v>-670</v>
      </c>
      <c r="AQ18" s="156"/>
      <c r="AR18" s="79">
        <v>0</v>
      </c>
      <c r="AS18" s="79">
        <f t="shared" si="6"/>
        <v>-22.14</v>
      </c>
      <c r="AT18" s="156"/>
      <c r="AU18" s="156"/>
      <c r="AV18" s="156"/>
      <c r="AW18" s="156"/>
      <c r="AZ18" s="4">
        <f t="shared" si="7"/>
        <v>0</v>
      </c>
      <c r="BA18" s="76">
        <v>2753.6</v>
      </c>
      <c r="BC18" s="4">
        <f t="shared" si="8"/>
        <v>0</v>
      </c>
      <c r="BD18" s="4">
        <v>2457.3000000000002</v>
      </c>
      <c r="BE18" s="4">
        <f t="shared" si="9"/>
        <v>0</v>
      </c>
      <c r="BH18" s="3">
        <v>13</v>
      </c>
      <c r="BI18" s="79">
        <f t="shared" si="10"/>
        <v>2</v>
      </c>
      <c r="BJ18" s="4">
        <v>1796371</v>
      </c>
      <c r="BK18" s="4">
        <f t="shared" si="11"/>
        <v>11.999999999989086</v>
      </c>
      <c r="BL18" s="4">
        <v>4655.7</v>
      </c>
      <c r="BN18" s="79">
        <f t="shared" si="12"/>
        <v>0</v>
      </c>
      <c r="BP18" s="4">
        <f t="shared" si="13"/>
        <v>0</v>
      </c>
      <c r="BS18" s="79">
        <f t="shared" si="14"/>
        <v>0</v>
      </c>
      <c r="BU18" s="4">
        <f t="shared" si="15"/>
        <v>0</v>
      </c>
      <c r="CA18" s="85">
        <v>13</v>
      </c>
      <c r="CB18" s="92">
        <v>71626.45</v>
      </c>
      <c r="CC18" s="92">
        <v>777165</v>
      </c>
      <c r="CD18" s="85">
        <f t="shared" si="16"/>
        <v>0</v>
      </c>
      <c r="CE18" s="85">
        <f t="shared" si="17"/>
        <v>0</v>
      </c>
      <c r="CF18" s="84"/>
      <c r="CG18" s="85">
        <v>13</v>
      </c>
      <c r="CH18" s="85"/>
      <c r="CI18" s="89"/>
      <c r="CJ18" s="89">
        <f t="shared" si="18"/>
        <v>0</v>
      </c>
      <c r="CK18" s="89">
        <f t="shared" si="21"/>
        <v>0</v>
      </c>
      <c r="CL18" s="84"/>
      <c r="CM18" s="85">
        <v>13</v>
      </c>
      <c r="CN18" s="84"/>
      <c r="CO18" s="89"/>
      <c r="CP18" s="89">
        <f t="shared" si="19"/>
        <v>0</v>
      </c>
      <c r="CQ18" s="89">
        <f t="shared" si="22"/>
        <v>0</v>
      </c>
      <c r="CR18" s="84"/>
      <c r="CS18" s="85">
        <v>13</v>
      </c>
      <c r="CT18" s="85"/>
      <c r="CU18" s="89"/>
      <c r="CV18" s="89">
        <f t="shared" si="20"/>
        <v>0</v>
      </c>
      <c r="CW18" s="79">
        <f t="shared" si="23"/>
        <v>0</v>
      </c>
      <c r="CY18" s="85">
        <v>13</v>
      </c>
      <c r="CZ18" s="85"/>
      <c r="DA18" s="89"/>
      <c r="DB18" s="89">
        <f t="shared" si="0"/>
        <v>0</v>
      </c>
      <c r="DC18" s="89">
        <f t="shared" si="24"/>
        <v>0</v>
      </c>
      <c r="DE18" s="85">
        <v>13</v>
      </c>
      <c r="DF18" s="85"/>
      <c r="DG18" s="89"/>
      <c r="DH18" s="89">
        <f t="shared" si="1"/>
        <v>0</v>
      </c>
      <c r="DI18" s="89">
        <f t="shared" si="25"/>
        <v>0</v>
      </c>
    </row>
    <row r="19" spans="1:113">
      <c r="B19" s="94">
        <v>45761</v>
      </c>
      <c r="C19" s="94" t="s">
        <v>192</v>
      </c>
      <c r="D19" s="95">
        <v>0</v>
      </c>
      <c r="E19" s="95">
        <v>0</v>
      </c>
      <c r="F19" s="95">
        <v>0</v>
      </c>
      <c r="G19" s="95">
        <v>0</v>
      </c>
      <c r="H19" s="95">
        <v>0</v>
      </c>
      <c r="I19" s="95">
        <v>0</v>
      </c>
      <c r="J19" s="95">
        <v>0</v>
      </c>
      <c r="K19" s="95">
        <v>0</v>
      </c>
      <c r="L19" s="95">
        <v>0</v>
      </c>
      <c r="M19" s="95">
        <v>0</v>
      </c>
      <c r="N19" s="95">
        <v>0</v>
      </c>
      <c r="O19" s="95">
        <v>0</v>
      </c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79">
        <v>0</v>
      </c>
      <c r="AI19" s="79">
        <v>0</v>
      </c>
      <c r="AJ19" s="79">
        <f t="shared" si="2"/>
        <v>0</v>
      </c>
      <c r="AK19" s="79">
        <f t="shared" si="3"/>
        <v>0</v>
      </c>
      <c r="AL19" s="79">
        <v>0</v>
      </c>
      <c r="AM19" s="79">
        <f t="shared" si="4"/>
        <v>0</v>
      </c>
      <c r="AN19" s="156"/>
      <c r="AO19" s="79">
        <v>3</v>
      </c>
      <c r="AP19" s="79">
        <f t="shared" si="5"/>
        <v>3</v>
      </c>
      <c r="AQ19" s="156"/>
      <c r="AR19" s="79">
        <v>0</v>
      </c>
      <c r="AS19" s="79">
        <f t="shared" si="6"/>
        <v>0</v>
      </c>
      <c r="AT19" s="156"/>
      <c r="AU19" s="156"/>
      <c r="AV19" s="156"/>
      <c r="AW19" s="156"/>
      <c r="AZ19" s="4">
        <f t="shared" si="7"/>
        <v>0</v>
      </c>
      <c r="BA19" s="76">
        <v>2753.6</v>
      </c>
      <c r="BC19" s="4">
        <f t="shared" si="8"/>
        <v>0</v>
      </c>
      <c r="BD19" s="4">
        <v>2457.3000000000002</v>
      </c>
      <c r="BE19" s="4">
        <f t="shared" si="9"/>
        <v>0</v>
      </c>
      <c r="BH19" s="3">
        <v>14</v>
      </c>
      <c r="BI19" s="79">
        <f t="shared" si="10"/>
        <v>3</v>
      </c>
      <c r="BJ19" s="4">
        <v>1796373</v>
      </c>
      <c r="BK19" s="4">
        <f t="shared" si="11"/>
        <v>12.000000000043656</v>
      </c>
      <c r="BL19" s="4">
        <v>4655.8999999999996</v>
      </c>
      <c r="BN19" s="79">
        <f t="shared" si="12"/>
        <v>0</v>
      </c>
      <c r="BP19" s="4">
        <f t="shared" si="13"/>
        <v>0</v>
      </c>
      <c r="BS19" s="79">
        <f t="shared" si="14"/>
        <v>0</v>
      </c>
      <c r="BU19" s="4">
        <f t="shared" si="15"/>
        <v>0</v>
      </c>
      <c r="CA19" s="85">
        <v>14</v>
      </c>
      <c r="CB19" s="92">
        <v>71626.45</v>
      </c>
      <c r="CC19" s="92">
        <v>777165</v>
      </c>
      <c r="CD19" s="85">
        <f t="shared" si="16"/>
        <v>0</v>
      </c>
      <c r="CE19" s="85">
        <f t="shared" si="17"/>
        <v>0</v>
      </c>
      <c r="CF19" s="84"/>
      <c r="CG19" s="85">
        <v>14</v>
      </c>
      <c r="CH19" s="85"/>
      <c r="CI19" s="89"/>
      <c r="CJ19" s="89">
        <f t="shared" si="18"/>
        <v>0</v>
      </c>
      <c r="CK19" s="89">
        <f t="shared" si="21"/>
        <v>0</v>
      </c>
      <c r="CL19" s="84"/>
      <c r="CM19" s="85">
        <v>14</v>
      </c>
      <c r="CN19" s="84"/>
      <c r="CO19" s="89"/>
      <c r="CP19" s="89">
        <f t="shared" si="19"/>
        <v>0</v>
      </c>
      <c r="CQ19" s="89">
        <f t="shared" si="22"/>
        <v>0</v>
      </c>
      <c r="CR19" s="84"/>
      <c r="CS19" s="85">
        <v>14</v>
      </c>
      <c r="CT19" s="85"/>
      <c r="CU19" s="89"/>
      <c r="CV19" s="89">
        <f t="shared" si="20"/>
        <v>0</v>
      </c>
      <c r="CW19" s="79">
        <f t="shared" si="23"/>
        <v>0</v>
      </c>
      <c r="CY19" s="85">
        <v>14</v>
      </c>
      <c r="CZ19" s="85"/>
      <c r="DA19" s="89"/>
      <c r="DB19" s="89">
        <f t="shared" si="0"/>
        <v>0</v>
      </c>
      <c r="DC19" s="89">
        <f t="shared" si="24"/>
        <v>0</v>
      </c>
      <c r="DE19" s="85">
        <v>14</v>
      </c>
      <c r="DF19" s="85"/>
      <c r="DG19" s="89"/>
      <c r="DH19" s="89">
        <f t="shared" si="1"/>
        <v>0</v>
      </c>
      <c r="DI19" s="89">
        <f t="shared" si="25"/>
        <v>0</v>
      </c>
    </row>
    <row r="20" spans="1:113">
      <c r="B20" s="94">
        <v>45762</v>
      </c>
      <c r="C20" s="94" t="s">
        <v>193</v>
      </c>
      <c r="D20" s="95">
        <v>0</v>
      </c>
      <c r="E20" s="95">
        <v>0</v>
      </c>
      <c r="F20" s="95">
        <v>0</v>
      </c>
      <c r="G20" s="95">
        <v>0</v>
      </c>
      <c r="H20" s="95">
        <v>0</v>
      </c>
      <c r="I20" s="95">
        <v>0</v>
      </c>
      <c r="J20" s="95">
        <v>0</v>
      </c>
      <c r="K20" s="95">
        <v>0</v>
      </c>
      <c r="L20" s="95">
        <v>0</v>
      </c>
      <c r="M20" s="95">
        <v>0</v>
      </c>
      <c r="N20" s="95">
        <v>0</v>
      </c>
      <c r="O20" s="95">
        <v>0</v>
      </c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79">
        <v>0</v>
      </c>
      <c r="AI20" s="79">
        <v>0</v>
      </c>
      <c r="AJ20" s="79">
        <f t="shared" si="2"/>
        <v>0</v>
      </c>
      <c r="AK20" s="79">
        <f t="shared" si="3"/>
        <v>0</v>
      </c>
      <c r="AL20" s="79">
        <v>0</v>
      </c>
      <c r="AM20" s="79">
        <f t="shared" si="4"/>
        <v>0</v>
      </c>
      <c r="AN20" s="156"/>
      <c r="AO20" s="79">
        <v>1</v>
      </c>
      <c r="AP20" s="79">
        <f t="shared" si="5"/>
        <v>1</v>
      </c>
      <c r="AQ20" s="156"/>
      <c r="AR20" s="79">
        <v>0</v>
      </c>
      <c r="AS20" s="79">
        <f t="shared" si="6"/>
        <v>0</v>
      </c>
      <c r="AT20" s="156"/>
      <c r="AU20" s="156"/>
      <c r="AV20" s="156"/>
      <c r="AW20" s="156"/>
      <c r="AZ20" s="4">
        <f t="shared" si="7"/>
        <v>0</v>
      </c>
      <c r="BA20" s="76">
        <v>2753.6</v>
      </c>
      <c r="BC20" s="4">
        <f t="shared" si="8"/>
        <v>0</v>
      </c>
      <c r="BD20" s="4">
        <v>2457.3000000000002</v>
      </c>
      <c r="BE20" s="4">
        <f t="shared" si="9"/>
        <v>0</v>
      </c>
      <c r="BH20" s="3">
        <v>15</v>
      </c>
      <c r="BI20" s="79">
        <f t="shared" si="10"/>
        <v>1</v>
      </c>
      <c r="BJ20" s="4">
        <v>1796376</v>
      </c>
      <c r="BK20" s="4">
        <f t="shared" si="11"/>
        <v>5.9999999999672582</v>
      </c>
      <c r="BL20" s="4">
        <v>4656.1000000000004</v>
      </c>
      <c r="BN20" s="79">
        <f t="shared" si="12"/>
        <v>0</v>
      </c>
      <c r="BP20" s="4">
        <f t="shared" si="13"/>
        <v>0</v>
      </c>
      <c r="BS20" s="79">
        <f t="shared" si="14"/>
        <v>0</v>
      </c>
      <c r="BU20" s="4">
        <f t="shared" si="15"/>
        <v>0</v>
      </c>
      <c r="CA20" s="85">
        <v>15</v>
      </c>
      <c r="CB20" s="92">
        <v>71626.45</v>
      </c>
      <c r="CC20" s="92">
        <v>777165</v>
      </c>
      <c r="CD20" s="85">
        <f t="shared" si="16"/>
        <v>0</v>
      </c>
      <c r="CE20" s="85">
        <f t="shared" si="17"/>
        <v>0</v>
      </c>
      <c r="CF20" s="84"/>
      <c r="CG20" s="85">
        <v>15</v>
      </c>
      <c r="CH20" s="85"/>
      <c r="CI20" s="89"/>
      <c r="CJ20" s="89">
        <f t="shared" si="18"/>
        <v>0</v>
      </c>
      <c r="CK20" s="89">
        <f t="shared" si="21"/>
        <v>0</v>
      </c>
      <c r="CL20" s="84"/>
      <c r="CM20" s="85">
        <v>15</v>
      </c>
      <c r="CN20" s="84"/>
      <c r="CO20" s="89"/>
      <c r="CP20" s="89">
        <f t="shared" si="19"/>
        <v>0</v>
      </c>
      <c r="CQ20" s="89">
        <f t="shared" si="22"/>
        <v>0</v>
      </c>
      <c r="CR20" s="84"/>
      <c r="CS20" s="85">
        <v>15</v>
      </c>
      <c r="CT20" s="85"/>
      <c r="CU20" s="89"/>
      <c r="CV20" s="89">
        <f t="shared" si="20"/>
        <v>0</v>
      </c>
      <c r="CW20" s="79">
        <f t="shared" si="23"/>
        <v>0</v>
      </c>
      <c r="CY20" s="85">
        <v>15</v>
      </c>
      <c r="CZ20" s="85"/>
      <c r="DA20" s="89"/>
      <c r="DB20" s="89">
        <f t="shared" si="0"/>
        <v>0</v>
      </c>
      <c r="DC20" s="89">
        <f t="shared" si="24"/>
        <v>0</v>
      </c>
      <c r="DE20" s="85">
        <v>15</v>
      </c>
      <c r="DF20" s="85"/>
      <c r="DG20" s="89"/>
      <c r="DH20" s="89">
        <f t="shared" si="1"/>
        <v>0</v>
      </c>
      <c r="DI20" s="89">
        <f t="shared" si="25"/>
        <v>0</v>
      </c>
    </row>
    <row r="21" spans="1:113">
      <c r="B21" s="94">
        <v>45763</v>
      </c>
      <c r="C21" s="94" t="s">
        <v>194</v>
      </c>
      <c r="D21" s="95">
        <v>220</v>
      </c>
      <c r="E21" s="95">
        <v>2903</v>
      </c>
      <c r="F21" s="95">
        <v>0</v>
      </c>
      <c r="G21" s="95">
        <v>0</v>
      </c>
      <c r="H21" s="95">
        <v>220</v>
      </c>
      <c r="I21" s="95">
        <v>1794</v>
      </c>
      <c r="J21" s="95">
        <v>220</v>
      </c>
      <c r="K21" s="95">
        <v>3174</v>
      </c>
      <c r="L21" s="95">
        <v>220</v>
      </c>
      <c r="M21" s="95">
        <v>2445.31</v>
      </c>
      <c r="N21" s="95">
        <v>220</v>
      </c>
      <c r="O21" s="95">
        <v>1327.41</v>
      </c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79">
        <v>1776.63</v>
      </c>
      <c r="AI21" s="79">
        <v>1777</v>
      </c>
      <c r="AJ21" s="79">
        <f t="shared" si="2"/>
        <v>-1126</v>
      </c>
      <c r="AK21" s="79">
        <f t="shared" si="3"/>
        <v>0.36999999999989086</v>
      </c>
      <c r="AL21" s="79">
        <v>0</v>
      </c>
      <c r="AM21" s="79">
        <f t="shared" si="4"/>
        <v>-1794</v>
      </c>
      <c r="AN21" s="156"/>
      <c r="AO21" s="79">
        <v>1163</v>
      </c>
      <c r="AP21" s="79">
        <f t="shared" si="5"/>
        <v>-2011</v>
      </c>
      <c r="AQ21" s="156"/>
      <c r="AR21" s="79">
        <v>0</v>
      </c>
      <c r="AS21" s="79">
        <f t="shared" si="6"/>
        <v>-2445.31</v>
      </c>
      <c r="AT21" s="156"/>
      <c r="AU21" s="156"/>
      <c r="AV21" s="156"/>
      <c r="AW21" s="156"/>
      <c r="AZ21" s="4">
        <f t="shared" si="7"/>
        <v>576.00000000002183</v>
      </c>
      <c r="BA21" s="76">
        <v>2753.6</v>
      </c>
      <c r="BC21" s="4">
        <f t="shared" si="8"/>
        <v>101.99999999998909</v>
      </c>
      <c r="BD21" s="4">
        <v>2457.3000000000002</v>
      </c>
      <c r="BE21" s="4">
        <f t="shared" si="9"/>
        <v>1.6999999999998181</v>
      </c>
      <c r="BH21" s="3">
        <v>16</v>
      </c>
      <c r="BI21" s="79">
        <f t="shared" si="10"/>
        <v>1163</v>
      </c>
      <c r="BJ21" s="4">
        <v>1796377</v>
      </c>
      <c r="BK21" s="4">
        <f t="shared" si="11"/>
        <v>126.00000000002183</v>
      </c>
      <c r="BL21" s="4">
        <v>4656.2</v>
      </c>
      <c r="BN21" s="79">
        <f t="shared" si="12"/>
        <v>0</v>
      </c>
      <c r="BP21" s="4">
        <f t="shared" si="13"/>
        <v>0</v>
      </c>
      <c r="BS21" s="79">
        <f t="shared" si="14"/>
        <v>0</v>
      </c>
      <c r="BU21" s="4">
        <f t="shared" si="15"/>
        <v>0</v>
      </c>
      <c r="CA21" s="85">
        <v>16</v>
      </c>
      <c r="CB21" s="92">
        <v>71626.45</v>
      </c>
      <c r="CC21" s="92">
        <v>777165</v>
      </c>
      <c r="CD21" s="85">
        <f t="shared" si="16"/>
        <v>0</v>
      </c>
      <c r="CE21" s="85">
        <f t="shared" si="17"/>
        <v>0</v>
      </c>
      <c r="CF21" s="84"/>
      <c r="CG21" s="85">
        <v>16</v>
      </c>
      <c r="CH21" s="85"/>
      <c r="CI21" s="89"/>
      <c r="CJ21" s="89">
        <f t="shared" si="18"/>
        <v>0</v>
      </c>
      <c r="CK21" s="89">
        <f t="shared" si="21"/>
        <v>0</v>
      </c>
      <c r="CL21" s="84"/>
      <c r="CM21" s="85">
        <v>16</v>
      </c>
      <c r="CN21" s="84"/>
      <c r="CO21" s="89"/>
      <c r="CP21" s="89">
        <f t="shared" si="19"/>
        <v>0</v>
      </c>
      <c r="CQ21" s="89">
        <f t="shared" si="22"/>
        <v>0</v>
      </c>
      <c r="CR21" s="84"/>
      <c r="CS21" s="85">
        <v>16</v>
      </c>
      <c r="CT21" s="85"/>
      <c r="CU21" s="89"/>
      <c r="CV21" s="89">
        <f t="shared" si="20"/>
        <v>0</v>
      </c>
      <c r="CW21" s="79">
        <f t="shared" si="23"/>
        <v>0</v>
      </c>
      <c r="CY21" s="85">
        <v>16</v>
      </c>
      <c r="CZ21" s="85"/>
      <c r="DA21" s="89"/>
      <c r="DB21" s="89">
        <f t="shared" si="0"/>
        <v>0</v>
      </c>
      <c r="DC21" s="89">
        <f t="shared" si="24"/>
        <v>0</v>
      </c>
      <c r="DE21" s="85">
        <v>16</v>
      </c>
      <c r="DF21" s="85"/>
      <c r="DG21" s="89"/>
      <c r="DH21" s="89">
        <f t="shared" si="1"/>
        <v>0</v>
      </c>
      <c r="DI21" s="89">
        <f t="shared" si="25"/>
        <v>0</v>
      </c>
    </row>
    <row r="22" spans="1:113">
      <c r="B22" s="94">
        <v>45764</v>
      </c>
      <c r="C22" s="94" t="s">
        <v>195</v>
      </c>
      <c r="D22" s="95">
        <v>0</v>
      </c>
      <c r="E22" s="95">
        <v>0</v>
      </c>
      <c r="F22" s="95">
        <v>0</v>
      </c>
      <c r="G22" s="95">
        <v>0</v>
      </c>
      <c r="H22" s="95">
        <v>0</v>
      </c>
      <c r="I22" s="95">
        <v>0</v>
      </c>
      <c r="J22" s="95">
        <v>0</v>
      </c>
      <c r="K22" s="95">
        <v>0</v>
      </c>
      <c r="L22" s="95">
        <v>0</v>
      </c>
      <c r="M22" s="95">
        <v>0</v>
      </c>
      <c r="N22" s="95">
        <v>0</v>
      </c>
      <c r="O22" s="95">
        <v>0</v>
      </c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79">
        <v>0</v>
      </c>
      <c r="AI22" s="79">
        <v>0</v>
      </c>
      <c r="AJ22" s="79">
        <f t="shared" si="2"/>
        <v>0</v>
      </c>
      <c r="AK22" s="79">
        <f t="shared" si="3"/>
        <v>0</v>
      </c>
      <c r="AL22" s="79">
        <v>831</v>
      </c>
      <c r="AM22" s="79">
        <f t="shared" si="4"/>
        <v>831</v>
      </c>
      <c r="AN22" s="156"/>
      <c r="AO22" s="79">
        <v>3</v>
      </c>
      <c r="AP22" s="79">
        <f t="shared" si="5"/>
        <v>3</v>
      </c>
      <c r="AQ22" s="156"/>
      <c r="AR22" s="79">
        <v>1210</v>
      </c>
      <c r="AS22" s="79">
        <f t="shared" si="6"/>
        <v>1210</v>
      </c>
      <c r="AT22" s="156"/>
      <c r="AU22" s="156"/>
      <c r="AV22" s="156"/>
      <c r="AW22" s="156"/>
      <c r="AZ22" s="4">
        <f t="shared" si="7"/>
        <v>0</v>
      </c>
      <c r="BA22" s="76">
        <v>2756</v>
      </c>
      <c r="BC22" s="4">
        <f t="shared" si="8"/>
        <v>0</v>
      </c>
      <c r="BD22" s="4">
        <v>2459</v>
      </c>
      <c r="BE22" s="4">
        <f t="shared" si="9"/>
        <v>0</v>
      </c>
      <c r="BH22" s="3">
        <v>17</v>
      </c>
      <c r="BI22" s="79">
        <f t="shared" si="10"/>
        <v>3</v>
      </c>
      <c r="BJ22" s="4">
        <v>1797540</v>
      </c>
      <c r="BK22" s="4">
        <f t="shared" si="11"/>
        <v>5.9999999999672582</v>
      </c>
      <c r="BL22" s="4">
        <v>4658.3</v>
      </c>
      <c r="BN22" s="79">
        <f t="shared" si="12"/>
        <v>0</v>
      </c>
      <c r="BP22" s="4">
        <f t="shared" si="13"/>
        <v>0</v>
      </c>
      <c r="BS22" s="79">
        <f t="shared" si="14"/>
        <v>0</v>
      </c>
      <c r="BU22" s="4">
        <f t="shared" si="15"/>
        <v>0</v>
      </c>
      <c r="CA22" s="85">
        <v>17</v>
      </c>
      <c r="CB22" s="92">
        <v>71626.45</v>
      </c>
      <c r="CC22" s="92">
        <v>777165</v>
      </c>
      <c r="CD22" s="85">
        <f t="shared" si="16"/>
        <v>0</v>
      </c>
      <c r="CE22" s="85">
        <f t="shared" si="17"/>
        <v>0</v>
      </c>
      <c r="CF22" s="84"/>
      <c r="CG22" s="85">
        <v>17</v>
      </c>
      <c r="CH22" s="85"/>
      <c r="CI22" s="89"/>
      <c r="CJ22" s="89">
        <f t="shared" si="18"/>
        <v>0</v>
      </c>
      <c r="CK22" s="89">
        <f t="shared" si="21"/>
        <v>0</v>
      </c>
      <c r="CL22" s="84"/>
      <c r="CM22" s="85">
        <v>17</v>
      </c>
      <c r="CN22" s="84"/>
      <c r="CO22" s="89"/>
      <c r="CP22" s="89">
        <f t="shared" si="19"/>
        <v>0</v>
      </c>
      <c r="CQ22" s="89">
        <f t="shared" si="22"/>
        <v>0</v>
      </c>
      <c r="CR22" s="84"/>
      <c r="CS22" s="85">
        <v>17</v>
      </c>
      <c r="CT22" s="85"/>
      <c r="CU22" s="89"/>
      <c r="CV22" s="89">
        <f t="shared" si="20"/>
        <v>0</v>
      </c>
      <c r="CW22" s="79">
        <f t="shared" si="23"/>
        <v>0</v>
      </c>
      <c r="CY22" s="85">
        <v>17</v>
      </c>
      <c r="CZ22" s="85"/>
      <c r="DA22" s="89"/>
      <c r="DB22" s="89">
        <f t="shared" si="0"/>
        <v>0</v>
      </c>
      <c r="DC22" s="89">
        <f t="shared" si="24"/>
        <v>0</v>
      </c>
      <c r="DE22" s="85">
        <v>17</v>
      </c>
      <c r="DF22" s="85"/>
      <c r="DG22" s="89"/>
      <c r="DH22" s="89">
        <f t="shared" si="1"/>
        <v>0</v>
      </c>
      <c r="DI22" s="89">
        <f t="shared" si="25"/>
        <v>0</v>
      </c>
    </row>
    <row r="23" spans="1:113">
      <c r="B23" s="94">
        <v>45765</v>
      </c>
      <c r="C23" s="94" t="s">
        <v>196</v>
      </c>
      <c r="D23" s="95">
        <v>0</v>
      </c>
      <c r="E23" s="95">
        <v>0</v>
      </c>
      <c r="F23" s="95">
        <v>0</v>
      </c>
      <c r="G23" s="95">
        <v>0</v>
      </c>
      <c r="H23" s="95">
        <v>0</v>
      </c>
      <c r="I23" s="95">
        <v>0</v>
      </c>
      <c r="J23" s="95">
        <v>0</v>
      </c>
      <c r="K23" s="95">
        <v>0</v>
      </c>
      <c r="L23" s="95">
        <v>0</v>
      </c>
      <c r="M23" s="95">
        <v>0</v>
      </c>
      <c r="N23" s="95">
        <v>0</v>
      </c>
      <c r="O23" s="95">
        <v>0</v>
      </c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79">
        <v>0</v>
      </c>
      <c r="AI23" s="79">
        <v>0</v>
      </c>
      <c r="AJ23" s="79">
        <f t="shared" si="2"/>
        <v>0</v>
      </c>
      <c r="AK23" s="79">
        <f t="shared" si="3"/>
        <v>0</v>
      </c>
      <c r="AL23" s="79">
        <v>0</v>
      </c>
      <c r="AM23" s="79">
        <f t="shared" si="4"/>
        <v>0</v>
      </c>
      <c r="AN23" s="156"/>
      <c r="AO23" s="79">
        <v>1</v>
      </c>
      <c r="AP23" s="79">
        <f t="shared" si="5"/>
        <v>1</v>
      </c>
      <c r="AQ23" s="156"/>
      <c r="AR23" s="79">
        <v>0</v>
      </c>
      <c r="AS23" s="79">
        <f t="shared" si="6"/>
        <v>0</v>
      </c>
      <c r="AT23" s="156"/>
      <c r="AU23" s="156"/>
      <c r="AV23" s="156"/>
      <c r="AW23" s="156"/>
      <c r="AZ23" s="4">
        <f t="shared" si="7"/>
        <v>0</v>
      </c>
      <c r="BA23" s="76">
        <v>2756</v>
      </c>
      <c r="BC23" s="4">
        <f t="shared" si="8"/>
        <v>0</v>
      </c>
      <c r="BD23" s="4">
        <v>2459</v>
      </c>
      <c r="BE23" s="4">
        <f t="shared" si="9"/>
        <v>0</v>
      </c>
      <c r="BH23" s="3">
        <v>18</v>
      </c>
      <c r="BI23" s="79">
        <f t="shared" si="10"/>
        <v>1</v>
      </c>
      <c r="BJ23" s="4">
        <v>1797543</v>
      </c>
      <c r="BK23" s="4">
        <f t="shared" si="11"/>
        <v>6.0000000000218279</v>
      </c>
      <c r="BL23" s="4">
        <v>4658.3999999999996</v>
      </c>
      <c r="BN23" s="79">
        <f t="shared" si="12"/>
        <v>0</v>
      </c>
      <c r="BP23" s="4">
        <f t="shared" si="13"/>
        <v>0</v>
      </c>
      <c r="BS23" s="79">
        <f t="shared" si="14"/>
        <v>0</v>
      </c>
      <c r="BU23" s="4">
        <f t="shared" si="15"/>
        <v>0</v>
      </c>
      <c r="CA23" s="85">
        <v>18</v>
      </c>
      <c r="CB23" s="92">
        <v>71626.45</v>
      </c>
      <c r="CC23" s="92">
        <v>777165</v>
      </c>
      <c r="CD23" s="85">
        <f t="shared" si="16"/>
        <v>0</v>
      </c>
      <c r="CE23" s="85">
        <f t="shared" si="17"/>
        <v>0</v>
      </c>
      <c r="CF23" s="84"/>
      <c r="CG23" s="85">
        <v>18</v>
      </c>
      <c r="CH23" s="85"/>
      <c r="CI23" s="89"/>
      <c r="CJ23" s="89">
        <f t="shared" si="18"/>
        <v>0</v>
      </c>
      <c r="CK23" s="89">
        <f t="shared" si="21"/>
        <v>0</v>
      </c>
      <c r="CL23" s="84"/>
      <c r="CM23" s="85">
        <v>18</v>
      </c>
      <c r="CN23" s="84"/>
      <c r="CO23" s="89"/>
      <c r="CP23" s="89">
        <f t="shared" si="19"/>
        <v>0</v>
      </c>
      <c r="CQ23" s="89">
        <f t="shared" si="22"/>
        <v>0</v>
      </c>
      <c r="CR23" s="84"/>
      <c r="CS23" s="85">
        <v>18</v>
      </c>
      <c r="CT23" s="85"/>
      <c r="CU23" s="89"/>
      <c r="CV23" s="89">
        <f t="shared" si="20"/>
        <v>0</v>
      </c>
      <c r="CW23" s="79">
        <f t="shared" si="23"/>
        <v>0</v>
      </c>
      <c r="CY23" s="85">
        <v>18</v>
      </c>
      <c r="CZ23" s="85"/>
      <c r="DA23" s="89"/>
      <c r="DB23" s="89">
        <f t="shared" si="0"/>
        <v>0</v>
      </c>
      <c r="DC23" s="89">
        <f t="shared" si="24"/>
        <v>0</v>
      </c>
      <c r="DE23" s="85">
        <v>18</v>
      </c>
      <c r="DF23" s="85"/>
      <c r="DG23" s="89"/>
      <c r="DH23" s="89">
        <f t="shared" si="1"/>
        <v>0</v>
      </c>
      <c r="DI23" s="89">
        <f t="shared" si="25"/>
        <v>0</v>
      </c>
    </row>
    <row r="24" spans="1:113">
      <c r="A24" s="3" t="s">
        <v>203</v>
      </c>
      <c r="B24" s="94">
        <v>45766</v>
      </c>
      <c r="C24" s="94" t="s">
        <v>197</v>
      </c>
      <c r="D24" s="95">
        <v>0</v>
      </c>
      <c r="E24" s="95">
        <v>0</v>
      </c>
      <c r="F24" s="95">
        <v>0</v>
      </c>
      <c r="G24" s="95">
        <v>0</v>
      </c>
      <c r="H24" s="95">
        <v>0</v>
      </c>
      <c r="I24" s="95">
        <v>0</v>
      </c>
      <c r="J24" s="95">
        <v>0</v>
      </c>
      <c r="K24" s="95">
        <v>0</v>
      </c>
      <c r="L24" s="95">
        <v>0</v>
      </c>
      <c r="M24" s="95">
        <v>0</v>
      </c>
      <c r="N24" s="95">
        <v>0</v>
      </c>
      <c r="O24" s="95">
        <v>0</v>
      </c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79">
        <v>0</v>
      </c>
      <c r="AI24" s="79">
        <v>0</v>
      </c>
      <c r="AJ24" s="79">
        <f t="shared" si="2"/>
        <v>0</v>
      </c>
      <c r="AK24" s="79">
        <f t="shared" si="3"/>
        <v>0</v>
      </c>
      <c r="AL24" s="79">
        <v>0</v>
      </c>
      <c r="AM24" s="79">
        <f t="shared" si="4"/>
        <v>0</v>
      </c>
      <c r="AN24" s="156"/>
      <c r="AO24" s="79">
        <v>3</v>
      </c>
      <c r="AP24" s="79">
        <f t="shared" si="5"/>
        <v>3</v>
      </c>
      <c r="AQ24" s="156"/>
      <c r="AR24" s="79">
        <v>0</v>
      </c>
      <c r="AS24" s="79">
        <f t="shared" si="6"/>
        <v>0</v>
      </c>
      <c r="AT24" s="156"/>
      <c r="AU24" s="156"/>
      <c r="AV24" s="156"/>
      <c r="AW24" s="156"/>
      <c r="AZ24" s="4">
        <f t="shared" si="7"/>
        <v>0</v>
      </c>
      <c r="BA24" s="76">
        <v>2756</v>
      </c>
      <c r="BC24" s="4">
        <f t="shared" si="8"/>
        <v>0</v>
      </c>
      <c r="BD24" s="4">
        <v>2459</v>
      </c>
      <c r="BE24" s="4">
        <f t="shared" si="9"/>
        <v>0</v>
      </c>
      <c r="BH24" s="3">
        <v>19</v>
      </c>
      <c r="BI24" s="79">
        <f t="shared" si="10"/>
        <v>3</v>
      </c>
      <c r="BJ24" s="4">
        <v>1797544</v>
      </c>
      <c r="BK24" s="4">
        <f t="shared" si="11"/>
        <v>6.0000000000218279</v>
      </c>
      <c r="BL24" s="4">
        <v>4658.5</v>
      </c>
      <c r="BN24" s="79">
        <f t="shared" si="12"/>
        <v>0</v>
      </c>
      <c r="BP24" s="4">
        <f t="shared" si="13"/>
        <v>0</v>
      </c>
      <c r="BS24" s="79">
        <f t="shared" si="14"/>
        <v>0</v>
      </c>
      <c r="BU24" s="4">
        <f t="shared" si="15"/>
        <v>0</v>
      </c>
      <c r="CA24" s="85">
        <v>19</v>
      </c>
      <c r="CB24" s="92">
        <v>71626.45</v>
      </c>
      <c r="CC24" s="92">
        <v>777165</v>
      </c>
      <c r="CD24" s="85">
        <f t="shared" si="16"/>
        <v>0</v>
      </c>
      <c r="CE24" s="85">
        <f t="shared" si="17"/>
        <v>0</v>
      </c>
      <c r="CF24" s="84"/>
      <c r="CG24" s="85">
        <v>19</v>
      </c>
      <c r="CH24" s="85"/>
      <c r="CI24" s="89"/>
      <c r="CJ24" s="89">
        <f t="shared" si="18"/>
        <v>0</v>
      </c>
      <c r="CK24" s="89">
        <f t="shared" si="21"/>
        <v>0</v>
      </c>
      <c r="CL24" s="84"/>
      <c r="CM24" s="85">
        <v>19</v>
      </c>
      <c r="CN24" s="85"/>
      <c r="CO24" s="89"/>
      <c r="CP24" s="89">
        <f t="shared" si="19"/>
        <v>0</v>
      </c>
      <c r="CQ24" s="89">
        <f t="shared" si="22"/>
        <v>0</v>
      </c>
      <c r="CR24" s="84"/>
      <c r="CS24" s="85">
        <v>19</v>
      </c>
      <c r="CT24" s="85"/>
      <c r="CU24" s="89"/>
      <c r="CV24" s="89">
        <f t="shared" si="20"/>
        <v>0</v>
      </c>
      <c r="CW24" s="79">
        <f t="shared" si="23"/>
        <v>0</v>
      </c>
      <c r="CY24" s="85">
        <v>19</v>
      </c>
      <c r="CZ24" s="85"/>
      <c r="DA24" s="89"/>
      <c r="DB24" s="89">
        <f t="shared" si="0"/>
        <v>0</v>
      </c>
      <c r="DC24" s="89">
        <f t="shared" si="24"/>
        <v>0</v>
      </c>
      <c r="DE24" s="85">
        <v>19</v>
      </c>
      <c r="DF24" s="85"/>
      <c r="DG24" s="89"/>
      <c r="DH24" s="89">
        <f t="shared" si="1"/>
        <v>0</v>
      </c>
      <c r="DI24" s="89">
        <f t="shared" si="25"/>
        <v>0</v>
      </c>
    </row>
    <row r="25" spans="1:113" s="2" customFormat="1">
      <c r="B25" s="190">
        <v>45767</v>
      </c>
      <c r="C25" s="190" t="s">
        <v>198</v>
      </c>
      <c r="D25" s="191">
        <v>0</v>
      </c>
      <c r="E25" s="191">
        <v>0</v>
      </c>
      <c r="F25" s="191">
        <v>0</v>
      </c>
      <c r="G25" s="191">
        <v>0</v>
      </c>
      <c r="H25" s="191">
        <v>0</v>
      </c>
      <c r="I25" s="191">
        <v>0</v>
      </c>
      <c r="J25" s="191">
        <v>0</v>
      </c>
      <c r="K25" s="191">
        <v>0</v>
      </c>
      <c r="L25" s="191">
        <v>0</v>
      </c>
      <c r="M25" s="191">
        <v>0</v>
      </c>
      <c r="N25" s="191">
        <v>0</v>
      </c>
      <c r="O25" s="191">
        <v>0</v>
      </c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79">
        <v>0</v>
      </c>
      <c r="AI25" s="79">
        <v>0</v>
      </c>
      <c r="AJ25" s="79">
        <f t="shared" si="2"/>
        <v>0</v>
      </c>
      <c r="AK25" s="79">
        <f t="shared" si="3"/>
        <v>0</v>
      </c>
      <c r="AL25" s="79">
        <v>0</v>
      </c>
      <c r="AM25" s="79">
        <f t="shared" si="4"/>
        <v>0</v>
      </c>
      <c r="AN25" s="156"/>
      <c r="AO25" s="79">
        <v>2</v>
      </c>
      <c r="AP25" s="79">
        <f t="shared" si="5"/>
        <v>2</v>
      </c>
      <c r="AQ25" s="156"/>
      <c r="AR25" s="79">
        <v>0</v>
      </c>
      <c r="AS25" s="79">
        <f t="shared" si="6"/>
        <v>0</v>
      </c>
      <c r="AT25" s="156"/>
      <c r="AU25" s="156"/>
      <c r="AV25" s="156"/>
      <c r="AW25" s="156"/>
      <c r="AZ25" s="4">
        <f t="shared" si="7"/>
        <v>0</v>
      </c>
      <c r="BA25" s="76">
        <v>2756</v>
      </c>
      <c r="BC25" s="4">
        <f t="shared" si="8"/>
        <v>0</v>
      </c>
      <c r="BD25" s="4">
        <v>2459</v>
      </c>
      <c r="BE25" s="4">
        <f t="shared" si="9"/>
        <v>0</v>
      </c>
      <c r="BH25" s="3">
        <v>20</v>
      </c>
      <c r="BI25" s="79">
        <f t="shared" si="10"/>
        <v>2</v>
      </c>
      <c r="BJ25" s="4">
        <v>1797547</v>
      </c>
      <c r="BK25" s="4">
        <f t="shared" si="11"/>
        <v>11.999999999989086</v>
      </c>
      <c r="BL25" s="4">
        <v>4658.6000000000004</v>
      </c>
      <c r="BM25" s="3"/>
      <c r="BN25" s="79">
        <f t="shared" si="12"/>
        <v>0</v>
      </c>
      <c r="BP25" s="4">
        <f t="shared" si="13"/>
        <v>0</v>
      </c>
      <c r="BS25" s="79">
        <f t="shared" si="14"/>
        <v>0</v>
      </c>
      <c r="BU25" s="4">
        <f t="shared" si="15"/>
        <v>0</v>
      </c>
      <c r="CA25" s="85">
        <v>20</v>
      </c>
      <c r="CB25" s="92">
        <v>71626.45</v>
      </c>
      <c r="CC25" s="92">
        <v>777165</v>
      </c>
      <c r="CD25" s="85">
        <f t="shared" si="16"/>
        <v>0</v>
      </c>
      <c r="CE25" s="85">
        <f t="shared" si="17"/>
        <v>0</v>
      </c>
      <c r="CF25" s="90"/>
      <c r="CG25" s="85">
        <v>20</v>
      </c>
      <c r="CH25" s="85"/>
      <c r="CI25" s="89"/>
      <c r="CJ25" s="89">
        <f t="shared" si="18"/>
        <v>0</v>
      </c>
      <c r="CK25" s="89">
        <f t="shared" si="21"/>
        <v>0</v>
      </c>
      <c r="CL25" s="90"/>
      <c r="CM25" s="85">
        <v>20</v>
      </c>
      <c r="CN25" s="85"/>
      <c r="CO25" s="89"/>
      <c r="CP25" s="89">
        <f t="shared" si="19"/>
        <v>0</v>
      </c>
      <c r="CQ25" s="89">
        <f t="shared" si="22"/>
        <v>0</v>
      </c>
      <c r="CR25" s="90"/>
      <c r="CS25" s="85">
        <v>20</v>
      </c>
      <c r="CT25" s="85"/>
      <c r="CU25" s="89"/>
      <c r="CV25" s="89">
        <f t="shared" si="20"/>
        <v>0</v>
      </c>
      <c r="CW25" s="79">
        <f t="shared" si="23"/>
        <v>0</v>
      </c>
      <c r="CY25" s="85">
        <v>20</v>
      </c>
      <c r="CZ25" s="85"/>
      <c r="DA25" s="89"/>
      <c r="DB25" s="89">
        <f t="shared" si="0"/>
        <v>0</v>
      </c>
      <c r="DC25" s="89">
        <f t="shared" si="24"/>
        <v>0</v>
      </c>
      <c r="DE25" s="85">
        <v>20</v>
      </c>
      <c r="DF25" s="85"/>
      <c r="DG25" s="89"/>
      <c r="DH25" s="89">
        <f t="shared" si="1"/>
        <v>0</v>
      </c>
      <c r="DI25" s="89">
        <f t="shared" si="25"/>
        <v>0</v>
      </c>
    </row>
    <row r="26" spans="1:113">
      <c r="B26" s="94">
        <v>45768</v>
      </c>
      <c r="C26" s="94" t="s">
        <v>192</v>
      </c>
      <c r="D26" s="95">
        <v>0</v>
      </c>
      <c r="E26" s="95">
        <v>0</v>
      </c>
      <c r="F26" s="95">
        <v>0</v>
      </c>
      <c r="G26" s="95">
        <v>0</v>
      </c>
      <c r="H26" s="95">
        <v>0</v>
      </c>
      <c r="I26" s="95">
        <v>0</v>
      </c>
      <c r="J26" s="95">
        <v>0</v>
      </c>
      <c r="K26" s="95">
        <v>0</v>
      </c>
      <c r="L26" s="95">
        <v>0</v>
      </c>
      <c r="M26" s="95">
        <v>0</v>
      </c>
      <c r="N26" s="95">
        <v>0</v>
      </c>
      <c r="O26" s="95">
        <v>0</v>
      </c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79">
        <v>0</v>
      </c>
      <c r="AI26" s="79">
        <v>0</v>
      </c>
      <c r="AJ26" s="79">
        <f t="shared" si="2"/>
        <v>0</v>
      </c>
      <c r="AK26" s="79">
        <f t="shared" si="3"/>
        <v>0</v>
      </c>
      <c r="AL26" s="79">
        <v>0</v>
      </c>
      <c r="AM26" s="79">
        <f t="shared" si="4"/>
        <v>0</v>
      </c>
      <c r="AN26" s="156"/>
      <c r="AO26" s="79">
        <v>1</v>
      </c>
      <c r="AP26" s="79">
        <f t="shared" si="5"/>
        <v>1</v>
      </c>
      <c r="AQ26" s="156"/>
      <c r="AR26" s="79">
        <v>0</v>
      </c>
      <c r="AS26" s="79">
        <f t="shared" si="6"/>
        <v>0</v>
      </c>
      <c r="AT26" s="156"/>
      <c r="AU26" s="156"/>
      <c r="AV26" s="156"/>
      <c r="AW26" s="156"/>
      <c r="AZ26" s="4">
        <f t="shared" si="7"/>
        <v>0</v>
      </c>
      <c r="BA26" s="76">
        <v>2756</v>
      </c>
      <c r="BC26" s="4">
        <f t="shared" si="8"/>
        <v>0</v>
      </c>
      <c r="BD26" s="4">
        <v>2459</v>
      </c>
      <c r="BE26" s="4">
        <f t="shared" si="9"/>
        <v>0</v>
      </c>
      <c r="BH26" s="3">
        <v>21</v>
      </c>
      <c r="BI26" s="79">
        <f t="shared" si="10"/>
        <v>1</v>
      </c>
      <c r="BJ26" s="4">
        <v>1797549</v>
      </c>
      <c r="BK26" s="4">
        <f t="shared" si="11"/>
        <v>5.9999999999672582</v>
      </c>
      <c r="BL26" s="4">
        <v>4658.8</v>
      </c>
      <c r="BN26" s="79">
        <f t="shared" si="12"/>
        <v>0</v>
      </c>
      <c r="BP26" s="4">
        <f t="shared" si="13"/>
        <v>0</v>
      </c>
      <c r="BS26" s="79">
        <f t="shared" si="14"/>
        <v>0</v>
      </c>
      <c r="BU26" s="4">
        <f t="shared" si="15"/>
        <v>0</v>
      </c>
      <c r="CA26" s="85">
        <v>21</v>
      </c>
      <c r="CB26" s="92">
        <v>71626.45</v>
      </c>
      <c r="CC26" s="92">
        <v>777165</v>
      </c>
      <c r="CD26" s="85">
        <f t="shared" si="16"/>
        <v>0</v>
      </c>
      <c r="CE26" s="85">
        <f t="shared" si="17"/>
        <v>0</v>
      </c>
      <c r="CF26" s="84"/>
      <c r="CG26" s="85">
        <v>21</v>
      </c>
      <c r="CH26" s="85"/>
      <c r="CI26" s="89"/>
      <c r="CJ26" s="89">
        <f t="shared" si="18"/>
        <v>0</v>
      </c>
      <c r="CK26" s="89">
        <f t="shared" si="21"/>
        <v>0</v>
      </c>
      <c r="CL26" s="84"/>
      <c r="CM26" s="85">
        <v>21</v>
      </c>
      <c r="CN26" s="85"/>
      <c r="CO26" s="89"/>
      <c r="CP26" s="89">
        <f t="shared" si="19"/>
        <v>0</v>
      </c>
      <c r="CQ26" s="89">
        <f t="shared" si="22"/>
        <v>0</v>
      </c>
      <c r="CR26" s="84"/>
      <c r="CS26" s="85">
        <v>21</v>
      </c>
      <c r="CT26" s="85"/>
      <c r="CU26" s="89"/>
      <c r="CV26" s="89">
        <f t="shared" si="20"/>
        <v>0</v>
      </c>
      <c r="CW26" s="79">
        <f t="shared" si="23"/>
        <v>0</v>
      </c>
      <c r="CY26" s="85">
        <v>21</v>
      </c>
      <c r="CZ26" s="85"/>
      <c r="DA26" s="89"/>
      <c r="DB26" s="89">
        <f t="shared" si="0"/>
        <v>0</v>
      </c>
      <c r="DC26" s="89">
        <f t="shared" si="24"/>
        <v>0</v>
      </c>
      <c r="DE26" s="85">
        <v>21</v>
      </c>
      <c r="DF26" s="85"/>
      <c r="DG26" s="89"/>
      <c r="DH26" s="89">
        <f t="shared" si="1"/>
        <v>0</v>
      </c>
      <c r="DI26" s="89">
        <f t="shared" si="25"/>
        <v>0</v>
      </c>
    </row>
    <row r="27" spans="1:113">
      <c r="B27" s="94">
        <v>45769</v>
      </c>
      <c r="C27" s="94" t="s">
        <v>193</v>
      </c>
      <c r="D27" s="95">
        <v>0</v>
      </c>
      <c r="E27" s="95">
        <v>0</v>
      </c>
      <c r="F27" s="95">
        <v>0</v>
      </c>
      <c r="G27" s="95">
        <v>0</v>
      </c>
      <c r="H27" s="95">
        <v>0</v>
      </c>
      <c r="I27" s="95">
        <v>0</v>
      </c>
      <c r="J27" s="95">
        <v>0</v>
      </c>
      <c r="K27" s="95">
        <v>0</v>
      </c>
      <c r="L27" s="95">
        <v>0</v>
      </c>
      <c r="M27" s="95">
        <v>0</v>
      </c>
      <c r="N27" s="95">
        <v>0</v>
      </c>
      <c r="O27" s="95">
        <v>0</v>
      </c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79">
        <v>0</v>
      </c>
      <c r="AI27" s="79">
        <v>0</v>
      </c>
      <c r="AJ27" s="79">
        <f t="shared" si="2"/>
        <v>0</v>
      </c>
      <c r="AK27" s="79">
        <f t="shared" si="3"/>
        <v>0</v>
      </c>
      <c r="AL27" s="79">
        <v>0</v>
      </c>
      <c r="AM27" s="79">
        <f t="shared" si="4"/>
        <v>0</v>
      </c>
      <c r="AN27" s="156"/>
      <c r="AO27" s="79">
        <v>2</v>
      </c>
      <c r="AP27" s="79">
        <f t="shared" si="5"/>
        <v>2</v>
      </c>
      <c r="AQ27" s="156"/>
      <c r="AR27" s="79">
        <v>0</v>
      </c>
      <c r="AS27" s="79">
        <f t="shared" si="6"/>
        <v>0</v>
      </c>
      <c r="AT27" s="156"/>
      <c r="AU27" s="156"/>
      <c r="AV27" s="156"/>
      <c r="AW27" s="156"/>
      <c r="AZ27" s="4">
        <f t="shared" si="7"/>
        <v>0</v>
      </c>
      <c r="BA27" s="76">
        <v>2756</v>
      </c>
      <c r="BC27" s="4">
        <f t="shared" si="8"/>
        <v>0</v>
      </c>
      <c r="BD27" s="4">
        <v>2459</v>
      </c>
      <c r="BE27" s="4">
        <f t="shared" si="9"/>
        <v>0</v>
      </c>
      <c r="BH27" s="3">
        <v>22</v>
      </c>
      <c r="BI27" s="79">
        <f t="shared" si="10"/>
        <v>2</v>
      </c>
      <c r="BJ27" s="4">
        <v>1797550</v>
      </c>
      <c r="BK27" s="4">
        <f t="shared" si="11"/>
        <v>6.0000000000218279</v>
      </c>
      <c r="BL27" s="4">
        <v>4658.8999999999996</v>
      </c>
      <c r="BN27" s="79">
        <f t="shared" si="12"/>
        <v>0</v>
      </c>
      <c r="BP27" s="4">
        <f t="shared" si="13"/>
        <v>0</v>
      </c>
      <c r="BS27" s="79">
        <f t="shared" si="14"/>
        <v>0</v>
      </c>
      <c r="BU27" s="4">
        <f t="shared" si="15"/>
        <v>0</v>
      </c>
      <c r="CA27" s="85">
        <v>22</v>
      </c>
      <c r="CB27" s="92">
        <v>71626.45</v>
      </c>
      <c r="CC27" s="92">
        <v>777165</v>
      </c>
      <c r="CD27" s="85">
        <f t="shared" si="16"/>
        <v>0</v>
      </c>
      <c r="CE27" s="85">
        <f t="shared" si="17"/>
        <v>0</v>
      </c>
      <c r="CF27" s="84"/>
      <c r="CG27" s="85">
        <v>22</v>
      </c>
      <c r="CH27" s="85"/>
      <c r="CI27" s="89"/>
      <c r="CJ27" s="89">
        <f t="shared" si="18"/>
        <v>0</v>
      </c>
      <c r="CK27" s="89">
        <f t="shared" si="21"/>
        <v>0</v>
      </c>
      <c r="CL27" s="84"/>
      <c r="CM27" s="85">
        <v>22</v>
      </c>
      <c r="CN27" s="85"/>
      <c r="CO27" s="89"/>
      <c r="CP27" s="89">
        <f t="shared" si="19"/>
        <v>0</v>
      </c>
      <c r="CQ27" s="89">
        <f t="shared" si="22"/>
        <v>0</v>
      </c>
      <c r="CR27" s="84"/>
      <c r="CS27" s="85">
        <v>22</v>
      </c>
      <c r="CT27" s="85"/>
      <c r="CU27" s="89"/>
      <c r="CV27" s="89">
        <f t="shared" si="20"/>
        <v>0</v>
      </c>
      <c r="CW27" s="79">
        <f t="shared" si="23"/>
        <v>0</v>
      </c>
      <c r="CY27" s="85">
        <v>22</v>
      </c>
      <c r="CZ27" s="85"/>
      <c r="DA27" s="89"/>
      <c r="DB27" s="89">
        <f t="shared" si="0"/>
        <v>0</v>
      </c>
      <c r="DC27" s="89">
        <f t="shared" si="24"/>
        <v>0</v>
      </c>
      <c r="DE27" s="85">
        <v>22</v>
      </c>
      <c r="DF27" s="85"/>
      <c r="DG27" s="89"/>
      <c r="DH27" s="89">
        <f t="shared" si="1"/>
        <v>0</v>
      </c>
      <c r="DI27" s="89">
        <f t="shared" si="25"/>
        <v>0</v>
      </c>
    </row>
    <row r="28" spans="1:113">
      <c r="B28" s="94">
        <v>45770</v>
      </c>
      <c r="C28" s="94" t="s">
        <v>194</v>
      </c>
      <c r="D28" s="95">
        <v>0</v>
      </c>
      <c r="E28" s="95">
        <v>0</v>
      </c>
      <c r="F28" s="95">
        <v>0</v>
      </c>
      <c r="G28" s="95">
        <v>0</v>
      </c>
      <c r="H28" s="95">
        <v>0</v>
      </c>
      <c r="I28" s="95">
        <v>0</v>
      </c>
      <c r="J28" s="95">
        <v>0</v>
      </c>
      <c r="K28" s="95">
        <v>0</v>
      </c>
      <c r="L28" s="95">
        <v>0</v>
      </c>
      <c r="M28" s="95">
        <v>0</v>
      </c>
      <c r="N28" s="95">
        <v>0</v>
      </c>
      <c r="O28" s="95">
        <v>0</v>
      </c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79">
        <v>0</v>
      </c>
      <c r="AI28" s="79">
        <v>0</v>
      </c>
      <c r="AJ28" s="79">
        <f t="shared" si="2"/>
        <v>0</v>
      </c>
      <c r="AK28" s="79">
        <f t="shared" si="3"/>
        <v>0</v>
      </c>
      <c r="AL28" s="79">
        <v>0</v>
      </c>
      <c r="AM28" s="79">
        <f t="shared" si="4"/>
        <v>0</v>
      </c>
      <c r="AN28" s="156"/>
      <c r="AO28" s="79">
        <v>1</v>
      </c>
      <c r="AP28" s="79">
        <f t="shared" si="5"/>
        <v>1</v>
      </c>
      <c r="AQ28" s="156"/>
      <c r="AR28" s="79">
        <v>0</v>
      </c>
      <c r="AS28" s="79">
        <f t="shared" si="6"/>
        <v>0</v>
      </c>
      <c r="AT28" s="156"/>
      <c r="AU28" s="156"/>
      <c r="AV28" s="156"/>
      <c r="AW28" s="156"/>
      <c r="AZ28" s="4">
        <f t="shared" si="7"/>
        <v>0</v>
      </c>
      <c r="BA28" s="76">
        <v>2756</v>
      </c>
      <c r="BC28" s="4">
        <f t="shared" si="8"/>
        <v>0</v>
      </c>
      <c r="BD28" s="4">
        <v>2459</v>
      </c>
      <c r="BE28" s="4">
        <f t="shared" si="9"/>
        <v>0</v>
      </c>
      <c r="BH28" s="3">
        <v>23</v>
      </c>
      <c r="BI28" s="79">
        <f t="shared" si="10"/>
        <v>1</v>
      </c>
      <c r="BJ28" s="4">
        <v>1797552</v>
      </c>
      <c r="BK28" s="4">
        <f t="shared" si="11"/>
        <v>6.0000000000218279</v>
      </c>
      <c r="BL28" s="4">
        <v>4659</v>
      </c>
      <c r="BN28" s="79">
        <f t="shared" si="12"/>
        <v>0</v>
      </c>
      <c r="BP28" s="4">
        <f t="shared" si="13"/>
        <v>0</v>
      </c>
      <c r="BS28" s="79">
        <f t="shared" si="14"/>
        <v>0</v>
      </c>
      <c r="BU28" s="4">
        <f t="shared" si="15"/>
        <v>0</v>
      </c>
      <c r="CA28" s="85">
        <v>23</v>
      </c>
      <c r="CB28" s="92">
        <v>71626.45</v>
      </c>
      <c r="CC28" s="92">
        <v>777165</v>
      </c>
      <c r="CD28" s="85">
        <f t="shared" si="16"/>
        <v>0</v>
      </c>
      <c r="CE28" s="85">
        <f t="shared" si="17"/>
        <v>0</v>
      </c>
      <c r="CF28" s="84"/>
      <c r="CG28" s="85">
        <v>23</v>
      </c>
      <c r="CH28" s="85"/>
      <c r="CI28" s="89"/>
      <c r="CJ28" s="89">
        <f t="shared" si="18"/>
        <v>0</v>
      </c>
      <c r="CK28" s="89">
        <f t="shared" si="21"/>
        <v>0</v>
      </c>
      <c r="CL28" s="84"/>
      <c r="CM28" s="85">
        <v>23</v>
      </c>
      <c r="CN28" s="85"/>
      <c r="CO28" s="89"/>
      <c r="CP28" s="89">
        <f t="shared" si="19"/>
        <v>0</v>
      </c>
      <c r="CQ28" s="89">
        <f t="shared" si="22"/>
        <v>0</v>
      </c>
      <c r="CR28" s="84"/>
      <c r="CS28" s="85">
        <v>23</v>
      </c>
      <c r="CT28" s="85"/>
      <c r="CU28" s="89"/>
      <c r="CV28" s="89">
        <f t="shared" si="20"/>
        <v>0</v>
      </c>
      <c r="CW28" s="79">
        <f t="shared" si="23"/>
        <v>0</v>
      </c>
      <c r="CY28" s="85">
        <v>23</v>
      </c>
      <c r="CZ28" s="85"/>
      <c r="DA28" s="89"/>
      <c r="DB28" s="89">
        <f t="shared" si="0"/>
        <v>0</v>
      </c>
      <c r="DC28" s="89">
        <f t="shared" si="24"/>
        <v>0</v>
      </c>
      <c r="DE28" s="85">
        <v>23</v>
      </c>
      <c r="DF28" s="85"/>
      <c r="DG28" s="89"/>
      <c r="DH28" s="89">
        <f t="shared" si="1"/>
        <v>0</v>
      </c>
      <c r="DI28" s="89">
        <f t="shared" si="25"/>
        <v>0</v>
      </c>
    </row>
    <row r="29" spans="1:113">
      <c r="B29" s="94">
        <v>45771</v>
      </c>
      <c r="C29" s="94" t="s">
        <v>195</v>
      </c>
      <c r="D29" s="95">
        <v>0</v>
      </c>
      <c r="E29" s="95">
        <v>0</v>
      </c>
      <c r="F29" s="95">
        <v>0</v>
      </c>
      <c r="G29" s="95">
        <v>0</v>
      </c>
      <c r="H29" s="95">
        <v>0</v>
      </c>
      <c r="I29" s="95">
        <v>0</v>
      </c>
      <c r="J29" s="95">
        <v>0</v>
      </c>
      <c r="K29" s="95">
        <v>0</v>
      </c>
      <c r="L29" s="95">
        <v>0</v>
      </c>
      <c r="M29" s="95">
        <v>0</v>
      </c>
      <c r="N29" s="95">
        <v>0</v>
      </c>
      <c r="O29" s="95">
        <v>0</v>
      </c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79">
        <v>0</v>
      </c>
      <c r="AI29" s="79">
        <v>0</v>
      </c>
      <c r="AJ29" s="79">
        <f t="shared" si="2"/>
        <v>0</v>
      </c>
      <c r="AK29" s="79">
        <f t="shared" si="3"/>
        <v>0</v>
      </c>
      <c r="AL29" s="79">
        <v>0</v>
      </c>
      <c r="AM29" s="79">
        <f t="shared" si="4"/>
        <v>0</v>
      </c>
      <c r="AN29" s="156"/>
      <c r="AO29" s="79">
        <v>3</v>
      </c>
      <c r="AP29" s="79">
        <f t="shared" si="5"/>
        <v>3</v>
      </c>
      <c r="AQ29" s="156"/>
      <c r="AR29" s="79">
        <v>0</v>
      </c>
      <c r="AS29" s="79">
        <f t="shared" si="6"/>
        <v>0</v>
      </c>
      <c r="AT29" s="156"/>
      <c r="AU29" s="156"/>
      <c r="AV29" s="156"/>
      <c r="AW29" s="156"/>
      <c r="AZ29" s="4">
        <f t="shared" si="7"/>
        <v>0</v>
      </c>
      <c r="BA29" s="76">
        <v>2756</v>
      </c>
      <c r="BC29" s="4">
        <f t="shared" si="8"/>
        <v>0</v>
      </c>
      <c r="BD29" s="4">
        <v>2459</v>
      </c>
      <c r="BE29" s="4">
        <f t="shared" si="9"/>
        <v>0</v>
      </c>
      <c r="BH29" s="3">
        <v>24</v>
      </c>
      <c r="BI29" s="79">
        <f t="shared" si="10"/>
        <v>3</v>
      </c>
      <c r="BJ29" s="4">
        <v>1797553</v>
      </c>
      <c r="BK29" s="4">
        <f t="shared" si="11"/>
        <v>5.9999999999672582</v>
      </c>
      <c r="BL29" s="4">
        <v>4659.1000000000004</v>
      </c>
      <c r="BN29" s="79">
        <f t="shared" si="12"/>
        <v>0</v>
      </c>
      <c r="BP29" s="4">
        <f t="shared" si="13"/>
        <v>0</v>
      </c>
      <c r="BS29" s="79">
        <f t="shared" si="14"/>
        <v>0</v>
      </c>
      <c r="BU29" s="4">
        <f t="shared" si="15"/>
        <v>0</v>
      </c>
      <c r="CA29" s="85">
        <v>24</v>
      </c>
      <c r="CB29" s="92">
        <v>71626.45</v>
      </c>
      <c r="CC29" s="92">
        <v>777165</v>
      </c>
      <c r="CD29" s="85">
        <f t="shared" si="16"/>
        <v>0</v>
      </c>
      <c r="CE29" s="85">
        <f t="shared" si="17"/>
        <v>0</v>
      </c>
      <c r="CF29" s="84"/>
      <c r="CG29" s="85">
        <v>24</v>
      </c>
      <c r="CH29" s="85"/>
      <c r="CI29" s="89"/>
      <c r="CJ29" s="89">
        <f t="shared" si="18"/>
        <v>0</v>
      </c>
      <c r="CK29" s="89">
        <f t="shared" si="21"/>
        <v>0</v>
      </c>
      <c r="CL29" s="84"/>
      <c r="CM29" s="85">
        <v>24</v>
      </c>
      <c r="CN29" s="85"/>
      <c r="CO29" s="89"/>
      <c r="CP29" s="89">
        <f t="shared" si="19"/>
        <v>0</v>
      </c>
      <c r="CQ29" s="89">
        <f t="shared" si="22"/>
        <v>0</v>
      </c>
      <c r="CR29" s="84"/>
      <c r="CS29" s="85">
        <v>24</v>
      </c>
      <c r="CT29" s="85"/>
      <c r="CU29" s="89"/>
      <c r="CV29" s="89">
        <f t="shared" si="20"/>
        <v>0</v>
      </c>
      <c r="CW29" s="79">
        <f t="shared" si="23"/>
        <v>0</v>
      </c>
      <c r="CY29" s="85">
        <v>24</v>
      </c>
      <c r="CZ29" s="85"/>
      <c r="DA29" s="89"/>
      <c r="DB29" s="89">
        <f t="shared" si="0"/>
        <v>0</v>
      </c>
      <c r="DC29" s="89">
        <f t="shared" si="24"/>
        <v>0</v>
      </c>
      <c r="DE29" s="85">
        <v>24</v>
      </c>
      <c r="DF29" s="85"/>
      <c r="DG29" s="89"/>
      <c r="DH29" s="89">
        <f t="shared" si="1"/>
        <v>0</v>
      </c>
      <c r="DI29" s="89">
        <f t="shared" si="25"/>
        <v>0</v>
      </c>
    </row>
    <row r="30" spans="1:113">
      <c r="B30" s="94">
        <v>45772</v>
      </c>
      <c r="C30" s="94" t="s">
        <v>196</v>
      </c>
      <c r="D30" s="95">
        <v>35</v>
      </c>
      <c r="E30" s="95">
        <v>669</v>
      </c>
      <c r="F30" s="95">
        <v>0</v>
      </c>
      <c r="G30" s="95">
        <v>0</v>
      </c>
      <c r="H30" s="95">
        <v>35</v>
      </c>
      <c r="I30" s="95">
        <v>558</v>
      </c>
      <c r="J30" s="95">
        <v>35</v>
      </c>
      <c r="K30" s="95">
        <v>580</v>
      </c>
      <c r="L30" s="95">
        <v>35</v>
      </c>
      <c r="M30" s="95">
        <v>527</v>
      </c>
      <c r="N30" s="95">
        <v>35</v>
      </c>
      <c r="O30" s="95">
        <v>652</v>
      </c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79">
        <v>321.88</v>
      </c>
      <c r="AI30" s="79">
        <v>322</v>
      </c>
      <c r="AJ30" s="79">
        <f t="shared" si="2"/>
        <v>-347</v>
      </c>
      <c r="AK30" s="79">
        <f t="shared" si="3"/>
        <v>0.12000000000000455</v>
      </c>
      <c r="AL30" s="79">
        <v>0</v>
      </c>
      <c r="AM30" s="79">
        <f t="shared" si="4"/>
        <v>-558</v>
      </c>
      <c r="AN30" s="156"/>
      <c r="AO30" s="79">
        <v>158</v>
      </c>
      <c r="AP30" s="79">
        <f t="shared" si="5"/>
        <v>-422</v>
      </c>
      <c r="AQ30" s="156"/>
      <c r="AR30" s="79">
        <v>0</v>
      </c>
      <c r="AS30" s="79">
        <f t="shared" si="6"/>
        <v>-527</v>
      </c>
      <c r="AT30" s="156"/>
      <c r="AU30" s="156"/>
      <c r="AV30" s="156"/>
      <c r="AW30" s="156"/>
      <c r="AZ30" s="4">
        <f t="shared" si="7"/>
        <v>143.99999999997817</v>
      </c>
      <c r="BA30" s="76">
        <v>2756</v>
      </c>
      <c r="BC30" s="4">
        <f t="shared" si="8"/>
        <v>24.000000000005457</v>
      </c>
      <c r="BD30" s="4">
        <v>2459</v>
      </c>
      <c r="BE30" s="4">
        <f t="shared" si="9"/>
        <v>0.40000000000009095</v>
      </c>
      <c r="BH30" s="3">
        <v>25</v>
      </c>
      <c r="BI30" s="79">
        <f t="shared" si="10"/>
        <v>158</v>
      </c>
      <c r="BJ30" s="4">
        <v>1797556</v>
      </c>
      <c r="BK30" s="4">
        <f t="shared" si="11"/>
        <v>41.999999999989086</v>
      </c>
      <c r="BL30" s="4">
        <v>4659.2</v>
      </c>
      <c r="BN30" s="79">
        <f t="shared" si="12"/>
        <v>0</v>
      </c>
      <c r="BP30" s="4">
        <f t="shared" si="13"/>
        <v>0</v>
      </c>
      <c r="BS30" s="79">
        <f t="shared" si="14"/>
        <v>0</v>
      </c>
      <c r="BU30" s="4">
        <f t="shared" si="15"/>
        <v>0</v>
      </c>
      <c r="CA30" s="85">
        <v>25</v>
      </c>
      <c r="CB30" s="92">
        <v>71626.45</v>
      </c>
      <c r="CC30" s="92">
        <v>777165</v>
      </c>
      <c r="CD30" s="85">
        <f t="shared" si="16"/>
        <v>0</v>
      </c>
      <c r="CE30" s="85">
        <f t="shared" si="17"/>
        <v>0</v>
      </c>
      <c r="CF30" s="84"/>
      <c r="CG30" s="85">
        <v>25</v>
      </c>
      <c r="CH30" s="85"/>
      <c r="CI30" s="89"/>
      <c r="CJ30" s="89">
        <f t="shared" si="18"/>
        <v>0</v>
      </c>
      <c r="CK30" s="89">
        <f t="shared" si="21"/>
        <v>0</v>
      </c>
      <c r="CL30" s="84"/>
      <c r="CM30" s="85">
        <v>25</v>
      </c>
      <c r="CN30" s="85"/>
      <c r="CO30" s="89"/>
      <c r="CP30" s="89">
        <f t="shared" si="19"/>
        <v>0</v>
      </c>
      <c r="CQ30" s="89">
        <f t="shared" si="22"/>
        <v>0</v>
      </c>
      <c r="CR30" s="84"/>
      <c r="CS30" s="85">
        <v>25</v>
      </c>
      <c r="CT30" s="85"/>
      <c r="CU30" s="89"/>
      <c r="CV30" s="89">
        <f t="shared" si="20"/>
        <v>0</v>
      </c>
      <c r="CW30" s="79">
        <f t="shared" si="23"/>
        <v>0</v>
      </c>
      <c r="CY30" s="85">
        <v>25</v>
      </c>
      <c r="CZ30" s="85"/>
      <c r="DA30" s="89"/>
      <c r="DB30" s="89">
        <f t="shared" si="0"/>
        <v>0</v>
      </c>
      <c r="DC30" s="89">
        <f t="shared" si="24"/>
        <v>0</v>
      </c>
      <c r="DE30" s="85">
        <v>25</v>
      </c>
      <c r="DF30" s="85"/>
      <c r="DG30" s="89"/>
      <c r="DH30" s="89">
        <f t="shared" si="1"/>
        <v>0</v>
      </c>
      <c r="DI30" s="89">
        <f t="shared" si="25"/>
        <v>0</v>
      </c>
    </row>
    <row r="31" spans="1:113">
      <c r="B31" s="94">
        <v>45773</v>
      </c>
      <c r="C31" s="94" t="s">
        <v>197</v>
      </c>
      <c r="D31" s="95">
        <v>0</v>
      </c>
      <c r="E31" s="95">
        <v>0</v>
      </c>
      <c r="F31" s="95">
        <v>0</v>
      </c>
      <c r="G31" s="95">
        <v>0</v>
      </c>
      <c r="H31" s="95">
        <v>0</v>
      </c>
      <c r="I31" s="95">
        <v>0</v>
      </c>
      <c r="J31" s="95">
        <v>0</v>
      </c>
      <c r="K31" s="95">
        <v>0</v>
      </c>
      <c r="L31" s="95">
        <v>0</v>
      </c>
      <c r="M31" s="95">
        <v>0</v>
      </c>
      <c r="N31" s="95">
        <v>0</v>
      </c>
      <c r="O31" s="95">
        <v>1038.0899999999999</v>
      </c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79">
        <v>702.38</v>
      </c>
      <c r="AI31" s="79">
        <v>702</v>
      </c>
      <c r="AJ31" s="79">
        <f t="shared" si="2"/>
        <v>702</v>
      </c>
      <c r="AK31" s="79">
        <f t="shared" si="3"/>
        <v>-0.37999999999999545</v>
      </c>
      <c r="AL31" s="79">
        <v>0</v>
      </c>
      <c r="AM31" s="79">
        <f t="shared" si="4"/>
        <v>0</v>
      </c>
      <c r="AN31" s="156"/>
      <c r="AO31" s="79">
        <v>838</v>
      </c>
      <c r="AP31" s="79">
        <f t="shared" si="5"/>
        <v>838</v>
      </c>
      <c r="AQ31" s="156"/>
      <c r="AR31" s="79">
        <v>0</v>
      </c>
      <c r="AS31" s="79">
        <f t="shared" si="6"/>
        <v>0</v>
      </c>
      <c r="AT31" s="156"/>
      <c r="AU31" s="156"/>
      <c r="AV31" s="156"/>
      <c r="AW31" s="156"/>
      <c r="AZ31" s="4">
        <f t="shared" si="7"/>
        <v>216.00000000002183</v>
      </c>
      <c r="BA31" s="76">
        <v>2756.6</v>
      </c>
      <c r="BC31" s="4">
        <f t="shared" si="8"/>
        <v>47.999999999983629</v>
      </c>
      <c r="BD31" s="4">
        <v>2459.4</v>
      </c>
      <c r="BE31" s="4">
        <f t="shared" si="9"/>
        <v>0.79999999999972715</v>
      </c>
      <c r="BH31" s="3">
        <v>26</v>
      </c>
      <c r="BI31" s="79">
        <f t="shared" si="10"/>
        <v>838</v>
      </c>
      <c r="BJ31" s="4">
        <v>1797714</v>
      </c>
      <c r="BK31" s="4">
        <f t="shared" si="11"/>
        <v>138.00000000001091</v>
      </c>
      <c r="BL31" s="4">
        <v>4659.8999999999996</v>
      </c>
      <c r="BN31" s="79">
        <f t="shared" si="12"/>
        <v>0</v>
      </c>
      <c r="BP31" s="4">
        <f t="shared" si="13"/>
        <v>0</v>
      </c>
      <c r="BS31" s="79">
        <f t="shared" si="14"/>
        <v>0</v>
      </c>
      <c r="BU31" s="4">
        <f t="shared" si="15"/>
        <v>0</v>
      </c>
      <c r="CA31" s="85">
        <v>26</v>
      </c>
      <c r="CB31" s="92">
        <v>71626.45</v>
      </c>
      <c r="CC31" s="92">
        <v>777165</v>
      </c>
      <c r="CD31" s="85">
        <f t="shared" ref="CD31" si="26">(CB32-CB31)*60</f>
        <v>0</v>
      </c>
      <c r="CE31" s="85">
        <f t="shared" ref="CE31" si="27">CC32-CC31</f>
        <v>0</v>
      </c>
      <c r="CF31" s="84"/>
      <c r="CG31" s="85">
        <v>26</v>
      </c>
      <c r="CH31" s="85"/>
      <c r="CI31" s="89"/>
      <c r="CJ31" s="89">
        <f t="shared" si="18"/>
        <v>0</v>
      </c>
      <c r="CK31" s="89">
        <f t="shared" si="21"/>
        <v>0</v>
      </c>
      <c r="CL31" s="84"/>
      <c r="CM31" s="85">
        <v>26</v>
      </c>
      <c r="CN31" s="84"/>
      <c r="CO31" s="84"/>
      <c r="CP31" s="89">
        <f t="shared" si="19"/>
        <v>0</v>
      </c>
      <c r="CQ31" s="89">
        <f t="shared" si="22"/>
        <v>0</v>
      </c>
      <c r="CR31" s="84"/>
      <c r="CS31" s="85">
        <v>26</v>
      </c>
      <c r="CT31" s="85"/>
      <c r="CU31" s="89"/>
      <c r="CV31" s="89">
        <f t="shared" si="20"/>
        <v>0</v>
      </c>
      <c r="CW31" s="79">
        <f t="shared" si="23"/>
        <v>0</v>
      </c>
      <c r="CY31" s="85">
        <v>26</v>
      </c>
      <c r="CZ31" s="85"/>
      <c r="DA31" s="89"/>
      <c r="DB31" s="89">
        <f t="shared" si="0"/>
        <v>0</v>
      </c>
      <c r="DC31" s="89">
        <f t="shared" si="24"/>
        <v>0</v>
      </c>
      <c r="DE31" s="85">
        <v>26</v>
      </c>
      <c r="DF31" s="85"/>
      <c r="DG31" s="89"/>
      <c r="DH31" s="89">
        <f t="shared" si="1"/>
        <v>0</v>
      </c>
      <c r="DI31" s="89">
        <f t="shared" si="25"/>
        <v>0</v>
      </c>
    </row>
    <row r="32" spans="1:113">
      <c r="B32" s="190">
        <v>45774</v>
      </c>
      <c r="C32" s="190" t="s">
        <v>198</v>
      </c>
      <c r="D32" s="191">
        <v>530</v>
      </c>
      <c r="E32" s="191">
        <v>6504</v>
      </c>
      <c r="F32" s="191">
        <v>0</v>
      </c>
      <c r="G32" s="191">
        <v>0</v>
      </c>
      <c r="H32" s="191">
        <v>530</v>
      </c>
      <c r="I32" s="191">
        <v>89</v>
      </c>
      <c r="J32" s="191">
        <v>530</v>
      </c>
      <c r="K32" s="191">
        <v>2942</v>
      </c>
      <c r="L32" s="191">
        <v>530</v>
      </c>
      <c r="M32" s="191">
        <v>0</v>
      </c>
      <c r="N32" s="191">
        <v>530</v>
      </c>
      <c r="O32" s="191">
        <v>1039.69</v>
      </c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79">
        <v>293.5</v>
      </c>
      <c r="AI32" s="79">
        <v>294</v>
      </c>
      <c r="AJ32" s="79">
        <f t="shared" si="2"/>
        <v>-6210</v>
      </c>
      <c r="AK32" s="79">
        <f t="shared" si="3"/>
        <v>0.5</v>
      </c>
      <c r="AL32" s="79">
        <v>668</v>
      </c>
      <c r="AM32" s="79">
        <f t="shared" si="4"/>
        <v>579</v>
      </c>
      <c r="AN32" s="156"/>
      <c r="AO32" s="79">
        <v>446</v>
      </c>
      <c r="AP32" s="79">
        <f t="shared" si="5"/>
        <v>-2496</v>
      </c>
      <c r="AQ32" s="156"/>
      <c r="AR32" s="79">
        <v>1035</v>
      </c>
      <c r="AS32" s="79">
        <f t="shared" si="6"/>
        <v>1035</v>
      </c>
      <c r="AT32" s="156"/>
      <c r="AU32" s="156"/>
      <c r="AV32" s="156"/>
      <c r="AW32" s="156"/>
      <c r="AZ32" s="4">
        <f t="shared" si="7"/>
        <v>96.000000000021828</v>
      </c>
      <c r="BA32" s="76">
        <v>2757.5</v>
      </c>
      <c r="BC32" s="4">
        <f t="shared" si="8"/>
        <v>12.000000000016371</v>
      </c>
      <c r="BD32" s="4">
        <v>2460.1999999999998</v>
      </c>
      <c r="BE32" s="4">
        <f t="shared" si="9"/>
        <v>0.20000000000027285</v>
      </c>
      <c r="BH32" s="3">
        <v>27</v>
      </c>
      <c r="BI32" s="79">
        <f t="shared" si="10"/>
        <v>446</v>
      </c>
      <c r="BJ32" s="4">
        <v>1798552</v>
      </c>
      <c r="BK32" s="4">
        <f t="shared" si="11"/>
        <v>54.000000000032742</v>
      </c>
      <c r="BL32" s="4">
        <v>4662.2</v>
      </c>
      <c r="BN32" s="79">
        <f t="shared" si="12"/>
        <v>0</v>
      </c>
      <c r="BP32" s="4">
        <f t="shared" si="13"/>
        <v>0</v>
      </c>
      <c r="BS32" s="79">
        <f t="shared" si="14"/>
        <v>0</v>
      </c>
      <c r="BU32" s="4">
        <f t="shared" si="15"/>
        <v>0</v>
      </c>
      <c r="CA32" s="85">
        <v>27</v>
      </c>
      <c r="CB32" s="92">
        <v>71626.45</v>
      </c>
      <c r="CC32" s="92">
        <v>777165</v>
      </c>
      <c r="CD32" s="85">
        <f>(CB36-CB32)*60</f>
        <v>0</v>
      </c>
      <c r="CE32" s="85">
        <f>CC36-CC32</f>
        <v>0</v>
      </c>
      <c r="CF32" s="84"/>
      <c r="CG32" s="85">
        <v>27</v>
      </c>
      <c r="CH32" s="85"/>
      <c r="CI32" s="89"/>
      <c r="CJ32" s="89">
        <f>(CH36-CH32)*60</f>
        <v>0</v>
      </c>
      <c r="CK32" s="89">
        <f>(CI36-CI32)</f>
        <v>0</v>
      </c>
      <c r="CL32" s="84"/>
      <c r="CM32" s="85">
        <v>27</v>
      </c>
      <c r="CN32" s="84"/>
      <c r="CO32" s="84"/>
      <c r="CP32" s="89">
        <f>(CN36-CN32)*60</f>
        <v>0</v>
      </c>
      <c r="CQ32" s="89">
        <f>(CO36-CO32)</f>
        <v>0</v>
      </c>
      <c r="CR32" s="84"/>
      <c r="CS32" s="85">
        <v>27</v>
      </c>
      <c r="CT32" s="85"/>
      <c r="CU32" s="89"/>
      <c r="CV32" s="89">
        <f>(CT36-CT32)*60</f>
        <v>0</v>
      </c>
      <c r="CW32" s="79">
        <f>(CU36-CU32)</f>
        <v>0</v>
      </c>
      <c r="CY32" s="85">
        <v>27</v>
      </c>
      <c r="CZ32" s="85"/>
      <c r="DA32" s="89"/>
      <c r="DB32" s="89">
        <f>(CZ36-CZ32)*60</f>
        <v>0</v>
      </c>
      <c r="DC32" s="89">
        <f>(DA36-DA32)</f>
        <v>0</v>
      </c>
      <c r="DE32" s="85">
        <v>27</v>
      </c>
      <c r="DF32" s="85"/>
      <c r="DG32" s="89"/>
      <c r="DH32" s="89">
        <f>(DF36-DF32)*60</f>
        <v>0</v>
      </c>
      <c r="DI32" s="89">
        <f>(DG36-DG32)</f>
        <v>0</v>
      </c>
    </row>
    <row r="33" spans="1:113">
      <c r="B33" s="94">
        <v>45775</v>
      </c>
      <c r="C33" s="94" t="s">
        <v>192</v>
      </c>
      <c r="D33" s="95">
        <v>0</v>
      </c>
      <c r="E33" s="95">
        <v>0</v>
      </c>
      <c r="F33" s="95">
        <v>0</v>
      </c>
      <c r="G33" s="95">
        <v>0</v>
      </c>
      <c r="H33" s="95">
        <v>0</v>
      </c>
      <c r="I33" s="95">
        <v>0</v>
      </c>
      <c r="J33" s="95">
        <v>0</v>
      </c>
      <c r="K33" s="95">
        <v>0</v>
      </c>
      <c r="L33" s="95">
        <v>0</v>
      </c>
      <c r="M33" s="95">
        <v>0</v>
      </c>
      <c r="N33" s="95">
        <v>0</v>
      </c>
      <c r="O33" s="95">
        <v>0</v>
      </c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79">
        <v>0</v>
      </c>
      <c r="AI33" s="79">
        <v>0</v>
      </c>
      <c r="AJ33" s="79">
        <f t="shared" si="2"/>
        <v>0</v>
      </c>
      <c r="AK33" s="79">
        <f t="shared" si="3"/>
        <v>0</v>
      </c>
      <c r="AL33" s="79">
        <v>256</v>
      </c>
      <c r="AM33" s="79">
        <f t="shared" si="4"/>
        <v>256</v>
      </c>
      <c r="AN33" s="156"/>
      <c r="AO33" s="79">
        <v>4</v>
      </c>
      <c r="AP33" s="79">
        <f t="shared" si="5"/>
        <v>4</v>
      </c>
      <c r="AQ33" s="156"/>
      <c r="AR33" s="79">
        <v>624</v>
      </c>
      <c r="AS33" s="79">
        <f t="shared" si="6"/>
        <v>624</v>
      </c>
      <c r="AT33" s="156"/>
      <c r="AU33" s="156"/>
      <c r="AV33" s="156"/>
      <c r="AW33" s="156"/>
      <c r="AZ33" s="4">
        <f t="shared" si="7"/>
        <v>0</v>
      </c>
      <c r="BA33" s="76">
        <v>2757.9</v>
      </c>
      <c r="BC33" s="4">
        <f t="shared" si="8"/>
        <v>0</v>
      </c>
      <c r="BD33" s="4">
        <v>2460.4</v>
      </c>
      <c r="BE33" s="4">
        <f t="shared" si="9"/>
        <v>0</v>
      </c>
      <c r="BH33" s="3">
        <v>28</v>
      </c>
      <c r="BI33" s="79">
        <f t="shared" si="10"/>
        <v>4</v>
      </c>
      <c r="BJ33" s="4">
        <v>1798998</v>
      </c>
      <c r="BK33" s="4">
        <f t="shared" si="11"/>
        <v>11.999999999989086</v>
      </c>
      <c r="BL33" s="4">
        <v>4663.1000000000004</v>
      </c>
      <c r="BN33" s="79">
        <f t="shared" si="12"/>
        <v>0</v>
      </c>
      <c r="BP33" s="4">
        <f t="shared" si="13"/>
        <v>0</v>
      </c>
      <c r="BS33" s="79">
        <f t="shared" si="14"/>
        <v>0</v>
      </c>
      <c r="BU33" s="4">
        <f t="shared" si="15"/>
        <v>0</v>
      </c>
      <c r="CA33" s="85"/>
      <c r="CB33" s="92"/>
      <c r="CC33" s="92"/>
      <c r="CD33" s="85"/>
      <c r="CE33" s="85"/>
      <c r="CF33" s="84"/>
      <c r="CG33" s="85"/>
      <c r="CH33" s="85"/>
      <c r="CI33" s="89"/>
      <c r="CJ33" s="89"/>
      <c r="CK33" s="89"/>
      <c r="CL33" s="84"/>
      <c r="CM33" s="85"/>
      <c r="CN33" s="84"/>
      <c r="CO33" s="84"/>
      <c r="CP33" s="89"/>
      <c r="CQ33" s="89"/>
      <c r="CR33" s="84"/>
      <c r="CS33" s="85"/>
      <c r="CT33" s="85"/>
      <c r="CU33" s="89"/>
      <c r="CV33" s="89"/>
      <c r="CW33" s="79"/>
      <c r="CY33" s="85"/>
      <c r="CZ33" s="85"/>
      <c r="DA33" s="89"/>
      <c r="DB33" s="89"/>
      <c r="DC33" s="89"/>
      <c r="DE33" s="85"/>
      <c r="DF33" s="85"/>
      <c r="DG33" s="89"/>
      <c r="DH33" s="89"/>
      <c r="DI33" s="89"/>
    </row>
    <row r="34" spans="1:113">
      <c r="B34" s="94">
        <v>45776</v>
      </c>
      <c r="C34" s="94" t="s">
        <v>193</v>
      </c>
      <c r="D34" s="95">
        <v>0</v>
      </c>
      <c r="E34" s="95">
        <v>0</v>
      </c>
      <c r="F34" s="95">
        <v>0</v>
      </c>
      <c r="G34" s="95">
        <v>0</v>
      </c>
      <c r="H34" s="95">
        <v>0</v>
      </c>
      <c r="I34" s="95">
        <v>0</v>
      </c>
      <c r="J34" s="95">
        <v>0</v>
      </c>
      <c r="K34" s="95">
        <v>0</v>
      </c>
      <c r="L34" s="95">
        <v>0</v>
      </c>
      <c r="M34" s="95">
        <v>0</v>
      </c>
      <c r="N34" s="95">
        <v>0</v>
      </c>
      <c r="O34" s="95">
        <v>0</v>
      </c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79">
        <v>0</v>
      </c>
      <c r="AI34" s="79">
        <v>0</v>
      </c>
      <c r="AJ34" s="79">
        <f t="shared" si="2"/>
        <v>0</v>
      </c>
      <c r="AK34" s="79">
        <f t="shared" si="3"/>
        <v>0</v>
      </c>
      <c r="AL34" s="79">
        <v>0</v>
      </c>
      <c r="AM34" s="79">
        <f t="shared" si="4"/>
        <v>0</v>
      </c>
      <c r="AN34" s="156"/>
      <c r="AO34" s="79">
        <v>0</v>
      </c>
      <c r="AP34" s="79">
        <f t="shared" si="5"/>
        <v>0</v>
      </c>
      <c r="AQ34" s="156"/>
      <c r="AR34" s="79">
        <v>0</v>
      </c>
      <c r="AS34" s="79">
        <f t="shared" si="6"/>
        <v>0</v>
      </c>
      <c r="AT34" s="156"/>
      <c r="AU34" s="156"/>
      <c r="AV34" s="156"/>
      <c r="AW34" s="156"/>
      <c r="AZ34" s="4">
        <f t="shared" si="7"/>
        <v>0</v>
      </c>
      <c r="BA34" s="76">
        <v>2757.9</v>
      </c>
      <c r="BC34" s="4">
        <f t="shared" si="8"/>
        <v>0</v>
      </c>
      <c r="BD34" s="4">
        <v>2460.4</v>
      </c>
      <c r="BE34" s="4">
        <f t="shared" si="9"/>
        <v>0</v>
      </c>
      <c r="BH34" s="3">
        <v>29</v>
      </c>
      <c r="BI34" s="79">
        <f t="shared" si="10"/>
        <v>0</v>
      </c>
      <c r="BJ34" s="4">
        <v>1799002</v>
      </c>
      <c r="BK34" s="4">
        <f t="shared" si="11"/>
        <v>5.9999999999672582</v>
      </c>
      <c r="BL34" s="4">
        <v>4663.3</v>
      </c>
      <c r="BN34" s="79">
        <f t="shared" si="12"/>
        <v>0</v>
      </c>
      <c r="BP34" s="4">
        <f t="shared" si="13"/>
        <v>0</v>
      </c>
      <c r="BS34" s="79">
        <f t="shared" si="14"/>
        <v>0</v>
      </c>
      <c r="BU34" s="4">
        <f t="shared" si="15"/>
        <v>0</v>
      </c>
      <c r="CA34" s="85"/>
      <c r="CB34" s="92"/>
      <c r="CC34" s="92"/>
      <c r="CD34" s="85"/>
      <c r="CE34" s="85"/>
      <c r="CF34" s="84"/>
      <c r="CG34" s="85"/>
      <c r="CH34" s="85"/>
      <c r="CI34" s="89"/>
      <c r="CJ34" s="89"/>
      <c r="CK34" s="89"/>
      <c r="CL34" s="84"/>
      <c r="CM34" s="85"/>
      <c r="CN34" s="84"/>
      <c r="CO34" s="84"/>
      <c r="CP34" s="89"/>
      <c r="CQ34" s="89"/>
      <c r="CR34" s="84"/>
      <c r="CS34" s="85"/>
      <c r="CT34" s="85"/>
      <c r="CU34" s="89"/>
      <c r="CV34" s="89"/>
      <c r="CW34" s="79"/>
      <c r="CY34" s="85"/>
      <c r="CZ34" s="85"/>
      <c r="DA34" s="89"/>
      <c r="DB34" s="89"/>
      <c r="DC34" s="89"/>
      <c r="DE34" s="85"/>
      <c r="DF34" s="85"/>
      <c r="DG34" s="89"/>
      <c r="DH34" s="89"/>
      <c r="DI34" s="89"/>
    </row>
    <row r="35" spans="1:113">
      <c r="B35" s="94">
        <v>45777</v>
      </c>
      <c r="C35" s="94" t="s">
        <v>194</v>
      </c>
      <c r="D35" s="95">
        <v>10</v>
      </c>
      <c r="E35" s="95">
        <v>45</v>
      </c>
      <c r="F35" s="95">
        <v>0</v>
      </c>
      <c r="G35" s="95">
        <v>0</v>
      </c>
      <c r="H35" s="95">
        <v>0</v>
      </c>
      <c r="I35" s="95">
        <v>0</v>
      </c>
      <c r="J35" s="95">
        <v>0</v>
      </c>
      <c r="K35" s="95">
        <v>0</v>
      </c>
      <c r="L35" s="95">
        <v>10</v>
      </c>
      <c r="M35" s="95">
        <v>13</v>
      </c>
      <c r="N35" s="95">
        <v>0</v>
      </c>
      <c r="O35" s="95">
        <v>0</v>
      </c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79">
        <v>0</v>
      </c>
      <c r="AI35" s="79">
        <v>0</v>
      </c>
      <c r="AJ35" s="79">
        <f t="shared" si="2"/>
        <v>-45</v>
      </c>
      <c r="AK35" s="79">
        <f t="shared" si="3"/>
        <v>0</v>
      </c>
      <c r="AL35" s="79">
        <v>0</v>
      </c>
      <c r="AM35" s="79">
        <f t="shared" si="4"/>
        <v>0</v>
      </c>
      <c r="AN35" s="156"/>
      <c r="AO35" s="79">
        <v>3</v>
      </c>
      <c r="AP35" s="79">
        <f t="shared" si="5"/>
        <v>3</v>
      </c>
      <c r="AQ35" s="156"/>
      <c r="AR35" s="79">
        <v>0</v>
      </c>
      <c r="AS35" s="79">
        <f t="shared" si="6"/>
        <v>-13</v>
      </c>
      <c r="AT35" s="156"/>
      <c r="AU35" s="156"/>
      <c r="AV35" s="156"/>
      <c r="AW35" s="156"/>
      <c r="AZ35" s="4">
        <f t="shared" si="7"/>
        <v>0</v>
      </c>
      <c r="BA35" s="76">
        <v>2757.9</v>
      </c>
      <c r="BC35" s="4">
        <f t="shared" si="8"/>
        <v>0</v>
      </c>
      <c r="BD35" s="4">
        <v>2460.4</v>
      </c>
      <c r="BE35" s="4">
        <f>BC35/60</f>
        <v>0</v>
      </c>
      <c r="BH35" s="3">
        <v>30</v>
      </c>
      <c r="BI35" s="79">
        <f t="shared" si="10"/>
        <v>3</v>
      </c>
      <c r="BJ35" s="4">
        <v>1799002</v>
      </c>
      <c r="BK35" s="4">
        <f t="shared" si="11"/>
        <v>12.000000000043656</v>
      </c>
      <c r="BL35" s="4">
        <v>4663.3999999999996</v>
      </c>
      <c r="BN35" s="79">
        <f t="shared" si="12"/>
        <v>0</v>
      </c>
      <c r="BP35" s="4">
        <f t="shared" si="13"/>
        <v>0</v>
      </c>
      <c r="BS35" s="79">
        <f t="shared" si="14"/>
        <v>0</v>
      </c>
      <c r="BU35" s="4">
        <f t="shared" si="15"/>
        <v>0</v>
      </c>
      <c r="CA35" s="85"/>
      <c r="CB35" s="92"/>
      <c r="CC35" s="92"/>
      <c r="CD35" s="85"/>
      <c r="CE35" s="85"/>
      <c r="CF35" s="84"/>
      <c r="CG35" s="85"/>
      <c r="CH35" s="85"/>
      <c r="CI35" s="89"/>
      <c r="CJ35" s="89"/>
      <c r="CK35" s="89"/>
      <c r="CL35" s="84"/>
      <c r="CM35" s="85"/>
      <c r="CN35" s="84"/>
      <c r="CO35" s="84"/>
      <c r="CP35" s="89"/>
      <c r="CQ35" s="89"/>
      <c r="CR35" s="84"/>
      <c r="CS35" s="85"/>
      <c r="CT35" s="85"/>
      <c r="CU35" s="89"/>
      <c r="CV35" s="89"/>
      <c r="CW35" s="79"/>
      <c r="CY35" s="85"/>
      <c r="CZ35" s="85"/>
      <c r="DA35" s="89"/>
      <c r="DB35" s="89"/>
      <c r="DC35" s="89"/>
      <c r="DE35" s="85"/>
      <c r="DF35" s="85"/>
      <c r="DG35" s="89"/>
      <c r="DH35" s="89"/>
      <c r="DI35" s="89"/>
    </row>
    <row r="36" spans="1:113">
      <c r="B36" s="94"/>
      <c r="C36" s="94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79">
        <v>826.25</v>
      </c>
      <c r="AI36" s="79">
        <v>826</v>
      </c>
      <c r="AJ36" s="79">
        <f t="shared" si="2"/>
        <v>826</v>
      </c>
      <c r="AK36" s="79">
        <f t="shared" si="3"/>
        <v>-0.25</v>
      </c>
      <c r="AL36" s="79">
        <v>345</v>
      </c>
      <c r="AM36" s="79">
        <f t="shared" si="4"/>
        <v>345</v>
      </c>
      <c r="AN36" s="156"/>
      <c r="AO36" s="79">
        <v>551</v>
      </c>
      <c r="AP36" s="79">
        <f t="shared" si="5"/>
        <v>551</v>
      </c>
      <c r="AQ36" s="156"/>
      <c r="AR36" s="79">
        <v>856</v>
      </c>
      <c r="AS36" s="79">
        <f t="shared" si="6"/>
        <v>856</v>
      </c>
      <c r="AT36" s="156"/>
      <c r="AU36" s="156"/>
      <c r="AV36" s="156"/>
      <c r="AW36" s="156"/>
      <c r="AZ36" s="4">
        <f>(BA37-BA36)*240</f>
        <v>216.00000000002183</v>
      </c>
      <c r="BA36" s="76">
        <v>2757.9</v>
      </c>
      <c r="BC36" s="4">
        <f>(BD37-BD36)*60</f>
        <v>41.999999999989086</v>
      </c>
      <c r="BD36" s="4">
        <v>2460.4</v>
      </c>
      <c r="BE36" s="4"/>
      <c r="BH36" s="3">
        <v>31</v>
      </c>
      <c r="BI36" s="79">
        <f t="shared" si="10"/>
        <v>551</v>
      </c>
      <c r="BJ36" s="4">
        <v>1799005</v>
      </c>
      <c r="BK36" s="4">
        <f t="shared" si="11"/>
        <v>77.999999999956344</v>
      </c>
      <c r="BL36" s="4">
        <v>4663.6000000000004</v>
      </c>
      <c r="BN36" s="79">
        <f t="shared" si="12"/>
        <v>0</v>
      </c>
      <c r="BP36" s="4">
        <f t="shared" si="13"/>
        <v>0</v>
      </c>
      <c r="BS36" s="79">
        <f t="shared" si="14"/>
        <v>0</v>
      </c>
      <c r="BU36" s="4">
        <f t="shared" si="15"/>
        <v>0</v>
      </c>
      <c r="CA36" s="85">
        <v>28</v>
      </c>
      <c r="CB36" s="92">
        <v>71626.45</v>
      </c>
      <c r="CC36" s="92">
        <v>777165</v>
      </c>
      <c r="CD36" s="85" t="e">
        <f>(#REF!-CB36)*60</f>
        <v>#REF!</v>
      </c>
      <c r="CE36" s="85" t="e">
        <f>#REF!-CC36</f>
        <v>#REF!</v>
      </c>
      <c r="CF36" s="84"/>
      <c r="CG36" s="85">
        <v>28</v>
      </c>
      <c r="CH36" s="85"/>
      <c r="CI36" s="89"/>
      <c r="CJ36" s="89" t="e">
        <f>(#REF!-CH36)*60</f>
        <v>#REF!</v>
      </c>
      <c r="CK36" s="89" t="e">
        <f>(#REF!-CI36)</f>
        <v>#REF!</v>
      </c>
      <c r="CL36" s="84"/>
      <c r="CM36" s="85">
        <v>28</v>
      </c>
      <c r="CN36" s="84"/>
      <c r="CO36" s="84"/>
      <c r="CP36" s="89" t="e">
        <f>(#REF!-CN36)*60</f>
        <v>#REF!</v>
      </c>
      <c r="CQ36" s="89" t="e">
        <f>(#REF!-CO36)</f>
        <v>#REF!</v>
      </c>
      <c r="CR36" s="84"/>
      <c r="CS36" s="85">
        <v>28</v>
      </c>
      <c r="CT36" s="85"/>
      <c r="CU36" s="89"/>
      <c r="CV36" s="89" t="e">
        <f>(#REF!-CT36)*60</f>
        <v>#REF!</v>
      </c>
      <c r="CW36" s="79" t="e">
        <f>(#REF!-CU36)</f>
        <v>#REF!</v>
      </c>
      <c r="CY36" s="85">
        <v>28</v>
      </c>
      <c r="CZ36" s="85"/>
      <c r="DA36" s="89"/>
      <c r="DB36" s="89" t="e">
        <f>(#REF!-CZ36)*60</f>
        <v>#REF!</v>
      </c>
      <c r="DC36" s="89" t="e">
        <f>(#REF!-DA36)</f>
        <v>#REF!</v>
      </c>
      <c r="DE36" s="85">
        <v>28</v>
      </c>
      <c r="DF36" s="85"/>
      <c r="DG36" s="89"/>
      <c r="DH36" s="89" t="e">
        <f>(#REF!-DF36)*60</f>
        <v>#REF!</v>
      </c>
      <c r="DI36" s="89" t="e">
        <f>(#REF!-DG36)</f>
        <v>#REF!</v>
      </c>
    </row>
    <row r="37" spans="1:113" ht="48" customHeight="1">
      <c r="A37" s="65"/>
      <c r="B37" s="139" t="s">
        <v>7</v>
      </c>
      <c r="C37" s="139"/>
      <c r="D37" s="147">
        <f t="shared" ref="D37:O37" si="28">SUM(D6:D36)</f>
        <v>1875</v>
      </c>
      <c r="E37" s="149">
        <f t="shared" si="28"/>
        <v>25165.75</v>
      </c>
      <c r="F37" s="147">
        <f t="shared" si="28"/>
        <v>0</v>
      </c>
      <c r="G37" s="149">
        <f t="shared" si="28"/>
        <v>0</v>
      </c>
      <c r="H37" s="148">
        <f t="shared" si="28"/>
        <v>1795</v>
      </c>
      <c r="I37" s="150">
        <f t="shared" si="28"/>
        <v>8324</v>
      </c>
      <c r="J37" s="148">
        <f t="shared" si="28"/>
        <v>1855</v>
      </c>
      <c r="K37" s="150">
        <f t="shared" si="28"/>
        <v>19660</v>
      </c>
      <c r="L37" s="148">
        <f t="shared" si="28"/>
        <v>1875</v>
      </c>
      <c r="M37" s="150">
        <f t="shared" si="28"/>
        <v>9397.26</v>
      </c>
      <c r="N37" s="148">
        <f t="shared" si="28"/>
        <v>1845</v>
      </c>
      <c r="O37" s="150">
        <f t="shared" si="28"/>
        <v>9299.66</v>
      </c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0">
        <f t="shared" ref="AH37:AS37" si="29">SUM(AH6:AH36)</f>
        <v>28375.540000000008</v>
      </c>
      <c r="AI37" s="150">
        <f t="shared" si="29"/>
        <v>28132</v>
      </c>
      <c r="AJ37" s="150">
        <f t="shared" si="29"/>
        <v>2966.25</v>
      </c>
      <c r="AK37" s="157"/>
      <c r="AL37" s="150">
        <f t="shared" si="29"/>
        <v>14393</v>
      </c>
      <c r="AM37" s="150">
        <f t="shared" si="29"/>
        <v>6069</v>
      </c>
      <c r="AN37" s="157"/>
      <c r="AO37" s="150">
        <f t="shared" si="29"/>
        <v>22211</v>
      </c>
      <c r="AP37" s="150">
        <f t="shared" si="29"/>
        <v>2551</v>
      </c>
      <c r="AQ37" s="157"/>
      <c r="AR37" s="150">
        <f t="shared" si="29"/>
        <v>24786</v>
      </c>
      <c r="AS37" s="150">
        <f t="shared" si="29"/>
        <v>15388.740000000003</v>
      </c>
      <c r="AT37" s="157"/>
      <c r="AU37" s="157"/>
      <c r="AV37" s="157"/>
      <c r="AW37" s="157"/>
      <c r="BA37" s="4">
        <v>2758.8</v>
      </c>
      <c r="BD37" s="4">
        <v>2461.1</v>
      </c>
      <c r="BE37" s="4">
        <f>SUM(BE6:BE36)</f>
        <v>38.599999999999909</v>
      </c>
      <c r="BJ37" s="158">
        <v>1799556</v>
      </c>
      <c r="BL37" s="4">
        <v>4664.8999999999996</v>
      </c>
      <c r="CA37" s="85">
        <v>1</v>
      </c>
      <c r="CB37" s="92">
        <v>71626.45</v>
      </c>
      <c r="CC37" s="92">
        <v>777165</v>
      </c>
      <c r="CD37" s="84"/>
      <c r="CE37" s="84"/>
      <c r="CF37" s="84"/>
      <c r="CG37" s="85">
        <v>1</v>
      </c>
      <c r="CH37" s="85"/>
      <c r="CI37" s="89"/>
      <c r="CJ37" s="89"/>
      <c r="CK37" s="89"/>
      <c r="CL37" s="84"/>
      <c r="CM37" s="85">
        <v>1</v>
      </c>
      <c r="CN37" s="84"/>
      <c r="CO37" s="84"/>
      <c r="CP37" s="84"/>
      <c r="CQ37" s="84"/>
      <c r="CR37" s="84"/>
      <c r="CS37" s="85">
        <v>1</v>
      </c>
      <c r="CT37" s="85"/>
      <c r="CU37" s="85"/>
      <c r="CV37" s="89" t="e">
        <f>SUM(CV6:CV36)</f>
        <v>#REF!</v>
      </c>
      <c r="CY37" s="85">
        <v>1</v>
      </c>
      <c r="CZ37" s="85"/>
      <c r="DA37" s="89"/>
      <c r="DB37" s="89">
        <f t="shared" ref="DB37" si="30">(CZ38-CZ37)*60</f>
        <v>0</v>
      </c>
      <c r="DC37" s="89">
        <f t="shared" ref="DC37" si="31">(DA38-DA37)</f>
        <v>0</v>
      </c>
      <c r="DE37" s="85">
        <v>1</v>
      </c>
      <c r="DF37" s="85"/>
      <c r="DG37" s="89"/>
      <c r="DH37" s="89">
        <f t="shared" si="1"/>
        <v>0</v>
      </c>
      <c r="DI37" s="89">
        <f t="shared" si="25"/>
        <v>0</v>
      </c>
    </row>
    <row r="38" spans="1:113" s="69" customFormat="1">
      <c r="B38" s="6"/>
      <c r="C38" s="6"/>
      <c r="D38" s="6"/>
      <c r="E38" s="7"/>
      <c r="F38" s="70"/>
      <c r="G38" s="6"/>
      <c r="H38" s="6"/>
      <c r="I38" s="6"/>
      <c r="J38" s="6"/>
      <c r="K38" s="6"/>
      <c r="L38" s="6"/>
      <c r="M38" s="6"/>
      <c r="N38" s="9"/>
      <c r="O38" s="9"/>
      <c r="AI38" s="159">
        <f>AH37-AI37</f>
        <v>243.54000000000815</v>
      </c>
      <c r="CG38" s="3"/>
      <c r="CH38" s="4"/>
      <c r="CI38" s="4"/>
      <c r="CJ38" s="3"/>
      <c r="CK38" s="3"/>
      <c r="CN38" s="76"/>
      <c r="CO38" s="79"/>
      <c r="CP38" s="79"/>
      <c r="CQ38" s="79"/>
      <c r="CT38" s="76"/>
      <c r="CU38" s="79"/>
      <c r="CV38" s="79"/>
      <c r="CW38" s="79"/>
      <c r="CZ38" s="76"/>
      <c r="DA38" s="79"/>
      <c r="DB38" s="79"/>
      <c r="DC38" s="79"/>
    </row>
    <row r="39" spans="1:113" s="69" customFormat="1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82"/>
      <c r="O39" s="83"/>
      <c r="CG39" s="3"/>
      <c r="CH39" s="4"/>
      <c r="CI39" s="4"/>
      <c r="CJ39" s="3"/>
      <c r="CK39" s="4"/>
    </row>
    <row r="40" spans="1:113">
      <c r="B40" s="6"/>
      <c r="C40" s="6"/>
      <c r="D40" s="9"/>
      <c r="E40" s="9"/>
      <c r="F40" s="9"/>
      <c r="G40" s="9"/>
      <c r="H40" s="9"/>
      <c r="I40" s="9"/>
      <c r="J40" s="9"/>
      <c r="K40" s="9"/>
      <c r="L40" s="9"/>
      <c r="M40" s="9"/>
      <c r="N40" s="83"/>
      <c r="O40" s="83"/>
    </row>
    <row r="41" spans="1:113">
      <c r="B41" s="69"/>
      <c r="C41" s="69"/>
      <c r="D41" s="69"/>
      <c r="E41" s="4"/>
      <c r="F41" s="79"/>
      <c r="G41" s="79"/>
      <c r="H41" s="79"/>
      <c r="I41" s="79"/>
      <c r="J41" s="4"/>
      <c r="K41" s="4"/>
      <c r="L41" s="4"/>
      <c r="M41" s="4"/>
      <c r="N41" s="4"/>
      <c r="O41" s="4"/>
    </row>
    <row r="42" spans="1:113" ht="21.75" thickBot="1">
      <c r="L42" s="8"/>
    </row>
    <row r="43" spans="1:113" ht="21.75" thickBot="1">
      <c r="D43" s="322" t="s">
        <v>106</v>
      </c>
      <c r="E43" s="323"/>
      <c r="F43" s="323"/>
      <c r="G43" s="323"/>
      <c r="H43" s="324"/>
    </row>
    <row r="45" spans="1:113">
      <c r="L45" s="10"/>
    </row>
    <row r="89" spans="10:15">
      <c r="J89" s="3" t="s">
        <v>107</v>
      </c>
      <c r="K89" s="3">
        <v>1675</v>
      </c>
    </row>
    <row r="90" spans="10:15">
      <c r="J90" s="3" t="s">
        <v>108</v>
      </c>
      <c r="K90" s="3">
        <v>1687</v>
      </c>
      <c r="L90" s="3">
        <f>K90-K89</f>
        <v>12</v>
      </c>
      <c r="M90" s="3">
        <f>L90*240</f>
        <v>2880</v>
      </c>
    </row>
    <row r="92" spans="10:15">
      <c r="K92" s="3">
        <v>1687</v>
      </c>
      <c r="L92" s="10">
        <f>K92-K93</f>
        <v>14.599999999999909</v>
      </c>
      <c r="M92" s="3">
        <f>L92*240</f>
        <v>3503.9999999999782</v>
      </c>
    </row>
    <row r="93" spans="10:15">
      <c r="K93" s="12">
        <v>1672.4</v>
      </c>
      <c r="L93" s="13">
        <f>K93-K94</f>
        <v>20.300000000000182</v>
      </c>
      <c r="M93" s="14"/>
      <c r="N93" s="14"/>
      <c r="O93" s="14">
        <f>1675.7</f>
        <v>1675.7</v>
      </c>
    </row>
    <row r="94" spans="10:15">
      <c r="K94" s="3">
        <v>1652.1</v>
      </c>
      <c r="L94" s="3">
        <f>L93*240</f>
        <v>4872.0000000000437</v>
      </c>
      <c r="O94" s="3">
        <v>1646.9</v>
      </c>
    </row>
    <row r="98" spans="11:12">
      <c r="K98" s="3">
        <v>1671.9</v>
      </c>
      <c r="L98" s="10">
        <f>K93-K98</f>
        <v>0.5</v>
      </c>
    </row>
    <row r="99" spans="11:12">
      <c r="L99" s="3">
        <f>L98*240</f>
        <v>120</v>
      </c>
    </row>
  </sheetData>
  <mergeCells count="22">
    <mergeCell ref="B3:G3"/>
    <mergeCell ref="DF4:DG4"/>
    <mergeCell ref="CZ4:DA4"/>
    <mergeCell ref="D43:H43"/>
    <mergeCell ref="N4:O4"/>
    <mergeCell ref="CB4:CE4"/>
    <mergeCell ref="CT4:CU4"/>
    <mergeCell ref="CN4:CO4"/>
    <mergeCell ref="D4:E4"/>
    <mergeCell ref="F4:G4"/>
    <mergeCell ref="H4:I4"/>
    <mergeCell ref="J4:K4"/>
    <mergeCell ref="L4:M4"/>
    <mergeCell ref="H3:O3"/>
    <mergeCell ref="AZ4:BA4"/>
    <mergeCell ref="BC4:BD4"/>
    <mergeCell ref="BU4:BV4"/>
    <mergeCell ref="BI4:BJ4"/>
    <mergeCell ref="BK4:BL4"/>
    <mergeCell ref="BN4:BO4"/>
    <mergeCell ref="BP4:BQ4"/>
    <mergeCell ref="BS4:BT4"/>
  </mergeCells>
  <phoneticPr fontId="91" type="noConversion"/>
  <pageMargins left="0.75" right="0.75" top="1" bottom="1" header="0.5" footer="0.5"/>
  <pageSetup paperSize="9" scale="5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"/>
  <sheetViews>
    <sheetView topLeftCell="A67" workbookViewId="0">
      <selection activeCell="X116" sqref="X116"/>
    </sheetView>
  </sheetViews>
  <sheetFormatPr defaultRowHeight="1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BCN85"/>
  <sheetViews>
    <sheetView zoomScale="70" zoomScaleNormal="70" workbookViewId="0">
      <pane xSplit="3" ySplit="4" topLeftCell="D23" activePane="bottomRight" state="frozen"/>
      <selection pane="topRight" activeCell="D1" sqref="D1"/>
      <selection pane="bottomLeft" activeCell="A5" sqref="A5"/>
      <selection pane="bottomRight" activeCell="R30" sqref="R30"/>
    </sheetView>
  </sheetViews>
  <sheetFormatPr defaultColWidth="9.140625" defaultRowHeight="23.25"/>
  <cols>
    <col min="1" max="1" width="9.140625" style="49"/>
    <col min="2" max="3" width="14.28515625" style="49" customWidth="1"/>
    <col min="4" max="4" width="17.42578125" style="49" customWidth="1"/>
    <col min="5" max="5" width="20.7109375" style="49" bestFit="1" customWidth="1"/>
    <col min="6" max="6" width="15.85546875" style="49" customWidth="1"/>
    <col min="7" max="7" width="20.7109375" style="49" bestFit="1" customWidth="1"/>
    <col min="8" max="8" width="25.140625" style="49" bestFit="1" customWidth="1"/>
    <col min="9" max="9" width="22.7109375" style="49" customWidth="1"/>
    <col min="10" max="10" width="22.42578125" style="49" customWidth="1"/>
    <col min="11" max="11" width="24.5703125" style="49" customWidth="1"/>
    <col min="12" max="12" width="18.85546875" style="49" customWidth="1"/>
    <col min="13" max="13" width="25.85546875" style="49" customWidth="1"/>
    <col min="14" max="14" width="14.7109375" style="50" bestFit="1" customWidth="1"/>
    <col min="15" max="15" width="235" style="51" hidden="1" customWidth="1"/>
    <col min="16" max="16" width="23.85546875" style="49" customWidth="1"/>
    <col min="17" max="16384" width="9.140625" style="49"/>
  </cols>
  <sheetData>
    <row r="1" spans="1:1444">
      <c r="P1" s="49">
        <f>M42</f>
        <v>0</v>
      </c>
    </row>
    <row r="2" spans="1:1444"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444" s="46" customFormat="1" ht="35.25" customHeight="1">
      <c r="B3" s="294" t="s">
        <v>128</v>
      </c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6"/>
      <c r="O3" s="56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</row>
    <row r="4" spans="1:1444" ht="114.75" customHeight="1">
      <c r="B4" s="114" t="s">
        <v>0</v>
      </c>
      <c r="C4" s="114" t="s">
        <v>149</v>
      </c>
      <c r="D4" s="115" t="s">
        <v>151</v>
      </c>
      <c r="E4" s="115" t="s">
        <v>152</v>
      </c>
      <c r="F4" s="115" t="s">
        <v>153</v>
      </c>
      <c r="G4" s="115" t="s">
        <v>154</v>
      </c>
      <c r="H4" s="115" t="s">
        <v>90</v>
      </c>
      <c r="I4" s="115" t="s">
        <v>155</v>
      </c>
      <c r="J4" s="115" t="s">
        <v>156</v>
      </c>
      <c r="K4" s="115" t="s">
        <v>157</v>
      </c>
      <c r="L4" s="115" t="s">
        <v>167</v>
      </c>
      <c r="M4" s="115" t="s">
        <v>158</v>
      </c>
      <c r="N4" s="118" t="s">
        <v>159</v>
      </c>
      <c r="O4" s="56" t="s">
        <v>6</v>
      </c>
    </row>
    <row r="5" spans="1:1444" s="47" customFormat="1">
      <c r="A5" s="52"/>
      <c r="B5" s="94">
        <v>45748</v>
      </c>
      <c r="C5" s="94" t="s">
        <v>193</v>
      </c>
      <c r="D5" s="95">
        <v>50</v>
      </c>
      <c r="E5" s="95">
        <v>99.315000000031432</v>
      </c>
      <c r="F5" s="95">
        <v>0</v>
      </c>
      <c r="G5" s="95">
        <v>0</v>
      </c>
      <c r="H5" s="95">
        <v>29</v>
      </c>
      <c r="I5" s="95">
        <v>38</v>
      </c>
      <c r="J5" s="95">
        <v>867.3900000000001</v>
      </c>
      <c r="K5" s="95">
        <v>580.99600000087685</v>
      </c>
      <c r="L5" s="95">
        <v>0</v>
      </c>
      <c r="M5" s="155">
        <v>0</v>
      </c>
      <c r="N5" s="141">
        <f>'units overall'!O5</f>
        <v>1677.7010000009084</v>
      </c>
      <c r="O5" s="230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</row>
    <row r="6" spans="1:1444" s="47" customFormat="1">
      <c r="A6" s="52"/>
      <c r="B6" s="94">
        <v>45749</v>
      </c>
      <c r="C6" s="94" t="s">
        <v>194</v>
      </c>
      <c r="D6" s="95">
        <v>40</v>
      </c>
      <c r="E6" s="95">
        <v>87.554999999993015</v>
      </c>
      <c r="F6" s="95">
        <v>0</v>
      </c>
      <c r="G6" s="95">
        <v>4.3000000000029104</v>
      </c>
      <c r="H6" s="95">
        <v>38</v>
      </c>
      <c r="I6" s="95">
        <v>38</v>
      </c>
      <c r="J6" s="95">
        <v>947.18000000000029</v>
      </c>
      <c r="K6" s="95">
        <v>990.26099999896678</v>
      </c>
      <c r="L6" s="95">
        <v>0</v>
      </c>
      <c r="M6" s="155">
        <v>0</v>
      </c>
      <c r="N6" s="141">
        <f>'units overall'!O6</f>
        <v>2158.295999998963</v>
      </c>
      <c r="O6" s="231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</row>
    <row r="7" spans="1:1444" s="47" customFormat="1">
      <c r="A7" s="52"/>
      <c r="B7" s="94">
        <v>45750</v>
      </c>
      <c r="C7" s="94" t="s">
        <v>195</v>
      </c>
      <c r="D7" s="95">
        <v>40</v>
      </c>
      <c r="E7" s="95">
        <v>76.754999999975553</v>
      </c>
      <c r="F7" s="95">
        <v>0</v>
      </c>
      <c r="G7" s="95">
        <v>0</v>
      </c>
      <c r="H7" s="95">
        <v>46</v>
      </c>
      <c r="I7" s="95">
        <v>38</v>
      </c>
      <c r="J7" s="95">
        <v>1044.0900000000001</v>
      </c>
      <c r="K7" s="95">
        <v>1225.0773000010822</v>
      </c>
      <c r="L7" s="95">
        <v>0</v>
      </c>
      <c r="M7" s="155">
        <v>0</v>
      </c>
      <c r="N7" s="141">
        <f>'units overall'!O7</f>
        <v>2482.9223000010579</v>
      </c>
      <c r="O7" s="230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</row>
    <row r="8" spans="1:1444" s="47" customFormat="1">
      <c r="A8" s="52"/>
      <c r="B8" s="94">
        <v>45751</v>
      </c>
      <c r="C8" s="94" t="s">
        <v>196</v>
      </c>
      <c r="D8" s="95">
        <v>49</v>
      </c>
      <c r="E8" s="95">
        <v>92.96999999997206</v>
      </c>
      <c r="F8" s="95">
        <v>0</v>
      </c>
      <c r="G8" s="95">
        <v>2.0899999999965075</v>
      </c>
      <c r="H8" s="95">
        <v>26</v>
      </c>
      <c r="I8" s="95">
        <v>38</v>
      </c>
      <c r="J8" s="95">
        <v>1071.3799999999997</v>
      </c>
      <c r="K8" s="95">
        <v>719.51099999907274</v>
      </c>
      <c r="L8" s="95">
        <v>0</v>
      </c>
      <c r="M8" s="155">
        <v>0</v>
      </c>
      <c r="N8" s="141">
        <f>'units overall'!O8</f>
        <v>2011.950999999041</v>
      </c>
      <c r="O8" s="230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</row>
    <row r="9" spans="1:1444" s="47" customFormat="1">
      <c r="A9" s="52"/>
      <c r="B9" s="94">
        <v>45752</v>
      </c>
      <c r="C9" s="94" t="s">
        <v>197</v>
      </c>
      <c r="D9" s="95">
        <v>45</v>
      </c>
      <c r="E9" s="95">
        <v>87.450000000069849</v>
      </c>
      <c r="F9" s="95">
        <v>0</v>
      </c>
      <c r="G9" s="95">
        <v>0</v>
      </c>
      <c r="H9" s="95">
        <v>20</v>
      </c>
      <c r="I9" s="95">
        <v>38</v>
      </c>
      <c r="J9" s="95">
        <v>1102.2500000000005</v>
      </c>
      <c r="K9" s="95">
        <v>978.40889999922092</v>
      </c>
      <c r="L9" s="95">
        <v>0</v>
      </c>
      <c r="M9" s="155">
        <v>0</v>
      </c>
      <c r="N9" s="141">
        <f>'units overall'!O9</f>
        <v>2284.1088999992912</v>
      </c>
      <c r="O9" s="230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  <c r="AML9" s="49"/>
      <c r="AMM9" s="49"/>
      <c r="AMN9" s="49"/>
      <c r="AMO9" s="49"/>
      <c r="AMP9" s="49"/>
      <c r="AMQ9" s="49"/>
      <c r="AMR9" s="49"/>
      <c r="AMS9" s="49"/>
      <c r="AMT9" s="49"/>
      <c r="AMU9" s="49"/>
      <c r="AMV9" s="49"/>
      <c r="AMW9" s="49"/>
      <c r="AMX9" s="49"/>
      <c r="AMY9" s="49"/>
      <c r="AMZ9" s="49"/>
      <c r="ANA9" s="49"/>
      <c r="ANB9" s="49"/>
      <c r="ANC9" s="49"/>
      <c r="AND9" s="49"/>
      <c r="ANE9" s="49"/>
      <c r="ANF9" s="49"/>
      <c r="ANG9" s="49"/>
      <c r="ANH9" s="49"/>
      <c r="ANI9" s="49"/>
      <c r="ANJ9" s="49"/>
      <c r="ANK9" s="49"/>
      <c r="ANL9" s="49"/>
      <c r="ANM9" s="49"/>
      <c r="ANN9" s="49"/>
      <c r="ANO9" s="49"/>
      <c r="ANP9" s="49"/>
      <c r="ANQ9" s="49"/>
      <c r="ANR9" s="49"/>
      <c r="ANS9" s="49"/>
      <c r="ANT9" s="49"/>
      <c r="ANU9" s="49"/>
      <c r="ANV9" s="49"/>
      <c r="ANW9" s="49"/>
      <c r="ANX9" s="49"/>
      <c r="ANY9" s="49"/>
      <c r="ANZ9" s="49"/>
      <c r="AOA9" s="49"/>
      <c r="AOB9" s="49"/>
      <c r="AOC9" s="49"/>
      <c r="AOD9" s="49"/>
      <c r="AOE9" s="49"/>
      <c r="AOF9" s="49"/>
      <c r="AOG9" s="49"/>
      <c r="AOH9" s="49"/>
      <c r="AOI9" s="49"/>
      <c r="AOJ9" s="49"/>
      <c r="AOK9" s="49"/>
      <c r="AOL9" s="49"/>
      <c r="AOM9" s="49"/>
      <c r="AON9" s="49"/>
      <c r="AOO9" s="49"/>
      <c r="AOP9" s="49"/>
      <c r="AOQ9" s="49"/>
      <c r="AOR9" s="49"/>
      <c r="AOS9" s="49"/>
      <c r="AOT9" s="49"/>
      <c r="AOU9" s="49"/>
      <c r="AOV9" s="49"/>
      <c r="AOW9" s="49"/>
      <c r="AOX9" s="49"/>
      <c r="AOY9" s="49"/>
      <c r="AOZ9" s="49"/>
      <c r="APA9" s="49"/>
      <c r="APB9" s="49"/>
      <c r="APC9" s="49"/>
      <c r="APD9" s="49"/>
      <c r="APE9" s="49"/>
      <c r="APF9" s="49"/>
      <c r="APG9" s="49"/>
      <c r="APH9" s="49"/>
      <c r="API9" s="49"/>
      <c r="APJ9" s="49"/>
      <c r="APK9" s="49"/>
      <c r="APL9" s="49"/>
      <c r="APM9" s="49"/>
      <c r="APN9" s="49"/>
      <c r="APO9" s="49"/>
      <c r="APP9" s="49"/>
      <c r="APQ9" s="49"/>
      <c r="APR9" s="49"/>
      <c r="APS9" s="49"/>
      <c r="APT9" s="49"/>
      <c r="APU9" s="49"/>
      <c r="APV9" s="49"/>
      <c r="APW9" s="49"/>
      <c r="APX9" s="49"/>
      <c r="APY9" s="49"/>
      <c r="APZ9" s="49"/>
      <c r="AQA9" s="49"/>
      <c r="AQB9" s="49"/>
      <c r="AQC9" s="49"/>
      <c r="AQD9" s="49"/>
      <c r="AQE9" s="49"/>
      <c r="AQF9" s="49"/>
      <c r="AQG9" s="49"/>
      <c r="AQH9" s="49"/>
      <c r="AQI9" s="49"/>
      <c r="AQJ9" s="49"/>
      <c r="AQK9" s="49"/>
      <c r="AQL9" s="49"/>
      <c r="AQM9" s="49"/>
      <c r="AQN9" s="49"/>
      <c r="AQO9" s="49"/>
      <c r="AQP9" s="49"/>
      <c r="AQQ9" s="49"/>
      <c r="AQR9" s="49"/>
      <c r="AQS9" s="49"/>
      <c r="AQT9" s="49"/>
      <c r="AQU9" s="49"/>
      <c r="AQV9" s="49"/>
      <c r="AQW9" s="49"/>
      <c r="AQX9" s="49"/>
      <c r="AQY9" s="49"/>
      <c r="AQZ9" s="49"/>
      <c r="ARA9" s="49"/>
      <c r="ARB9" s="49"/>
      <c r="ARC9" s="49"/>
      <c r="ARD9" s="49"/>
      <c r="ARE9" s="49"/>
      <c r="ARF9" s="49"/>
      <c r="ARG9" s="49"/>
      <c r="ARH9" s="49"/>
      <c r="ARI9" s="49"/>
      <c r="ARJ9" s="49"/>
      <c r="ARK9" s="49"/>
      <c r="ARL9" s="49"/>
      <c r="ARM9" s="49"/>
      <c r="ARN9" s="49"/>
      <c r="ARO9" s="49"/>
      <c r="ARP9" s="49"/>
      <c r="ARQ9" s="49"/>
      <c r="ARR9" s="49"/>
      <c r="ARS9" s="49"/>
      <c r="ART9" s="49"/>
      <c r="ARU9" s="49"/>
      <c r="ARV9" s="49"/>
      <c r="ARW9" s="49"/>
      <c r="ARX9" s="49"/>
      <c r="ARY9" s="49"/>
      <c r="ARZ9" s="49"/>
      <c r="ASA9" s="49"/>
      <c r="ASB9" s="49"/>
      <c r="ASC9" s="49"/>
      <c r="ASD9" s="49"/>
      <c r="ASE9" s="49"/>
      <c r="ASF9" s="49"/>
      <c r="ASG9" s="49"/>
      <c r="ASH9" s="49"/>
      <c r="ASI9" s="49"/>
      <c r="ASJ9" s="49"/>
      <c r="ASK9" s="49"/>
      <c r="ASL9" s="49"/>
      <c r="ASM9" s="49"/>
      <c r="ASN9" s="49"/>
      <c r="ASO9" s="49"/>
      <c r="ASP9" s="49"/>
      <c r="ASQ9" s="49"/>
      <c r="ASR9" s="49"/>
      <c r="ASS9" s="49"/>
      <c r="AST9" s="49"/>
      <c r="ASU9" s="49"/>
      <c r="ASV9" s="49"/>
      <c r="ASW9" s="49"/>
      <c r="ASX9" s="49"/>
      <c r="ASY9" s="49"/>
      <c r="ASZ9" s="49"/>
      <c r="ATA9" s="49"/>
      <c r="ATB9" s="49"/>
      <c r="ATC9" s="49"/>
      <c r="ATD9" s="49"/>
      <c r="ATE9" s="49"/>
      <c r="ATF9" s="49"/>
      <c r="ATG9" s="49"/>
      <c r="ATH9" s="49"/>
      <c r="ATI9" s="49"/>
      <c r="ATJ9" s="49"/>
      <c r="ATK9" s="49"/>
      <c r="ATL9" s="49"/>
      <c r="ATM9" s="49"/>
      <c r="ATN9" s="49"/>
      <c r="ATO9" s="49"/>
      <c r="ATP9" s="49"/>
      <c r="ATQ9" s="49"/>
      <c r="ATR9" s="49"/>
      <c r="ATS9" s="49"/>
      <c r="ATT9" s="49"/>
      <c r="ATU9" s="49"/>
      <c r="ATV9" s="49"/>
      <c r="ATW9" s="49"/>
      <c r="ATX9" s="49"/>
      <c r="ATY9" s="49"/>
      <c r="ATZ9" s="49"/>
      <c r="AUA9" s="49"/>
      <c r="AUB9" s="49"/>
      <c r="AUC9" s="49"/>
      <c r="AUD9" s="49"/>
      <c r="AUE9" s="49"/>
      <c r="AUF9" s="49"/>
      <c r="AUG9" s="49"/>
      <c r="AUH9" s="49"/>
      <c r="AUI9" s="49"/>
      <c r="AUJ9" s="49"/>
      <c r="AUK9" s="49"/>
      <c r="AUL9" s="49"/>
      <c r="AUM9" s="49"/>
      <c r="AUN9" s="49"/>
      <c r="AUO9" s="49"/>
      <c r="AUP9" s="49"/>
      <c r="AUQ9" s="49"/>
      <c r="AUR9" s="49"/>
      <c r="AUS9" s="49"/>
      <c r="AUT9" s="49"/>
      <c r="AUU9" s="49"/>
      <c r="AUV9" s="49"/>
      <c r="AUW9" s="49"/>
      <c r="AUX9" s="49"/>
      <c r="AUY9" s="49"/>
      <c r="AUZ9" s="49"/>
      <c r="AVA9" s="49"/>
      <c r="AVB9" s="49"/>
      <c r="AVC9" s="49"/>
      <c r="AVD9" s="49"/>
      <c r="AVE9" s="49"/>
      <c r="AVF9" s="49"/>
      <c r="AVG9" s="49"/>
      <c r="AVH9" s="49"/>
      <c r="AVI9" s="49"/>
      <c r="AVJ9" s="49"/>
      <c r="AVK9" s="49"/>
      <c r="AVL9" s="49"/>
      <c r="AVM9" s="49"/>
      <c r="AVN9" s="49"/>
      <c r="AVO9" s="49"/>
      <c r="AVP9" s="49"/>
      <c r="AVQ9" s="49"/>
      <c r="AVR9" s="49"/>
      <c r="AVS9" s="49"/>
      <c r="AVT9" s="49"/>
      <c r="AVU9" s="49"/>
      <c r="AVV9" s="49"/>
      <c r="AVW9" s="49"/>
      <c r="AVX9" s="49"/>
      <c r="AVY9" s="49"/>
      <c r="AVZ9" s="49"/>
      <c r="AWA9" s="49"/>
      <c r="AWB9" s="49"/>
      <c r="AWC9" s="49"/>
      <c r="AWD9" s="49"/>
      <c r="AWE9" s="49"/>
      <c r="AWF9" s="49"/>
      <c r="AWG9" s="49"/>
      <c r="AWH9" s="49"/>
      <c r="AWI9" s="49"/>
      <c r="AWJ9" s="49"/>
      <c r="AWK9" s="49"/>
      <c r="AWL9" s="49"/>
      <c r="AWM9" s="49"/>
      <c r="AWN9" s="49"/>
      <c r="AWO9" s="49"/>
      <c r="AWP9" s="49"/>
      <c r="AWQ9" s="49"/>
      <c r="AWR9" s="49"/>
      <c r="AWS9" s="49"/>
      <c r="AWT9" s="49"/>
      <c r="AWU9" s="49"/>
      <c r="AWV9" s="49"/>
      <c r="AWW9" s="49"/>
      <c r="AWX9" s="49"/>
      <c r="AWY9" s="49"/>
      <c r="AWZ9" s="49"/>
      <c r="AXA9" s="49"/>
      <c r="AXB9" s="49"/>
      <c r="AXC9" s="49"/>
      <c r="AXD9" s="49"/>
      <c r="AXE9" s="49"/>
      <c r="AXF9" s="49"/>
      <c r="AXG9" s="49"/>
      <c r="AXH9" s="49"/>
      <c r="AXI9" s="49"/>
      <c r="AXJ9" s="49"/>
      <c r="AXK9" s="49"/>
      <c r="AXL9" s="49"/>
      <c r="AXM9" s="49"/>
      <c r="AXN9" s="49"/>
      <c r="AXO9" s="49"/>
      <c r="AXP9" s="49"/>
      <c r="AXQ9" s="49"/>
      <c r="AXR9" s="49"/>
      <c r="AXS9" s="49"/>
      <c r="AXT9" s="49"/>
      <c r="AXU9" s="49"/>
      <c r="AXV9" s="49"/>
      <c r="AXW9" s="49"/>
      <c r="AXX9" s="49"/>
      <c r="AXY9" s="49"/>
      <c r="AXZ9" s="49"/>
      <c r="AYA9" s="49"/>
      <c r="AYB9" s="49"/>
      <c r="AYC9" s="49"/>
      <c r="AYD9" s="49"/>
      <c r="AYE9" s="49"/>
      <c r="AYF9" s="49"/>
      <c r="AYG9" s="49"/>
      <c r="AYH9" s="49"/>
      <c r="AYI9" s="49"/>
      <c r="AYJ9" s="49"/>
      <c r="AYK9" s="49"/>
      <c r="AYL9" s="49"/>
      <c r="AYM9" s="49"/>
      <c r="AYN9" s="49"/>
      <c r="AYO9" s="49"/>
      <c r="AYP9" s="49"/>
      <c r="AYQ9" s="49"/>
      <c r="AYR9" s="49"/>
      <c r="AYS9" s="49"/>
      <c r="AYT9" s="49"/>
      <c r="AYU9" s="49"/>
      <c r="AYV9" s="49"/>
      <c r="AYW9" s="49"/>
      <c r="AYX9" s="49"/>
      <c r="AYY9" s="49"/>
      <c r="AYZ9" s="49"/>
      <c r="AZA9" s="49"/>
      <c r="AZB9" s="49"/>
      <c r="AZC9" s="49"/>
      <c r="AZD9" s="49"/>
      <c r="AZE9" s="49"/>
      <c r="AZF9" s="49"/>
      <c r="AZG9" s="49"/>
      <c r="AZH9" s="49"/>
      <c r="AZI9" s="49"/>
      <c r="AZJ9" s="49"/>
      <c r="AZK9" s="49"/>
      <c r="AZL9" s="49"/>
      <c r="AZM9" s="49"/>
      <c r="AZN9" s="49"/>
      <c r="AZO9" s="49"/>
      <c r="AZP9" s="49"/>
      <c r="AZQ9" s="49"/>
      <c r="AZR9" s="49"/>
      <c r="AZS9" s="49"/>
      <c r="AZT9" s="49"/>
      <c r="AZU9" s="49"/>
      <c r="AZV9" s="49"/>
      <c r="AZW9" s="49"/>
      <c r="AZX9" s="49"/>
      <c r="AZY9" s="49"/>
      <c r="AZZ9" s="49"/>
      <c r="BAA9" s="49"/>
      <c r="BAB9" s="49"/>
      <c r="BAC9" s="49"/>
      <c r="BAD9" s="49"/>
      <c r="BAE9" s="49"/>
      <c r="BAF9" s="49"/>
      <c r="BAG9" s="49"/>
      <c r="BAH9" s="49"/>
      <c r="BAI9" s="49"/>
      <c r="BAJ9" s="49"/>
      <c r="BAK9" s="49"/>
      <c r="BAL9" s="49"/>
      <c r="BAM9" s="49"/>
      <c r="BAN9" s="49"/>
      <c r="BAO9" s="49"/>
      <c r="BAP9" s="49"/>
      <c r="BAQ9" s="49"/>
      <c r="BAR9" s="49"/>
      <c r="BAS9" s="49"/>
      <c r="BAT9" s="49"/>
      <c r="BAU9" s="49"/>
      <c r="BAV9" s="49"/>
      <c r="BAW9" s="49"/>
      <c r="BAX9" s="49"/>
      <c r="BAY9" s="49"/>
      <c r="BAZ9" s="49"/>
      <c r="BBA9" s="49"/>
      <c r="BBB9" s="49"/>
      <c r="BBC9" s="49"/>
      <c r="BBD9" s="49"/>
      <c r="BBE9" s="49"/>
      <c r="BBF9" s="49"/>
      <c r="BBG9" s="49"/>
      <c r="BBH9" s="49"/>
      <c r="BBI9" s="49"/>
      <c r="BBJ9" s="49"/>
      <c r="BBK9" s="49"/>
      <c r="BBL9" s="49"/>
      <c r="BBM9" s="49"/>
      <c r="BBN9" s="49"/>
      <c r="BBO9" s="49"/>
      <c r="BBP9" s="49"/>
      <c r="BBQ9" s="49"/>
      <c r="BBR9" s="49"/>
      <c r="BBS9" s="49"/>
      <c r="BBT9" s="49"/>
      <c r="BBU9" s="49"/>
      <c r="BBV9" s="49"/>
      <c r="BBW9" s="49"/>
      <c r="BBX9" s="49"/>
      <c r="BBY9" s="49"/>
      <c r="BBZ9" s="49"/>
      <c r="BCA9" s="49"/>
      <c r="BCB9" s="49"/>
      <c r="BCC9" s="49"/>
      <c r="BCD9" s="49"/>
      <c r="BCE9" s="49"/>
      <c r="BCF9" s="49"/>
      <c r="BCG9" s="49"/>
      <c r="BCH9" s="49"/>
      <c r="BCI9" s="49"/>
      <c r="BCJ9" s="49"/>
      <c r="BCK9" s="49"/>
      <c r="BCL9" s="49"/>
      <c r="BCM9" s="49"/>
      <c r="BCN9" s="49"/>
    </row>
    <row r="10" spans="1:1444" s="47" customFormat="1">
      <c r="A10" s="52"/>
      <c r="B10" s="190">
        <v>45753</v>
      </c>
      <c r="C10" s="190" t="s">
        <v>198</v>
      </c>
      <c r="D10" s="191">
        <v>24</v>
      </c>
      <c r="E10" s="191">
        <v>53.339999999996508</v>
      </c>
      <c r="F10" s="191">
        <v>0</v>
      </c>
      <c r="G10" s="191">
        <v>0</v>
      </c>
      <c r="H10" s="191">
        <v>24</v>
      </c>
      <c r="I10" s="191">
        <v>38</v>
      </c>
      <c r="J10" s="191">
        <v>1234.0899999999999</v>
      </c>
      <c r="K10" s="191">
        <v>943.15340000034735</v>
      </c>
      <c r="L10" s="191">
        <v>0</v>
      </c>
      <c r="M10" s="257">
        <v>0</v>
      </c>
      <c r="N10" s="189">
        <f>'units overall'!O10</f>
        <v>2329.5834000003438</v>
      </c>
      <c r="O10" s="230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49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49"/>
      <c r="AAX10" s="49"/>
      <c r="AAY10" s="49"/>
      <c r="AAZ10" s="49"/>
      <c r="ABA10" s="49"/>
      <c r="ABB10" s="49"/>
      <c r="ABC10" s="49"/>
      <c r="ABD10" s="49"/>
      <c r="ABE10" s="49"/>
      <c r="ABF10" s="49"/>
      <c r="ABG10" s="49"/>
      <c r="ABH10" s="49"/>
      <c r="ABI10" s="49"/>
      <c r="ABJ10" s="49"/>
      <c r="ABK10" s="49"/>
      <c r="ABL10" s="49"/>
      <c r="ABM10" s="49"/>
      <c r="ABN10" s="49"/>
      <c r="ABO10" s="49"/>
      <c r="ABP10" s="49"/>
      <c r="ABQ10" s="49"/>
      <c r="ABR10" s="49"/>
      <c r="ABS10" s="49"/>
      <c r="ABT10" s="49"/>
      <c r="ABU10" s="49"/>
      <c r="ABV10" s="49"/>
      <c r="ABW10" s="49"/>
      <c r="ABX10" s="49"/>
      <c r="ABY10" s="49"/>
      <c r="ABZ10" s="49"/>
      <c r="ACA10" s="49"/>
      <c r="ACB10" s="49"/>
      <c r="ACC10" s="49"/>
      <c r="ACD10" s="49"/>
      <c r="ACE10" s="49"/>
      <c r="ACF10" s="49"/>
      <c r="ACG10" s="49"/>
      <c r="ACH10" s="49"/>
      <c r="ACI10" s="49"/>
      <c r="ACJ10" s="49"/>
      <c r="ACK10" s="49"/>
      <c r="ACL10" s="49"/>
      <c r="ACM10" s="49"/>
      <c r="ACN10" s="49"/>
      <c r="ACO10" s="49"/>
      <c r="ACP10" s="49"/>
      <c r="ACQ10" s="49"/>
      <c r="ACR10" s="49"/>
      <c r="ACS10" s="49"/>
      <c r="ACT10" s="49"/>
      <c r="ACU10" s="49"/>
      <c r="ACV10" s="49"/>
      <c r="ACW10" s="49"/>
      <c r="ACX10" s="49"/>
      <c r="ACY10" s="49"/>
      <c r="ACZ10" s="49"/>
      <c r="ADA10" s="49"/>
      <c r="ADB10" s="49"/>
      <c r="ADC10" s="49"/>
      <c r="ADD10" s="49"/>
      <c r="ADE10" s="49"/>
      <c r="ADF10" s="49"/>
      <c r="ADG10" s="49"/>
      <c r="ADH10" s="49"/>
      <c r="ADI10" s="49"/>
      <c r="ADJ10" s="49"/>
      <c r="ADK10" s="49"/>
      <c r="ADL10" s="49"/>
      <c r="ADM10" s="49"/>
      <c r="ADN10" s="49"/>
      <c r="ADO10" s="49"/>
      <c r="ADP10" s="49"/>
      <c r="ADQ10" s="49"/>
      <c r="ADR10" s="49"/>
      <c r="ADS10" s="49"/>
      <c r="ADT10" s="49"/>
      <c r="ADU10" s="49"/>
      <c r="ADV10" s="49"/>
      <c r="ADW10" s="49"/>
      <c r="ADX10" s="49"/>
      <c r="ADY10" s="49"/>
      <c r="ADZ10" s="49"/>
      <c r="AEA10" s="49"/>
      <c r="AEB10" s="49"/>
      <c r="AEC10" s="49"/>
      <c r="AED10" s="49"/>
      <c r="AEE10" s="49"/>
      <c r="AEF10" s="49"/>
      <c r="AEG10" s="49"/>
      <c r="AEH10" s="49"/>
      <c r="AEI10" s="49"/>
      <c r="AEJ10" s="49"/>
      <c r="AEK10" s="49"/>
      <c r="AEL10" s="49"/>
      <c r="AEM10" s="49"/>
      <c r="AEN10" s="49"/>
      <c r="AEO10" s="49"/>
      <c r="AEP10" s="49"/>
      <c r="AEQ10" s="49"/>
      <c r="AER10" s="49"/>
      <c r="AES10" s="49"/>
      <c r="AET10" s="49"/>
      <c r="AEU10" s="49"/>
      <c r="AEV10" s="49"/>
      <c r="AEW10" s="49"/>
      <c r="AEX10" s="49"/>
      <c r="AEY10" s="49"/>
      <c r="AEZ10" s="49"/>
      <c r="AFA10" s="49"/>
      <c r="AFB10" s="49"/>
      <c r="AFC10" s="49"/>
      <c r="AFD10" s="49"/>
      <c r="AFE10" s="49"/>
      <c r="AFF10" s="49"/>
      <c r="AFG10" s="49"/>
      <c r="AFH10" s="49"/>
      <c r="AFI10" s="49"/>
      <c r="AFJ10" s="49"/>
      <c r="AFK10" s="49"/>
      <c r="AFL10" s="49"/>
      <c r="AFM10" s="49"/>
      <c r="AFN10" s="49"/>
      <c r="AFO10" s="49"/>
      <c r="AFP10" s="49"/>
      <c r="AFQ10" s="49"/>
      <c r="AFR10" s="49"/>
      <c r="AFS10" s="49"/>
      <c r="AFT10" s="49"/>
      <c r="AFU10" s="49"/>
      <c r="AFV10" s="49"/>
      <c r="AFW10" s="49"/>
      <c r="AFX10" s="49"/>
      <c r="AFY10" s="49"/>
      <c r="AFZ10" s="49"/>
      <c r="AGA10" s="49"/>
      <c r="AGB10" s="49"/>
      <c r="AGC10" s="49"/>
      <c r="AGD10" s="49"/>
      <c r="AGE10" s="49"/>
      <c r="AGF10" s="49"/>
      <c r="AGG10" s="49"/>
      <c r="AGH10" s="49"/>
      <c r="AGI10" s="49"/>
      <c r="AGJ10" s="49"/>
      <c r="AGK10" s="49"/>
      <c r="AGL10" s="49"/>
      <c r="AGM10" s="49"/>
      <c r="AGN10" s="49"/>
      <c r="AGO10" s="49"/>
      <c r="AGP10" s="49"/>
      <c r="AGQ10" s="49"/>
      <c r="AGR10" s="49"/>
      <c r="AGS10" s="49"/>
      <c r="AGT10" s="49"/>
      <c r="AGU10" s="49"/>
      <c r="AGV10" s="49"/>
      <c r="AGW10" s="49"/>
      <c r="AGX10" s="49"/>
      <c r="AGY10" s="49"/>
      <c r="AGZ10" s="49"/>
      <c r="AHA10" s="49"/>
      <c r="AHB10" s="49"/>
      <c r="AHC10" s="49"/>
      <c r="AHD10" s="49"/>
      <c r="AHE10" s="49"/>
      <c r="AHF10" s="49"/>
      <c r="AHG10" s="49"/>
      <c r="AHH10" s="49"/>
      <c r="AHI10" s="49"/>
      <c r="AHJ10" s="49"/>
      <c r="AHK10" s="49"/>
      <c r="AHL10" s="49"/>
      <c r="AHM10" s="49"/>
      <c r="AHN10" s="49"/>
      <c r="AHO10" s="49"/>
      <c r="AHP10" s="49"/>
      <c r="AHQ10" s="49"/>
      <c r="AHR10" s="49"/>
      <c r="AHS10" s="49"/>
      <c r="AHT10" s="49"/>
      <c r="AHU10" s="49"/>
      <c r="AHV10" s="49"/>
      <c r="AHW10" s="49"/>
      <c r="AHX10" s="49"/>
      <c r="AHY10" s="49"/>
      <c r="AHZ10" s="49"/>
      <c r="AIA10" s="49"/>
      <c r="AIB10" s="49"/>
      <c r="AIC10" s="49"/>
      <c r="AID10" s="49"/>
      <c r="AIE10" s="49"/>
      <c r="AIF10" s="49"/>
      <c r="AIG10" s="49"/>
      <c r="AIH10" s="49"/>
      <c r="AII10" s="49"/>
      <c r="AIJ10" s="49"/>
      <c r="AIK10" s="49"/>
      <c r="AIL10" s="49"/>
      <c r="AIM10" s="49"/>
      <c r="AIN10" s="49"/>
      <c r="AIO10" s="49"/>
      <c r="AIP10" s="49"/>
      <c r="AIQ10" s="49"/>
      <c r="AIR10" s="49"/>
      <c r="AIS10" s="49"/>
      <c r="AIT10" s="49"/>
      <c r="AIU10" s="49"/>
      <c r="AIV10" s="49"/>
      <c r="AIW10" s="49"/>
      <c r="AIX10" s="49"/>
      <c r="AIY10" s="49"/>
      <c r="AIZ10" s="49"/>
      <c r="AJA10" s="49"/>
      <c r="AJB10" s="49"/>
      <c r="AJC10" s="49"/>
      <c r="AJD10" s="49"/>
      <c r="AJE10" s="49"/>
      <c r="AJF10" s="49"/>
      <c r="AJG10" s="49"/>
      <c r="AJH10" s="49"/>
      <c r="AJI10" s="49"/>
      <c r="AJJ10" s="49"/>
      <c r="AJK10" s="49"/>
      <c r="AJL10" s="49"/>
      <c r="AJM10" s="49"/>
      <c r="AJN10" s="49"/>
      <c r="AJO10" s="49"/>
      <c r="AJP10" s="49"/>
      <c r="AJQ10" s="49"/>
      <c r="AJR10" s="49"/>
      <c r="AJS10" s="49"/>
      <c r="AJT10" s="49"/>
      <c r="AJU10" s="49"/>
      <c r="AJV10" s="49"/>
      <c r="AJW10" s="49"/>
      <c r="AJX10" s="49"/>
      <c r="AJY10" s="49"/>
      <c r="AJZ10" s="49"/>
      <c r="AKA10" s="49"/>
      <c r="AKB10" s="49"/>
      <c r="AKC10" s="49"/>
      <c r="AKD10" s="49"/>
      <c r="AKE10" s="49"/>
      <c r="AKF10" s="49"/>
      <c r="AKG10" s="49"/>
      <c r="AKH10" s="49"/>
      <c r="AKI10" s="49"/>
      <c r="AKJ10" s="49"/>
      <c r="AKK10" s="49"/>
      <c r="AKL10" s="49"/>
      <c r="AKM10" s="49"/>
      <c r="AKN10" s="49"/>
      <c r="AKO10" s="49"/>
      <c r="AKP10" s="49"/>
      <c r="AKQ10" s="49"/>
      <c r="AKR10" s="49"/>
      <c r="AKS10" s="49"/>
      <c r="AKT10" s="49"/>
      <c r="AKU10" s="49"/>
      <c r="AKV10" s="49"/>
      <c r="AKW10" s="49"/>
      <c r="AKX10" s="49"/>
      <c r="AKY10" s="49"/>
      <c r="AKZ10" s="49"/>
      <c r="ALA10" s="49"/>
      <c r="ALB10" s="49"/>
      <c r="ALC10" s="49"/>
      <c r="ALD10" s="49"/>
      <c r="ALE10" s="49"/>
      <c r="ALF10" s="49"/>
      <c r="ALG10" s="49"/>
      <c r="ALH10" s="49"/>
      <c r="ALI10" s="49"/>
      <c r="ALJ10" s="49"/>
      <c r="ALK10" s="49"/>
      <c r="ALL10" s="49"/>
      <c r="ALM10" s="49"/>
      <c r="ALN10" s="49"/>
      <c r="ALO10" s="49"/>
      <c r="ALP10" s="49"/>
      <c r="ALQ10" s="49"/>
      <c r="ALR10" s="49"/>
      <c r="ALS10" s="49"/>
      <c r="ALT10" s="49"/>
      <c r="ALU10" s="49"/>
      <c r="ALV10" s="49"/>
      <c r="ALW10" s="49"/>
      <c r="ALX10" s="49"/>
      <c r="ALY10" s="49"/>
      <c r="ALZ10" s="49"/>
      <c r="AMA10" s="49"/>
      <c r="AMB10" s="49"/>
      <c r="AMC10" s="49"/>
      <c r="AMD10" s="49"/>
      <c r="AME10" s="49"/>
      <c r="AMF10" s="49"/>
      <c r="AMG10" s="49"/>
      <c r="AMH10" s="49"/>
      <c r="AMI10" s="49"/>
      <c r="AMJ10" s="49"/>
      <c r="AMK10" s="49"/>
      <c r="AML10" s="49"/>
      <c r="AMM10" s="49"/>
      <c r="AMN10" s="49"/>
      <c r="AMO10" s="49"/>
      <c r="AMP10" s="49"/>
      <c r="AMQ10" s="49"/>
      <c r="AMR10" s="49"/>
      <c r="AMS10" s="49"/>
      <c r="AMT10" s="49"/>
      <c r="AMU10" s="49"/>
      <c r="AMV10" s="49"/>
      <c r="AMW10" s="49"/>
      <c r="AMX10" s="49"/>
      <c r="AMY10" s="49"/>
      <c r="AMZ10" s="49"/>
      <c r="ANA10" s="49"/>
      <c r="ANB10" s="49"/>
      <c r="ANC10" s="49"/>
      <c r="AND10" s="49"/>
      <c r="ANE10" s="49"/>
      <c r="ANF10" s="49"/>
      <c r="ANG10" s="49"/>
      <c r="ANH10" s="49"/>
      <c r="ANI10" s="49"/>
      <c r="ANJ10" s="49"/>
      <c r="ANK10" s="49"/>
      <c r="ANL10" s="49"/>
      <c r="ANM10" s="49"/>
      <c r="ANN10" s="49"/>
      <c r="ANO10" s="49"/>
      <c r="ANP10" s="49"/>
      <c r="ANQ10" s="49"/>
      <c r="ANR10" s="49"/>
      <c r="ANS10" s="49"/>
      <c r="ANT10" s="49"/>
      <c r="ANU10" s="49"/>
      <c r="ANV10" s="49"/>
      <c r="ANW10" s="49"/>
      <c r="ANX10" s="49"/>
      <c r="ANY10" s="49"/>
      <c r="ANZ10" s="49"/>
      <c r="AOA10" s="49"/>
      <c r="AOB10" s="49"/>
      <c r="AOC10" s="49"/>
      <c r="AOD10" s="49"/>
      <c r="AOE10" s="49"/>
      <c r="AOF10" s="49"/>
      <c r="AOG10" s="49"/>
      <c r="AOH10" s="49"/>
      <c r="AOI10" s="49"/>
      <c r="AOJ10" s="49"/>
      <c r="AOK10" s="49"/>
      <c r="AOL10" s="49"/>
      <c r="AOM10" s="49"/>
      <c r="AON10" s="49"/>
      <c r="AOO10" s="49"/>
      <c r="AOP10" s="49"/>
      <c r="AOQ10" s="49"/>
      <c r="AOR10" s="49"/>
      <c r="AOS10" s="49"/>
      <c r="AOT10" s="49"/>
      <c r="AOU10" s="49"/>
      <c r="AOV10" s="49"/>
      <c r="AOW10" s="49"/>
      <c r="AOX10" s="49"/>
      <c r="AOY10" s="49"/>
      <c r="AOZ10" s="49"/>
      <c r="APA10" s="49"/>
      <c r="APB10" s="49"/>
      <c r="APC10" s="49"/>
      <c r="APD10" s="49"/>
      <c r="APE10" s="49"/>
      <c r="APF10" s="49"/>
      <c r="APG10" s="49"/>
      <c r="APH10" s="49"/>
      <c r="API10" s="49"/>
      <c r="APJ10" s="49"/>
      <c r="APK10" s="49"/>
      <c r="APL10" s="49"/>
      <c r="APM10" s="49"/>
      <c r="APN10" s="49"/>
      <c r="APO10" s="49"/>
      <c r="APP10" s="49"/>
      <c r="APQ10" s="49"/>
      <c r="APR10" s="49"/>
      <c r="APS10" s="49"/>
      <c r="APT10" s="49"/>
      <c r="APU10" s="49"/>
      <c r="APV10" s="49"/>
      <c r="APW10" s="49"/>
      <c r="APX10" s="49"/>
      <c r="APY10" s="49"/>
      <c r="APZ10" s="49"/>
      <c r="AQA10" s="49"/>
      <c r="AQB10" s="49"/>
      <c r="AQC10" s="49"/>
      <c r="AQD10" s="49"/>
      <c r="AQE10" s="49"/>
      <c r="AQF10" s="49"/>
      <c r="AQG10" s="49"/>
      <c r="AQH10" s="49"/>
      <c r="AQI10" s="49"/>
      <c r="AQJ10" s="49"/>
      <c r="AQK10" s="49"/>
      <c r="AQL10" s="49"/>
      <c r="AQM10" s="49"/>
      <c r="AQN10" s="49"/>
      <c r="AQO10" s="49"/>
      <c r="AQP10" s="49"/>
      <c r="AQQ10" s="49"/>
      <c r="AQR10" s="49"/>
      <c r="AQS10" s="49"/>
      <c r="AQT10" s="49"/>
      <c r="AQU10" s="49"/>
      <c r="AQV10" s="49"/>
      <c r="AQW10" s="49"/>
      <c r="AQX10" s="49"/>
      <c r="AQY10" s="49"/>
      <c r="AQZ10" s="49"/>
      <c r="ARA10" s="49"/>
      <c r="ARB10" s="49"/>
      <c r="ARC10" s="49"/>
      <c r="ARD10" s="49"/>
      <c r="ARE10" s="49"/>
      <c r="ARF10" s="49"/>
      <c r="ARG10" s="49"/>
      <c r="ARH10" s="49"/>
      <c r="ARI10" s="49"/>
      <c r="ARJ10" s="49"/>
      <c r="ARK10" s="49"/>
      <c r="ARL10" s="49"/>
      <c r="ARM10" s="49"/>
      <c r="ARN10" s="49"/>
      <c r="ARO10" s="49"/>
      <c r="ARP10" s="49"/>
      <c r="ARQ10" s="49"/>
      <c r="ARR10" s="49"/>
      <c r="ARS10" s="49"/>
      <c r="ART10" s="49"/>
      <c r="ARU10" s="49"/>
      <c r="ARV10" s="49"/>
      <c r="ARW10" s="49"/>
      <c r="ARX10" s="49"/>
      <c r="ARY10" s="49"/>
      <c r="ARZ10" s="49"/>
      <c r="ASA10" s="49"/>
      <c r="ASB10" s="49"/>
      <c r="ASC10" s="49"/>
      <c r="ASD10" s="49"/>
      <c r="ASE10" s="49"/>
      <c r="ASF10" s="49"/>
      <c r="ASG10" s="49"/>
      <c r="ASH10" s="49"/>
      <c r="ASI10" s="49"/>
      <c r="ASJ10" s="49"/>
      <c r="ASK10" s="49"/>
      <c r="ASL10" s="49"/>
      <c r="ASM10" s="49"/>
      <c r="ASN10" s="49"/>
      <c r="ASO10" s="49"/>
      <c r="ASP10" s="49"/>
      <c r="ASQ10" s="49"/>
      <c r="ASR10" s="49"/>
      <c r="ASS10" s="49"/>
      <c r="AST10" s="49"/>
      <c r="ASU10" s="49"/>
      <c r="ASV10" s="49"/>
      <c r="ASW10" s="49"/>
      <c r="ASX10" s="49"/>
      <c r="ASY10" s="49"/>
      <c r="ASZ10" s="49"/>
      <c r="ATA10" s="49"/>
      <c r="ATB10" s="49"/>
      <c r="ATC10" s="49"/>
      <c r="ATD10" s="49"/>
      <c r="ATE10" s="49"/>
      <c r="ATF10" s="49"/>
      <c r="ATG10" s="49"/>
      <c r="ATH10" s="49"/>
      <c r="ATI10" s="49"/>
      <c r="ATJ10" s="49"/>
      <c r="ATK10" s="49"/>
      <c r="ATL10" s="49"/>
      <c r="ATM10" s="49"/>
      <c r="ATN10" s="49"/>
      <c r="ATO10" s="49"/>
      <c r="ATP10" s="49"/>
      <c r="ATQ10" s="49"/>
      <c r="ATR10" s="49"/>
      <c r="ATS10" s="49"/>
      <c r="ATT10" s="49"/>
      <c r="ATU10" s="49"/>
      <c r="ATV10" s="49"/>
      <c r="ATW10" s="49"/>
      <c r="ATX10" s="49"/>
      <c r="ATY10" s="49"/>
      <c r="ATZ10" s="49"/>
      <c r="AUA10" s="49"/>
      <c r="AUB10" s="49"/>
      <c r="AUC10" s="49"/>
      <c r="AUD10" s="49"/>
      <c r="AUE10" s="49"/>
      <c r="AUF10" s="49"/>
      <c r="AUG10" s="49"/>
      <c r="AUH10" s="49"/>
      <c r="AUI10" s="49"/>
      <c r="AUJ10" s="49"/>
      <c r="AUK10" s="49"/>
      <c r="AUL10" s="49"/>
      <c r="AUM10" s="49"/>
      <c r="AUN10" s="49"/>
      <c r="AUO10" s="49"/>
      <c r="AUP10" s="49"/>
      <c r="AUQ10" s="49"/>
      <c r="AUR10" s="49"/>
      <c r="AUS10" s="49"/>
      <c r="AUT10" s="49"/>
      <c r="AUU10" s="49"/>
      <c r="AUV10" s="49"/>
      <c r="AUW10" s="49"/>
      <c r="AUX10" s="49"/>
      <c r="AUY10" s="49"/>
      <c r="AUZ10" s="49"/>
      <c r="AVA10" s="49"/>
      <c r="AVB10" s="49"/>
      <c r="AVC10" s="49"/>
      <c r="AVD10" s="49"/>
      <c r="AVE10" s="49"/>
      <c r="AVF10" s="49"/>
      <c r="AVG10" s="49"/>
      <c r="AVH10" s="49"/>
      <c r="AVI10" s="49"/>
      <c r="AVJ10" s="49"/>
      <c r="AVK10" s="49"/>
      <c r="AVL10" s="49"/>
      <c r="AVM10" s="49"/>
      <c r="AVN10" s="49"/>
      <c r="AVO10" s="49"/>
      <c r="AVP10" s="49"/>
      <c r="AVQ10" s="49"/>
      <c r="AVR10" s="49"/>
      <c r="AVS10" s="49"/>
      <c r="AVT10" s="49"/>
      <c r="AVU10" s="49"/>
      <c r="AVV10" s="49"/>
      <c r="AVW10" s="49"/>
      <c r="AVX10" s="49"/>
      <c r="AVY10" s="49"/>
      <c r="AVZ10" s="49"/>
      <c r="AWA10" s="49"/>
      <c r="AWB10" s="49"/>
      <c r="AWC10" s="49"/>
      <c r="AWD10" s="49"/>
      <c r="AWE10" s="49"/>
      <c r="AWF10" s="49"/>
      <c r="AWG10" s="49"/>
      <c r="AWH10" s="49"/>
      <c r="AWI10" s="49"/>
      <c r="AWJ10" s="49"/>
      <c r="AWK10" s="49"/>
      <c r="AWL10" s="49"/>
      <c r="AWM10" s="49"/>
      <c r="AWN10" s="49"/>
      <c r="AWO10" s="49"/>
      <c r="AWP10" s="49"/>
      <c r="AWQ10" s="49"/>
      <c r="AWR10" s="49"/>
      <c r="AWS10" s="49"/>
      <c r="AWT10" s="49"/>
      <c r="AWU10" s="49"/>
      <c r="AWV10" s="49"/>
      <c r="AWW10" s="49"/>
      <c r="AWX10" s="49"/>
      <c r="AWY10" s="49"/>
      <c r="AWZ10" s="49"/>
      <c r="AXA10" s="49"/>
      <c r="AXB10" s="49"/>
      <c r="AXC10" s="49"/>
      <c r="AXD10" s="49"/>
      <c r="AXE10" s="49"/>
      <c r="AXF10" s="49"/>
      <c r="AXG10" s="49"/>
      <c r="AXH10" s="49"/>
      <c r="AXI10" s="49"/>
      <c r="AXJ10" s="49"/>
      <c r="AXK10" s="49"/>
      <c r="AXL10" s="49"/>
      <c r="AXM10" s="49"/>
      <c r="AXN10" s="49"/>
      <c r="AXO10" s="49"/>
      <c r="AXP10" s="49"/>
      <c r="AXQ10" s="49"/>
      <c r="AXR10" s="49"/>
      <c r="AXS10" s="49"/>
      <c r="AXT10" s="49"/>
      <c r="AXU10" s="49"/>
      <c r="AXV10" s="49"/>
      <c r="AXW10" s="49"/>
      <c r="AXX10" s="49"/>
      <c r="AXY10" s="49"/>
      <c r="AXZ10" s="49"/>
      <c r="AYA10" s="49"/>
      <c r="AYB10" s="49"/>
      <c r="AYC10" s="49"/>
      <c r="AYD10" s="49"/>
      <c r="AYE10" s="49"/>
      <c r="AYF10" s="49"/>
      <c r="AYG10" s="49"/>
      <c r="AYH10" s="49"/>
      <c r="AYI10" s="49"/>
      <c r="AYJ10" s="49"/>
      <c r="AYK10" s="49"/>
      <c r="AYL10" s="49"/>
      <c r="AYM10" s="49"/>
      <c r="AYN10" s="49"/>
      <c r="AYO10" s="49"/>
      <c r="AYP10" s="49"/>
      <c r="AYQ10" s="49"/>
      <c r="AYR10" s="49"/>
      <c r="AYS10" s="49"/>
      <c r="AYT10" s="49"/>
      <c r="AYU10" s="49"/>
      <c r="AYV10" s="49"/>
      <c r="AYW10" s="49"/>
      <c r="AYX10" s="49"/>
      <c r="AYY10" s="49"/>
      <c r="AYZ10" s="49"/>
      <c r="AZA10" s="49"/>
      <c r="AZB10" s="49"/>
      <c r="AZC10" s="49"/>
      <c r="AZD10" s="49"/>
      <c r="AZE10" s="49"/>
      <c r="AZF10" s="49"/>
      <c r="AZG10" s="49"/>
      <c r="AZH10" s="49"/>
      <c r="AZI10" s="49"/>
      <c r="AZJ10" s="49"/>
      <c r="AZK10" s="49"/>
      <c r="AZL10" s="49"/>
      <c r="AZM10" s="49"/>
      <c r="AZN10" s="49"/>
      <c r="AZO10" s="49"/>
      <c r="AZP10" s="49"/>
      <c r="AZQ10" s="49"/>
      <c r="AZR10" s="49"/>
      <c r="AZS10" s="49"/>
      <c r="AZT10" s="49"/>
      <c r="AZU10" s="49"/>
      <c r="AZV10" s="49"/>
      <c r="AZW10" s="49"/>
      <c r="AZX10" s="49"/>
      <c r="AZY10" s="49"/>
      <c r="AZZ10" s="49"/>
      <c r="BAA10" s="49"/>
      <c r="BAB10" s="49"/>
      <c r="BAC10" s="49"/>
      <c r="BAD10" s="49"/>
      <c r="BAE10" s="49"/>
      <c r="BAF10" s="49"/>
      <c r="BAG10" s="49"/>
      <c r="BAH10" s="49"/>
      <c r="BAI10" s="49"/>
      <c r="BAJ10" s="49"/>
      <c r="BAK10" s="49"/>
      <c r="BAL10" s="49"/>
      <c r="BAM10" s="49"/>
      <c r="BAN10" s="49"/>
      <c r="BAO10" s="49"/>
      <c r="BAP10" s="49"/>
      <c r="BAQ10" s="49"/>
      <c r="BAR10" s="49"/>
      <c r="BAS10" s="49"/>
      <c r="BAT10" s="49"/>
      <c r="BAU10" s="49"/>
      <c r="BAV10" s="49"/>
      <c r="BAW10" s="49"/>
      <c r="BAX10" s="49"/>
      <c r="BAY10" s="49"/>
      <c r="BAZ10" s="49"/>
      <c r="BBA10" s="49"/>
      <c r="BBB10" s="49"/>
      <c r="BBC10" s="49"/>
      <c r="BBD10" s="49"/>
      <c r="BBE10" s="49"/>
      <c r="BBF10" s="49"/>
      <c r="BBG10" s="49"/>
      <c r="BBH10" s="49"/>
      <c r="BBI10" s="49"/>
      <c r="BBJ10" s="49"/>
      <c r="BBK10" s="49"/>
      <c r="BBL10" s="49"/>
      <c r="BBM10" s="49"/>
      <c r="BBN10" s="49"/>
      <c r="BBO10" s="49"/>
      <c r="BBP10" s="49"/>
      <c r="BBQ10" s="49"/>
      <c r="BBR10" s="49"/>
      <c r="BBS10" s="49"/>
      <c r="BBT10" s="49"/>
      <c r="BBU10" s="49"/>
      <c r="BBV10" s="49"/>
      <c r="BBW10" s="49"/>
      <c r="BBX10" s="49"/>
      <c r="BBY10" s="49"/>
      <c r="BBZ10" s="49"/>
      <c r="BCA10" s="49"/>
      <c r="BCB10" s="49"/>
      <c r="BCC10" s="49"/>
      <c r="BCD10" s="49"/>
      <c r="BCE10" s="49"/>
      <c r="BCF10" s="49"/>
      <c r="BCG10" s="49"/>
      <c r="BCH10" s="49"/>
      <c r="BCI10" s="49"/>
      <c r="BCJ10" s="49"/>
      <c r="BCK10" s="49"/>
      <c r="BCL10" s="49"/>
      <c r="BCM10" s="49"/>
      <c r="BCN10" s="49"/>
    </row>
    <row r="11" spans="1:1444" s="47" customFormat="1">
      <c r="A11" s="52"/>
      <c r="B11" s="94">
        <v>45754</v>
      </c>
      <c r="C11" s="94" t="s">
        <v>192</v>
      </c>
      <c r="D11" s="95">
        <v>51</v>
      </c>
      <c r="E11" s="95">
        <v>94.605000000010477</v>
      </c>
      <c r="F11" s="95">
        <v>0</v>
      </c>
      <c r="G11" s="95">
        <v>7.0400000000008731</v>
      </c>
      <c r="H11" s="95">
        <v>30</v>
      </c>
      <c r="I11" s="95">
        <v>38</v>
      </c>
      <c r="J11" s="95">
        <v>1069.4899999999993</v>
      </c>
      <c r="K11" s="95">
        <v>1346.5525000006396</v>
      </c>
      <c r="L11" s="95">
        <v>0</v>
      </c>
      <c r="M11" s="155">
        <v>0</v>
      </c>
      <c r="N11" s="141">
        <f>'units overall'!O11</f>
        <v>2649.6875000006503</v>
      </c>
      <c r="O11" s="230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  <c r="KV11" s="49"/>
      <c r="KW11" s="49"/>
      <c r="KX11" s="49"/>
      <c r="KY11" s="49"/>
      <c r="KZ11" s="49"/>
      <c r="LA11" s="49"/>
      <c r="LB11" s="49"/>
      <c r="LC11" s="49"/>
      <c r="LD11" s="49"/>
      <c r="LE11" s="49"/>
      <c r="LF11" s="49"/>
      <c r="LG11" s="49"/>
      <c r="LH11" s="49"/>
      <c r="LI11" s="49"/>
      <c r="LJ11" s="49"/>
      <c r="LK11" s="49"/>
      <c r="LL11" s="49"/>
      <c r="LM11" s="49"/>
      <c r="LN11" s="49"/>
      <c r="LO11" s="49"/>
      <c r="LP11" s="49"/>
      <c r="LQ11" s="49"/>
      <c r="LR11" s="49"/>
      <c r="LS11" s="49"/>
      <c r="LT11" s="49"/>
      <c r="LU11" s="49"/>
      <c r="LV11" s="49"/>
      <c r="LW11" s="49"/>
      <c r="LX11" s="49"/>
      <c r="LY11" s="49"/>
      <c r="LZ11" s="49"/>
      <c r="MA11" s="49"/>
      <c r="MB11" s="49"/>
      <c r="MC11" s="49"/>
      <c r="MD11" s="49"/>
      <c r="ME11" s="49"/>
      <c r="MF11" s="49"/>
      <c r="MG11" s="49"/>
      <c r="MH11" s="49"/>
      <c r="MI11" s="49"/>
      <c r="MJ11" s="49"/>
      <c r="MK11" s="49"/>
      <c r="ML11" s="49"/>
      <c r="MM11" s="49"/>
      <c r="MN11" s="49"/>
      <c r="MO11" s="49"/>
      <c r="MP11" s="49"/>
      <c r="MQ11" s="49"/>
      <c r="MR11" s="49"/>
      <c r="MS11" s="49"/>
      <c r="MT11" s="49"/>
      <c r="MU11" s="49"/>
      <c r="MV11" s="49"/>
      <c r="MW11" s="49"/>
      <c r="MX11" s="49"/>
      <c r="MY11" s="49"/>
      <c r="MZ11" s="49"/>
      <c r="NA11" s="49"/>
      <c r="NB11" s="49"/>
      <c r="NC11" s="49"/>
      <c r="ND11" s="49"/>
      <c r="NE11" s="49"/>
      <c r="NF11" s="49"/>
      <c r="NG11" s="49"/>
      <c r="NH11" s="49"/>
      <c r="NI11" s="49"/>
      <c r="NJ11" s="49"/>
      <c r="NK11" s="49"/>
      <c r="NL11" s="49"/>
      <c r="NM11" s="49"/>
      <c r="NN11" s="49"/>
      <c r="NO11" s="49"/>
      <c r="NP11" s="49"/>
      <c r="NQ11" s="49"/>
      <c r="NR11" s="49"/>
      <c r="NS11" s="49"/>
      <c r="NT11" s="49"/>
      <c r="NU11" s="49"/>
      <c r="NV11" s="49"/>
      <c r="NW11" s="49"/>
      <c r="NX11" s="49"/>
      <c r="NY11" s="49"/>
      <c r="NZ11" s="49"/>
      <c r="OA11" s="49"/>
      <c r="OB11" s="49"/>
      <c r="OC11" s="49"/>
      <c r="OD11" s="49"/>
      <c r="OE11" s="49"/>
      <c r="OF11" s="49"/>
      <c r="OG11" s="49"/>
      <c r="OH11" s="49"/>
      <c r="OI11" s="49"/>
      <c r="OJ11" s="49"/>
      <c r="OK11" s="49"/>
      <c r="OL11" s="49"/>
      <c r="OM11" s="49"/>
      <c r="ON11" s="49"/>
      <c r="OO11" s="49"/>
      <c r="OP11" s="49"/>
      <c r="OQ11" s="49"/>
      <c r="OR11" s="49"/>
      <c r="OS11" s="49"/>
      <c r="OT11" s="49"/>
      <c r="OU11" s="49"/>
      <c r="OV11" s="49"/>
      <c r="OW11" s="49"/>
      <c r="OX11" s="49"/>
      <c r="OY11" s="49"/>
      <c r="OZ11" s="49"/>
      <c r="PA11" s="49"/>
      <c r="PB11" s="49"/>
      <c r="PC11" s="49"/>
      <c r="PD11" s="49"/>
      <c r="PE11" s="49"/>
      <c r="PF11" s="49"/>
      <c r="PG11" s="49"/>
      <c r="PH11" s="49"/>
      <c r="PI11" s="49"/>
      <c r="PJ11" s="49"/>
      <c r="PK11" s="49"/>
      <c r="PL11" s="49"/>
      <c r="PM11" s="49"/>
      <c r="PN11" s="49"/>
      <c r="PO11" s="49"/>
      <c r="PP11" s="49"/>
      <c r="PQ11" s="49"/>
      <c r="PR11" s="49"/>
      <c r="PS11" s="49"/>
      <c r="PT11" s="49"/>
      <c r="PU11" s="49"/>
      <c r="PV11" s="49"/>
      <c r="PW11" s="49"/>
      <c r="PX11" s="49"/>
      <c r="PY11" s="49"/>
      <c r="PZ11" s="49"/>
      <c r="QA11" s="49"/>
      <c r="QB11" s="49"/>
      <c r="QC11" s="49"/>
      <c r="QD11" s="49"/>
      <c r="QE11" s="49"/>
      <c r="QF11" s="49"/>
      <c r="QG11" s="49"/>
      <c r="QH11" s="49"/>
      <c r="QI11" s="49"/>
      <c r="QJ11" s="49"/>
      <c r="QK11" s="49"/>
      <c r="QL11" s="49"/>
      <c r="QM11" s="49"/>
      <c r="QN11" s="49"/>
      <c r="QO11" s="49"/>
      <c r="QP11" s="49"/>
      <c r="QQ11" s="49"/>
      <c r="QR11" s="49"/>
      <c r="QS11" s="49"/>
      <c r="QT11" s="49"/>
      <c r="QU11" s="49"/>
      <c r="QV11" s="49"/>
      <c r="QW11" s="49"/>
      <c r="QX11" s="49"/>
      <c r="QY11" s="49"/>
      <c r="QZ11" s="49"/>
      <c r="RA11" s="49"/>
      <c r="RB11" s="49"/>
      <c r="RC11" s="49"/>
      <c r="RD11" s="49"/>
      <c r="RE11" s="49"/>
      <c r="RF11" s="49"/>
      <c r="RG11" s="49"/>
      <c r="RH11" s="49"/>
      <c r="RI11" s="49"/>
      <c r="RJ11" s="49"/>
      <c r="RK11" s="49"/>
      <c r="RL11" s="49"/>
      <c r="RM11" s="49"/>
      <c r="RN11" s="49"/>
      <c r="RO11" s="49"/>
      <c r="RP11" s="49"/>
      <c r="RQ11" s="49"/>
      <c r="RR11" s="49"/>
      <c r="RS11" s="49"/>
      <c r="RT11" s="49"/>
      <c r="RU11" s="49"/>
      <c r="RV11" s="49"/>
      <c r="RW11" s="49"/>
      <c r="RX11" s="49"/>
      <c r="RY11" s="49"/>
      <c r="RZ11" s="49"/>
      <c r="SA11" s="49"/>
      <c r="SB11" s="49"/>
      <c r="SC11" s="49"/>
      <c r="SD11" s="49"/>
      <c r="SE11" s="49"/>
      <c r="SF11" s="49"/>
      <c r="SG11" s="49"/>
      <c r="SH11" s="49"/>
      <c r="SI11" s="49"/>
      <c r="SJ11" s="49"/>
      <c r="SK11" s="49"/>
      <c r="SL11" s="49"/>
      <c r="SM11" s="49"/>
      <c r="SN11" s="49"/>
      <c r="SO11" s="49"/>
      <c r="SP11" s="49"/>
      <c r="SQ11" s="49"/>
      <c r="SR11" s="49"/>
      <c r="SS11" s="49"/>
      <c r="ST11" s="49"/>
      <c r="SU11" s="49"/>
      <c r="SV11" s="49"/>
      <c r="SW11" s="49"/>
      <c r="SX11" s="49"/>
      <c r="SY11" s="49"/>
      <c r="SZ11" s="49"/>
      <c r="TA11" s="49"/>
      <c r="TB11" s="49"/>
      <c r="TC11" s="49"/>
      <c r="TD11" s="49"/>
      <c r="TE11" s="49"/>
      <c r="TF11" s="49"/>
      <c r="TG11" s="49"/>
      <c r="TH11" s="49"/>
      <c r="TI11" s="49"/>
      <c r="TJ11" s="49"/>
      <c r="TK11" s="49"/>
      <c r="TL11" s="49"/>
      <c r="TM11" s="49"/>
      <c r="TN11" s="49"/>
      <c r="TO11" s="49"/>
      <c r="TP11" s="49"/>
      <c r="TQ11" s="49"/>
      <c r="TR11" s="49"/>
      <c r="TS11" s="49"/>
      <c r="TT11" s="49"/>
      <c r="TU11" s="49"/>
      <c r="TV11" s="49"/>
      <c r="TW11" s="49"/>
      <c r="TX11" s="49"/>
      <c r="TY11" s="49"/>
      <c r="TZ11" s="49"/>
      <c r="UA11" s="49"/>
      <c r="UB11" s="49"/>
      <c r="UC11" s="49"/>
      <c r="UD11" s="49"/>
      <c r="UE11" s="49"/>
      <c r="UF11" s="49"/>
      <c r="UG11" s="49"/>
      <c r="UH11" s="49"/>
      <c r="UI11" s="49"/>
      <c r="UJ11" s="49"/>
      <c r="UK11" s="49"/>
      <c r="UL11" s="49"/>
      <c r="UM11" s="49"/>
      <c r="UN11" s="49"/>
      <c r="UO11" s="49"/>
      <c r="UP11" s="49"/>
      <c r="UQ11" s="49"/>
      <c r="UR11" s="49"/>
      <c r="US11" s="49"/>
      <c r="UT11" s="49"/>
      <c r="UU11" s="49"/>
      <c r="UV11" s="49"/>
      <c r="UW11" s="49"/>
      <c r="UX11" s="49"/>
      <c r="UY11" s="49"/>
      <c r="UZ11" s="49"/>
      <c r="VA11" s="49"/>
      <c r="VB11" s="49"/>
      <c r="VC11" s="49"/>
      <c r="VD11" s="49"/>
      <c r="VE11" s="49"/>
      <c r="VF11" s="49"/>
      <c r="VG11" s="49"/>
      <c r="VH11" s="49"/>
      <c r="VI11" s="49"/>
      <c r="VJ11" s="49"/>
      <c r="VK11" s="49"/>
      <c r="VL11" s="49"/>
      <c r="VM11" s="49"/>
      <c r="VN11" s="49"/>
      <c r="VO11" s="49"/>
      <c r="VP11" s="49"/>
      <c r="VQ11" s="49"/>
      <c r="VR11" s="49"/>
      <c r="VS11" s="49"/>
      <c r="VT11" s="49"/>
      <c r="VU11" s="49"/>
      <c r="VV11" s="49"/>
      <c r="VW11" s="49"/>
      <c r="VX11" s="49"/>
      <c r="VY11" s="49"/>
      <c r="VZ11" s="49"/>
      <c r="WA11" s="49"/>
      <c r="WB11" s="49"/>
      <c r="WC11" s="49"/>
      <c r="WD11" s="49"/>
      <c r="WE11" s="49"/>
      <c r="WF11" s="49"/>
      <c r="WG11" s="49"/>
      <c r="WH11" s="49"/>
      <c r="WI11" s="49"/>
      <c r="WJ11" s="49"/>
      <c r="WK11" s="49"/>
      <c r="WL11" s="49"/>
      <c r="WM11" s="49"/>
      <c r="WN11" s="49"/>
      <c r="WO11" s="49"/>
      <c r="WP11" s="49"/>
      <c r="WQ11" s="49"/>
      <c r="WR11" s="49"/>
      <c r="WS11" s="49"/>
      <c r="WT11" s="49"/>
      <c r="WU11" s="49"/>
      <c r="WV11" s="49"/>
      <c r="WW11" s="49"/>
      <c r="WX11" s="49"/>
      <c r="WY11" s="49"/>
      <c r="WZ11" s="49"/>
      <c r="XA11" s="49"/>
      <c r="XB11" s="49"/>
      <c r="XC11" s="49"/>
      <c r="XD11" s="49"/>
      <c r="XE11" s="49"/>
      <c r="XF11" s="49"/>
      <c r="XG11" s="49"/>
      <c r="XH11" s="49"/>
      <c r="XI11" s="49"/>
      <c r="XJ11" s="49"/>
      <c r="XK11" s="49"/>
      <c r="XL11" s="49"/>
      <c r="XM11" s="49"/>
      <c r="XN11" s="49"/>
      <c r="XO11" s="49"/>
      <c r="XP11" s="49"/>
      <c r="XQ11" s="49"/>
      <c r="XR11" s="49"/>
      <c r="XS11" s="49"/>
      <c r="XT11" s="49"/>
      <c r="XU11" s="49"/>
      <c r="XV11" s="49"/>
      <c r="XW11" s="49"/>
      <c r="XX11" s="49"/>
      <c r="XY11" s="49"/>
      <c r="XZ11" s="49"/>
      <c r="YA11" s="49"/>
      <c r="YB11" s="49"/>
      <c r="YC11" s="49"/>
      <c r="YD11" s="49"/>
      <c r="YE11" s="49"/>
      <c r="YF11" s="49"/>
      <c r="YG11" s="49"/>
      <c r="YH11" s="49"/>
      <c r="YI11" s="49"/>
      <c r="YJ11" s="49"/>
      <c r="YK11" s="49"/>
      <c r="YL11" s="49"/>
      <c r="YM11" s="49"/>
      <c r="YN11" s="49"/>
      <c r="YO11" s="49"/>
      <c r="YP11" s="49"/>
      <c r="YQ11" s="49"/>
      <c r="YR11" s="49"/>
      <c r="YS11" s="49"/>
      <c r="YT11" s="49"/>
      <c r="YU11" s="49"/>
      <c r="YV11" s="49"/>
      <c r="YW11" s="49"/>
      <c r="YX11" s="49"/>
      <c r="YY11" s="49"/>
      <c r="YZ11" s="49"/>
      <c r="ZA11" s="49"/>
      <c r="ZB11" s="49"/>
      <c r="ZC11" s="49"/>
      <c r="ZD11" s="49"/>
      <c r="ZE11" s="49"/>
      <c r="ZF11" s="49"/>
      <c r="ZG11" s="49"/>
      <c r="ZH11" s="49"/>
      <c r="ZI11" s="49"/>
      <c r="ZJ11" s="49"/>
      <c r="ZK11" s="49"/>
      <c r="ZL11" s="49"/>
      <c r="ZM11" s="49"/>
      <c r="ZN11" s="49"/>
      <c r="ZO11" s="49"/>
      <c r="ZP11" s="49"/>
      <c r="ZQ11" s="49"/>
      <c r="ZR11" s="49"/>
      <c r="ZS11" s="49"/>
      <c r="ZT11" s="49"/>
      <c r="ZU11" s="49"/>
      <c r="ZV11" s="49"/>
      <c r="ZW11" s="49"/>
      <c r="ZX11" s="49"/>
      <c r="ZY11" s="49"/>
      <c r="ZZ11" s="49"/>
      <c r="AAA11" s="49"/>
      <c r="AAB11" s="49"/>
      <c r="AAC11" s="49"/>
      <c r="AAD11" s="49"/>
      <c r="AAE11" s="49"/>
      <c r="AAF11" s="49"/>
      <c r="AAG11" s="49"/>
      <c r="AAH11" s="49"/>
      <c r="AAI11" s="49"/>
      <c r="AAJ11" s="49"/>
      <c r="AAK11" s="49"/>
      <c r="AAL11" s="49"/>
      <c r="AAM11" s="49"/>
      <c r="AAN11" s="49"/>
      <c r="AAO11" s="49"/>
      <c r="AAP11" s="49"/>
      <c r="AAQ11" s="49"/>
      <c r="AAR11" s="49"/>
      <c r="AAS11" s="49"/>
      <c r="AAT11" s="49"/>
      <c r="AAU11" s="49"/>
      <c r="AAV11" s="49"/>
      <c r="AAW11" s="49"/>
      <c r="AAX11" s="49"/>
      <c r="AAY11" s="49"/>
      <c r="AAZ11" s="49"/>
      <c r="ABA11" s="49"/>
      <c r="ABB11" s="49"/>
      <c r="ABC11" s="49"/>
      <c r="ABD11" s="49"/>
      <c r="ABE11" s="49"/>
      <c r="ABF11" s="49"/>
      <c r="ABG11" s="49"/>
      <c r="ABH11" s="49"/>
      <c r="ABI11" s="49"/>
      <c r="ABJ11" s="49"/>
      <c r="ABK11" s="49"/>
      <c r="ABL11" s="49"/>
      <c r="ABM11" s="49"/>
      <c r="ABN11" s="49"/>
      <c r="ABO11" s="49"/>
      <c r="ABP11" s="49"/>
      <c r="ABQ11" s="49"/>
      <c r="ABR11" s="49"/>
      <c r="ABS11" s="49"/>
      <c r="ABT11" s="49"/>
      <c r="ABU11" s="49"/>
      <c r="ABV11" s="49"/>
      <c r="ABW11" s="49"/>
      <c r="ABX11" s="49"/>
      <c r="ABY11" s="49"/>
      <c r="ABZ11" s="49"/>
      <c r="ACA11" s="49"/>
      <c r="ACB11" s="49"/>
      <c r="ACC11" s="49"/>
      <c r="ACD11" s="49"/>
      <c r="ACE11" s="49"/>
      <c r="ACF11" s="49"/>
      <c r="ACG11" s="49"/>
      <c r="ACH11" s="49"/>
      <c r="ACI11" s="49"/>
      <c r="ACJ11" s="49"/>
      <c r="ACK11" s="49"/>
      <c r="ACL11" s="49"/>
      <c r="ACM11" s="49"/>
      <c r="ACN11" s="49"/>
      <c r="ACO11" s="49"/>
      <c r="ACP11" s="49"/>
      <c r="ACQ11" s="49"/>
      <c r="ACR11" s="49"/>
      <c r="ACS11" s="49"/>
      <c r="ACT11" s="49"/>
      <c r="ACU11" s="49"/>
      <c r="ACV11" s="49"/>
      <c r="ACW11" s="49"/>
      <c r="ACX11" s="49"/>
      <c r="ACY11" s="49"/>
      <c r="ACZ11" s="49"/>
      <c r="ADA11" s="49"/>
      <c r="ADB11" s="49"/>
      <c r="ADC11" s="49"/>
      <c r="ADD11" s="49"/>
      <c r="ADE11" s="49"/>
      <c r="ADF11" s="49"/>
      <c r="ADG11" s="49"/>
      <c r="ADH11" s="49"/>
      <c r="ADI11" s="49"/>
      <c r="ADJ11" s="49"/>
      <c r="ADK11" s="49"/>
      <c r="ADL11" s="49"/>
      <c r="ADM11" s="49"/>
      <c r="ADN11" s="49"/>
      <c r="ADO11" s="49"/>
      <c r="ADP11" s="49"/>
      <c r="ADQ11" s="49"/>
      <c r="ADR11" s="49"/>
      <c r="ADS11" s="49"/>
      <c r="ADT11" s="49"/>
      <c r="ADU11" s="49"/>
      <c r="ADV11" s="49"/>
      <c r="ADW11" s="49"/>
      <c r="ADX11" s="49"/>
      <c r="ADY11" s="49"/>
      <c r="ADZ11" s="49"/>
      <c r="AEA11" s="49"/>
      <c r="AEB11" s="49"/>
      <c r="AEC11" s="49"/>
      <c r="AED11" s="49"/>
      <c r="AEE11" s="49"/>
      <c r="AEF11" s="49"/>
      <c r="AEG11" s="49"/>
      <c r="AEH11" s="49"/>
      <c r="AEI11" s="49"/>
      <c r="AEJ11" s="49"/>
      <c r="AEK11" s="49"/>
      <c r="AEL11" s="49"/>
      <c r="AEM11" s="49"/>
      <c r="AEN11" s="49"/>
      <c r="AEO11" s="49"/>
      <c r="AEP11" s="49"/>
      <c r="AEQ11" s="49"/>
      <c r="AER11" s="49"/>
      <c r="AES11" s="49"/>
      <c r="AET11" s="49"/>
      <c r="AEU11" s="49"/>
      <c r="AEV11" s="49"/>
      <c r="AEW11" s="49"/>
      <c r="AEX11" s="49"/>
      <c r="AEY11" s="49"/>
      <c r="AEZ11" s="49"/>
      <c r="AFA11" s="49"/>
      <c r="AFB11" s="49"/>
      <c r="AFC11" s="49"/>
      <c r="AFD11" s="49"/>
      <c r="AFE11" s="49"/>
      <c r="AFF11" s="49"/>
      <c r="AFG11" s="49"/>
      <c r="AFH11" s="49"/>
      <c r="AFI11" s="49"/>
      <c r="AFJ11" s="49"/>
      <c r="AFK11" s="49"/>
      <c r="AFL11" s="49"/>
      <c r="AFM11" s="49"/>
      <c r="AFN11" s="49"/>
      <c r="AFO11" s="49"/>
      <c r="AFP11" s="49"/>
      <c r="AFQ11" s="49"/>
      <c r="AFR11" s="49"/>
      <c r="AFS11" s="49"/>
      <c r="AFT11" s="49"/>
      <c r="AFU11" s="49"/>
      <c r="AFV11" s="49"/>
      <c r="AFW11" s="49"/>
      <c r="AFX11" s="49"/>
      <c r="AFY11" s="49"/>
      <c r="AFZ11" s="49"/>
      <c r="AGA11" s="49"/>
      <c r="AGB11" s="49"/>
      <c r="AGC11" s="49"/>
      <c r="AGD11" s="49"/>
      <c r="AGE11" s="49"/>
      <c r="AGF11" s="49"/>
      <c r="AGG11" s="49"/>
      <c r="AGH11" s="49"/>
      <c r="AGI11" s="49"/>
      <c r="AGJ11" s="49"/>
      <c r="AGK11" s="49"/>
      <c r="AGL11" s="49"/>
      <c r="AGM11" s="49"/>
      <c r="AGN11" s="49"/>
      <c r="AGO11" s="49"/>
      <c r="AGP11" s="49"/>
      <c r="AGQ11" s="49"/>
      <c r="AGR11" s="49"/>
      <c r="AGS11" s="49"/>
      <c r="AGT11" s="49"/>
      <c r="AGU11" s="49"/>
      <c r="AGV11" s="49"/>
      <c r="AGW11" s="49"/>
      <c r="AGX11" s="49"/>
      <c r="AGY11" s="49"/>
      <c r="AGZ11" s="49"/>
      <c r="AHA11" s="49"/>
      <c r="AHB11" s="49"/>
      <c r="AHC11" s="49"/>
      <c r="AHD11" s="49"/>
      <c r="AHE11" s="49"/>
      <c r="AHF11" s="49"/>
      <c r="AHG11" s="49"/>
      <c r="AHH11" s="49"/>
      <c r="AHI11" s="49"/>
      <c r="AHJ11" s="49"/>
      <c r="AHK11" s="49"/>
      <c r="AHL11" s="49"/>
      <c r="AHM11" s="49"/>
      <c r="AHN11" s="49"/>
      <c r="AHO11" s="49"/>
      <c r="AHP11" s="49"/>
      <c r="AHQ11" s="49"/>
      <c r="AHR11" s="49"/>
      <c r="AHS11" s="49"/>
      <c r="AHT11" s="49"/>
      <c r="AHU11" s="49"/>
      <c r="AHV11" s="49"/>
      <c r="AHW11" s="49"/>
      <c r="AHX11" s="49"/>
      <c r="AHY11" s="49"/>
      <c r="AHZ11" s="49"/>
      <c r="AIA11" s="49"/>
      <c r="AIB11" s="49"/>
      <c r="AIC11" s="49"/>
      <c r="AID11" s="49"/>
      <c r="AIE11" s="49"/>
      <c r="AIF11" s="49"/>
      <c r="AIG11" s="49"/>
      <c r="AIH11" s="49"/>
      <c r="AII11" s="49"/>
      <c r="AIJ11" s="49"/>
      <c r="AIK11" s="49"/>
      <c r="AIL11" s="49"/>
      <c r="AIM11" s="49"/>
      <c r="AIN11" s="49"/>
      <c r="AIO11" s="49"/>
      <c r="AIP11" s="49"/>
      <c r="AIQ11" s="49"/>
      <c r="AIR11" s="49"/>
      <c r="AIS11" s="49"/>
      <c r="AIT11" s="49"/>
      <c r="AIU11" s="49"/>
      <c r="AIV11" s="49"/>
      <c r="AIW11" s="49"/>
      <c r="AIX11" s="49"/>
      <c r="AIY11" s="49"/>
      <c r="AIZ11" s="49"/>
      <c r="AJA11" s="49"/>
      <c r="AJB11" s="49"/>
      <c r="AJC11" s="49"/>
      <c r="AJD11" s="49"/>
      <c r="AJE11" s="49"/>
      <c r="AJF11" s="49"/>
      <c r="AJG11" s="49"/>
      <c r="AJH11" s="49"/>
      <c r="AJI11" s="49"/>
      <c r="AJJ11" s="49"/>
      <c r="AJK11" s="49"/>
      <c r="AJL11" s="49"/>
      <c r="AJM11" s="49"/>
      <c r="AJN11" s="49"/>
      <c r="AJO11" s="49"/>
      <c r="AJP11" s="49"/>
      <c r="AJQ11" s="49"/>
      <c r="AJR11" s="49"/>
      <c r="AJS11" s="49"/>
      <c r="AJT11" s="49"/>
      <c r="AJU11" s="49"/>
      <c r="AJV11" s="49"/>
      <c r="AJW11" s="49"/>
      <c r="AJX11" s="49"/>
      <c r="AJY11" s="49"/>
      <c r="AJZ11" s="49"/>
      <c r="AKA11" s="49"/>
      <c r="AKB11" s="49"/>
      <c r="AKC11" s="49"/>
      <c r="AKD11" s="49"/>
      <c r="AKE11" s="49"/>
      <c r="AKF11" s="49"/>
      <c r="AKG11" s="49"/>
      <c r="AKH11" s="49"/>
      <c r="AKI11" s="49"/>
      <c r="AKJ11" s="49"/>
      <c r="AKK11" s="49"/>
      <c r="AKL11" s="49"/>
      <c r="AKM11" s="49"/>
      <c r="AKN11" s="49"/>
      <c r="AKO11" s="49"/>
      <c r="AKP11" s="49"/>
      <c r="AKQ11" s="49"/>
      <c r="AKR11" s="49"/>
      <c r="AKS11" s="49"/>
      <c r="AKT11" s="49"/>
      <c r="AKU11" s="49"/>
      <c r="AKV11" s="49"/>
      <c r="AKW11" s="49"/>
      <c r="AKX11" s="49"/>
      <c r="AKY11" s="49"/>
      <c r="AKZ11" s="49"/>
      <c r="ALA11" s="49"/>
      <c r="ALB11" s="49"/>
      <c r="ALC11" s="49"/>
      <c r="ALD11" s="49"/>
      <c r="ALE11" s="49"/>
      <c r="ALF11" s="49"/>
      <c r="ALG11" s="49"/>
      <c r="ALH11" s="49"/>
      <c r="ALI11" s="49"/>
      <c r="ALJ11" s="49"/>
      <c r="ALK11" s="49"/>
      <c r="ALL11" s="49"/>
      <c r="ALM11" s="49"/>
      <c r="ALN11" s="49"/>
      <c r="ALO11" s="49"/>
      <c r="ALP11" s="49"/>
      <c r="ALQ11" s="49"/>
      <c r="ALR11" s="49"/>
      <c r="ALS11" s="49"/>
      <c r="ALT11" s="49"/>
      <c r="ALU11" s="49"/>
      <c r="ALV11" s="49"/>
      <c r="ALW11" s="49"/>
      <c r="ALX11" s="49"/>
      <c r="ALY11" s="49"/>
      <c r="ALZ11" s="49"/>
      <c r="AMA11" s="49"/>
      <c r="AMB11" s="49"/>
      <c r="AMC11" s="49"/>
      <c r="AMD11" s="49"/>
      <c r="AME11" s="49"/>
      <c r="AMF11" s="49"/>
      <c r="AMG11" s="49"/>
      <c r="AMH11" s="49"/>
      <c r="AMI11" s="49"/>
      <c r="AMJ11" s="49"/>
      <c r="AMK11" s="49"/>
      <c r="AML11" s="49"/>
      <c r="AMM11" s="49"/>
      <c r="AMN11" s="49"/>
      <c r="AMO11" s="49"/>
      <c r="AMP11" s="49"/>
      <c r="AMQ11" s="49"/>
      <c r="AMR11" s="49"/>
      <c r="AMS11" s="49"/>
      <c r="AMT11" s="49"/>
      <c r="AMU11" s="49"/>
      <c r="AMV11" s="49"/>
      <c r="AMW11" s="49"/>
      <c r="AMX11" s="49"/>
      <c r="AMY11" s="49"/>
      <c r="AMZ11" s="49"/>
      <c r="ANA11" s="49"/>
      <c r="ANB11" s="49"/>
      <c r="ANC11" s="49"/>
      <c r="AND11" s="49"/>
      <c r="ANE11" s="49"/>
      <c r="ANF11" s="49"/>
      <c r="ANG11" s="49"/>
      <c r="ANH11" s="49"/>
      <c r="ANI11" s="49"/>
      <c r="ANJ11" s="49"/>
      <c r="ANK11" s="49"/>
      <c r="ANL11" s="49"/>
      <c r="ANM11" s="49"/>
      <c r="ANN11" s="49"/>
      <c r="ANO11" s="49"/>
      <c r="ANP11" s="49"/>
      <c r="ANQ11" s="49"/>
      <c r="ANR11" s="49"/>
      <c r="ANS11" s="49"/>
      <c r="ANT11" s="49"/>
      <c r="ANU11" s="49"/>
      <c r="ANV11" s="49"/>
      <c r="ANW11" s="49"/>
      <c r="ANX11" s="49"/>
      <c r="ANY11" s="49"/>
      <c r="ANZ11" s="49"/>
      <c r="AOA11" s="49"/>
      <c r="AOB11" s="49"/>
      <c r="AOC11" s="49"/>
      <c r="AOD11" s="49"/>
      <c r="AOE11" s="49"/>
      <c r="AOF11" s="49"/>
      <c r="AOG11" s="49"/>
      <c r="AOH11" s="49"/>
      <c r="AOI11" s="49"/>
      <c r="AOJ11" s="49"/>
      <c r="AOK11" s="49"/>
      <c r="AOL11" s="49"/>
      <c r="AOM11" s="49"/>
      <c r="AON11" s="49"/>
      <c r="AOO11" s="49"/>
      <c r="AOP11" s="49"/>
      <c r="AOQ11" s="49"/>
      <c r="AOR11" s="49"/>
      <c r="AOS11" s="49"/>
      <c r="AOT11" s="49"/>
      <c r="AOU11" s="49"/>
      <c r="AOV11" s="49"/>
      <c r="AOW11" s="49"/>
      <c r="AOX11" s="49"/>
      <c r="AOY11" s="49"/>
      <c r="AOZ11" s="49"/>
      <c r="APA11" s="49"/>
      <c r="APB11" s="49"/>
      <c r="APC11" s="49"/>
      <c r="APD11" s="49"/>
      <c r="APE11" s="49"/>
      <c r="APF11" s="49"/>
      <c r="APG11" s="49"/>
      <c r="APH11" s="49"/>
      <c r="API11" s="49"/>
      <c r="APJ11" s="49"/>
      <c r="APK11" s="49"/>
      <c r="APL11" s="49"/>
      <c r="APM11" s="49"/>
      <c r="APN11" s="49"/>
      <c r="APO11" s="49"/>
      <c r="APP11" s="49"/>
      <c r="APQ11" s="49"/>
      <c r="APR11" s="49"/>
      <c r="APS11" s="49"/>
      <c r="APT11" s="49"/>
      <c r="APU11" s="49"/>
      <c r="APV11" s="49"/>
      <c r="APW11" s="49"/>
      <c r="APX11" s="49"/>
      <c r="APY11" s="49"/>
      <c r="APZ11" s="49"/>
      <c r="AQA11" s="49"/>
      <c r="AQB11" s="49"/>
      <c r="AQC11" s="49"/>
      <c r="AQD11" s="49"/>
      <c r="AQE11" s="49"/>
      <c r="AQF11" s="49"/>
      <c r="AQG11" s="49"/>
      <c r="AQH11" s="49"/>
      <c r="AQI11" s="49"/>
      <c r="AQJ11" s="49"/>
      <c r="AQK11" s="49"/>
      <c r="AQL11" s="49"/>
      <c r="AQM11" s="49"/>
      <c r="AQN11" s="49"/>
      <c r="AQO11" s="49"/>
      <c r="AQP11" s="49"/>
      <c r="AQQ11" s="49"/>
      <c r="AQR11" s="49"/>
      <c r="AQS11" s="49"/>
      <c r="AQT11" s="49"/>
      <c r="AQU11" s="49"/>
      <c r="AQV11" s="49"/>
      <c r="AQW11" s="49"/>
      <c r="AQX11" s="49"/>
      <c r="AQY11" s="49"/>
      <c r="AQZ11" s="49"/>
      <c r="ARA11" s="49"/>
      <c r="ARB11" s="49"/>
      <c r="ARC11" s="49"/>
      <c r="ARD11" s="49"/>
      <c r="ARE11" s="49"/>
      <c r="ARF11" s="49"/>
      <c r="ARG11" s="49"/>
      <c r="ARH11" s="49"/>
      <c r="ARI11" s="49"/>
      <c r="ARJ11" s="49"/>
      <c r="ARK11" s="49"/>
      <c r="ARL11" s="49"/>
      <c r="ARM11" s="49"/>
      <c r="ARN11" s="49"/>
      <c r="ARO11" s="49"/>
      <c r="ARP11" s="49"/>
      <c r="ARQ11" s="49"/>
      <c r="ARR11" s="49"/>
      <c r="ARS11" s="49"/>
      <c r="ART11" s="49"/>
      <c r="ARU11" s="49"/>
      <c r="ARV11" s="49"/>
      <c r="ARW11" s="49"/>
      <c r="ARX11" s="49"/>
      <c r="ARY11" s="49"/>
      <c r="ARZ11" s="49"/>
      <c r="ASA11" s="49"/>
      <c r="ASB11" s="49"/>
      <c r="ASC11" s="49"/>
      <c r="ASD11" s="49"/>
      <c r="ASE11" s="49"/>
      <c r="ASF11" s="49"/>
      <c r="ASG11" s="49"/>
      <c r="ASH11" s="49"/>
      <c r="ASI11" s="49"/>
      <c r="ASJ11" s="49"/>
      <c r="ASK11" s="49"/>
      <c r="ASL11" s="49"/>
      <c r="ASM11" s="49"/>
      <c r="ASN11" s="49"/>
      <c r="ASO11" s="49"/>
      <c r="ASP11" s="49"/>
      <c r="ASQ11" s="49"/>
      <c r="ASR11" s="49"/>
      <c r="ASS11" s="49"/>
      <c r="AST11" s="49"/>
      <c r="ASU11" s="49"/>
      <c r="ASV11" s="49"/>
      <c r="ASW11" s="49"/>
      <c r="ASX11" s="49"/>
      <c r="ASY11" s="49"/>
      <c r="ASZ11" s="49"/>
      <c r="ATA11" s="49"/>
      <c r="ATB11" s="49"/>
      <c r="ATC11" s="49"/>
      <c r="ATD11" s="49"/>
      <c r="ATE11" s="49"/>
      <c r="ATF11" s="49"/>
      <c r="ATG11" s="49"/>
      <c r="ATH11" s="49"/>
      <c r="ATI11" s="49"/>
      <c r="ATJ11" s="49"/>
      <c r="ATK11" s="49"/>
      <c r="ATL11" s="49"/>
      <c r="ATM11" s="49"/>
      <c r="ATN11" s="49"/>
      <c r="ATO11" s="49"/>
      <c r="ATP11" s="49"/>
      <c r="ATQ11" s="49"/>
      <c r="ATR11" s="49"/>
      <c r="ATS11" s="49"/>
      <c r="ATT11" s="49"/>
      <c r="ATU11" s="49"/>
      <c r="ATV11" s="49"/>
      <c r="ATW11" s="49"/>
      <c r="ATX11" s="49"/>
      <c r="ATY11" s="49"/>
      <c r="ATZ11" s="49"/>
      <c r="AUA11" s="49"/>
      <c r="AUB11" s="49"/>
      <c r="AUC11" s="49"/>
      <c r="AUD11" s="49"/>
      <c r="AUE11" s="49"/>
      <c r="AUF11" s="49"/>
      <c r="AUG11" s="49"/>
      <c r="AUH11" s="49"/>
      <c r="AUI11" s="49"/>
      <c r="AUJ11" s="49"/>
      <c r="AUK11" s="49"/>
      <c r="AUL11" s="49"/>
      <c r="AUM11" s="49"/>
      <c r="AUN11" s="49"/>
      <c r="AUO11" s="49"/>
      <c r="AUP11" s="49"/>
      <c r="AUQ11" s="49"/>
      <c r="AUR11" s="49"/>
      <c r="AUS11" s="49"/>
      <c r="AUT11" s="49"/>
      <c r="AUU11" s="49"/>
      <c r="AUV11" s="49"/>
      <c r="AUW11" s="49"/>
      <c r="AUX11" s="49"/>
      <c r="AUY11" s="49"/>
      <c r="AUZ11" s="49"/>
      <c r="AVA11" s="49"/>
      <c r="AVB11" s="49"/>
      <c r="AVC11" s="49"/>
      <c r="AVD11" s="49"/>
      <c r="AVE11" s="49"/>
      <c r="AVF11" s="49"/>
      <c r="AVG11" s="49"/>
      <c r="AVH11" s="49"/>
      <c r="AVI11" s="49"/>
      <c r="AVJ11" s="49"/>
      <c r="AVK11" s="49"/>
      <c r="AVL11" s="49"/>
      <c r="AVM11" s="49"/>
      <c r="AVN11" s="49"/>
      <c r="AVO11" s="49"/>
      <c r="AVP11" s="49"/>
      <c r="AVQ11" s="49"/>
      <c r="AVR11" s="49"/>
      <c r="AVS11" s="49"/>
      <c r="AVT11" s="49"/>
      <c r="AVU11" s="49"/>
      <c r="AVV11" s="49"/>
      <c r="AVW11" s="49"/>
      <c r="AVX11" s="49"/>
      <c r="AVY11" s="49"/>
      <c r="AVZ11" s="49"/>
      <c r="AWA11" s="49"/>
      <c r="AWB11" s="49"/>
      <c r="AWC11" s="49"/>
      <c r="AWD11" s="49"/>
      <c r="AWE11" s="49"/>
      <c r="AWF11" s="49"/>
      <c r="AWG11" s="49"/>
      <c r="AWH11" s="49"/>
      <c r="AWI11" s="49"/>
      <c r="AWJ11" s="49"/>
      <c r="AWK11" s="49"/>
      <c r="AWL11" s="49"/>
      <c r="AWM11" s="49"/>
      <c r="AWN11" s="49"/>
      <c r="AWO11" s="49"/>
      <c r="AWP11" s="49"/>
      <c r="AWQ11" s="49"/>
      <c r="AWR11" s="49"/>
      <c r="AWS11" s="49"/>
      <c r="AWT11" s="49"/>
      <c r="AWU11" s="49"/>
      <c r="AWV11" s="49"/>
      <c r="AWW11" s="49"/>
      <c r="AWX11" s="49"/>
      <c r="AWY11" s="49"/>
      <c r="AWZ11" s="49"/>
      <c r="AXA11" s="49"/>
      <c r="AXB11" s="49"/>
      <c r="AXC11" s="49"/>
      <c r="AXD11" s="49"/>
      <c r="AXE11" s="49"/>
      <c r="AXF11" s="49"/>
      <c r="AXG11" s="49"/>
      <c r="AXH11" s="49"/>
      <c r="AXI11" s="49"/>
      <c r="AXJ11" s="49"/>
      <c r="AXK11" s="49"/>
      <c r="AXL11" s="49"/>
      <c r="AXM11" s="49"/>
      <c r="AXN11" s="49"/>
      <c r="AXO11" s="49"/>
      <c r="AXP11" s="49"/>
      <c r="AXQ11" s="49"/>
      <c r="AXR11" s="49"/>
      <c r="AXS11" s="49"/>
      <c r="AXT11" s="49"/>
      <c r="AXU11" s="49"/>
      <c r="AXV11" s="49"/>
      <c r="AXW11" s="49"/>
      <c r="AXX11" s="49"/>
      <c r="AXY11" s="49"/>
      <c r="AXZ11" s="49"/>
      <c r="AYA11" s="49"/>
      <c r="AYB11" s="49"/>
      <c r="AYC11" s="49"/>
      <c r="AYD11" s="49"/>
      <c r="AYE11" s="49"/>
      <c r="AYF11" s="49"/>
      <c r="AYG11" s="49"/>
      <c r="AYH11" s="49"/>
      <c r="AYI11" s="49"/>
      <c r="AYJ11" s="49"/>
      <c r="AYK11" s="49"/>
      <c r="AYL11" s="49"/>
      <c r="AYM11" s="49"/>
      <c r="AYN11" s="49"/>
      <c r="AYO11" s="49"/>
      <c r="AYP11" s="49"/>
      <c r="AYQ11" s="49"/>
      <c r="AYR11" s="49"/>
      <c r="AYS11" s="49"/>
      <c r="AYT11" s="49"/>
      <c r="AYU11" s="49"/>
      <c r="AYV11" s="49"/>
      <c r="AYW11" s="49"/>
      <c r="AYX11" s="49"/>
      <c r="AYY11" s="49"/>
      <c r="AYZ11" s="49"/>
      <c r="AZA11" s="49"/>
      <c r="AZB11" s="49"/>
      <c r="AZC11" s="49"/>
      <c r="AZD11" s="49"/>
      <c r="AZE11" s="49"/>
      <c r="AZF11" s="49"/>
      <c r="AZG11" s="49"/>
      <c r="AZH11" s="49"/>
      <c r="AZI11" s="49"/>
      <c r="AZJ11" s="49"/>
      <c r="AZK11" s="49"/>
      <c r="AZL11" s="49"/>
      <c r="AZM11" s="49"/>
      <c r="AZN11" s="49"/>
      <c r="AZO11" s="49"/>
      <c r="AZP11" s="49"/>
      <c r="AZQ11" s="49"/>
      <c r="AZR11" s="49"/>
      <c r="AZS11" s="49"/>
      <c r="AZT11" s="49"/>
      <c r="AZU11" s="49"/>
      <c r="AZV11" s="49"/>
      <c r="AZW11" s="49"/>
      <c r="AZX11" s="49"/>
      <c r="AZY11" s="49"/>
      <c r="AZZ11" s="49"/>
      <c r="BAA11" s="49"/>
      <c r="BAB11" s="49"/>
      <c r="BAC11" s="49"/>
      <c r="BAD11" s="49"/>
      <c r="BAE11" s="49"/>
      <c r="BAF11" s="49"/>
      <c r="BAG11" s="49"/>
      <c r="BAH11" s="49"/>
      <c r="BAI11" s="49"/>
      <c r="BAJ11" s="49"/>
      <c r="BAK11" s="49"/>
      <c r="BAL11" s="49"/>
      <c r="BAM11" s="49"/>
      <c r="BAN11" s="49"/>
      <c r="BAO11" s="49"/>
      <c r="BAP11" s="49"/>
      <c r="BAQ11" s="49"/>
      <c r="BAR11" s="49"/>
      <c r="BAS11" s="49"/>
      <c r="BAT11" s="49"/>
      <c r="BAU11" s="49"/>
      <c r="BAV11" s="49"/>
      <c r="BAW11" s="49"/>
      <c r="BAX11" s="49"/>
      <c r="BAY11" s="49"/>
      <c r="BAZ11" s="49"/>
      <c r="BBA11" s="49"/>
      <c r="BBB11" s="49"/>
      <c r="BBC11" s="49"/>
      <c r="BBD11" s="49"/>
      <c r="BBE11" s="49"/>
      <c r="BBF11" s="49"/>
      <c r="BBG11" s="49"/>
      <c r="BBH11" s="49"/>
      <c r="BBI11" s="49"/>
      <c r="BBJ11" s="49"/>
      <c r="BBK11" s="49"/>
      <c r="BBL11" s="49"/>
      <c r="BBM11" s="49"/>
      <c r="BBN11" s="49"/>
      <c r="BBO11" s="49"/>
      <c r="BBP11" s="49"/>
      <c r="BBQ11" s="49"/>
      <c r="BBR11" s="49"/>
      <c r="BBS11" s="49"/>
      <c r="BBT11" s="49"/>
      <c r="BBU11" s="49"/>
      <c r="BBV11" s="49"/>
      <c r="BBW11" s="49"/>
      <c r="BBX11" s="49"/>
      <c r="BBY11" s="49"/>
      <c r="BBZ11" s="49"/>
      <c r="BCA11" s="49"/>
      <c r="BCB11" s="49"/>
      <c r="BCC11" s="49"/>
      <c r="BCD11" s="49"/>
      <c r="BCE11" s="49"/>
      <c r="BCF11" s="49"/>
      <c r="BCG11" s="49"/>
      <c r="BCH11" s="49"/>
      <c r="BCI11" s="49"/>
      <c r="BCJ11" s="49"/>
      <c r="BCK11" s="49"/>
      <c r="BCL11" s="49"/>
      <c r="BCM11" s="49"/>
      <c r="BCN11" s="49"/>
    </row>
    <row r="12" spans="1:1444" s="47" customFormat="1">
      <c r="A12" s="52"/>
      <c r="B12" s="94">
        <v>45755</v>
      </c>
      <c r="C12" s="94" t="s">
        <v>193</v>
      </c>
      <c r="D12" s="95">
        <v>46</v>
      </c>
      <c r="E12" s="95">
        <v>93.554999999993015</v>
      </c>
      <c r="F12" s="95">
        <v>0</v>
      </c>
      <c r="G12" s="95">
        <v>8.5100000000020373</v>
      </c>
      <c r="H12" s="95">
        <v>26</v>
      </c>
      <c r="I12" s="95">
        <v>38</v>
      </c>
      <c r="J12" s="95">
        <v>1021.3499999999999</v>
      </c>
      <c r="K12" s="95">
        <v>1031.7776999996222</v>
      </c>
      <c r="L12" s="95">
        <v>0</v>
      </c>
      <c r="M12" s="155">
        <v>0</v>
      </c>
      <c r="N12" s="141">
        <f>'units overall'!O12</f>
        <v>2278.1926999996172</v>
      </c>
      <c r="O12" s="230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N12" s="49"/>
      <c r="IO12" s="49"/>
      <c r="IP12" s="49"/>
      <c r="IQ12" s="49"/>
      <c r="IR12" s="49"/>
      <c r="IS12" s="49"/>
      <c r="IT12" s="49"/>
      <c r="IU12" s="49"/>
      <c r="IV12" s="49"/>
      <c r="IW12" s="49"/>
      <c r="IX12" s="49"/>
      <c r="IY12" s="49"/>
      <c r="IZ12" s="49"/>
      <c r="JA12" s="49"/>
      <c r="JB12" s="49"/>
      <c r="JC12" s="49"/>
      <c r="JD12" s="49"/>
      <c r="JE12" s="49"/>
      <c r="JF12" s="49"/>
      <c r="JG12" s="49"/>
      <c r="JH12" s="49"/>
      <c r="JI12" s="49"/>
      <c r="JJ12" s="49"/>
      <c r="JK12" s="49"/>
      <c r="JL12" s="49"/>
      <c r="JM12" s="49"/>
      <c r="JN12" s="49"/>
      <c r="JO12" s="49"/>
      <c r="JP12" s="49"/>
      <c r="JQ12" s="49"/>
      <c r="JR12" s="49"/>
      <c r="JS12" s="49"/>
      <c r="JT12" s="49"/>
      <c r="JU12" s="49"/>
      <c r="JV12" s="49"/>
      <c r="JW12" s="49"/>
      <c r="JX12" s="49"/>
      <c r="JY12" s="49"/>
      <c r="JZ12" s="49"/>
      <c r="KA12" s="49"/>
      <c r="KB12" s="49"/>
      <c r="KC12" s="49"/>
      <c r="KD12" s="49"/>
      <c r="KE12" s="49"/>
      <c r="KF12" s="49"/>
      <c r="KG12" s="49"/>
      <c r="KH12" s="49"/>
      <c r="KI12" s="49"/>
      <c r="KJ12" s="49"/>
      <c r="KK12" s="49"/>
      <c r="KL12" s="49"/>
      <c r="KM12" s="49"/>
      <c r="KN12" s="49"/>
      <c r="KO12" s="49"/>
      <c r="KP12" s="49"/>
      <c r="KQ12" s="49"/>
      <c r="KR12" s="49"/>
      <c r="KS12" s="49"/>
      <c r="KT12" s="49"/>
      <c r="KU12" s="49"/>
      <c r="KV12" s="49"/>
      <c r="KW12" s="49"/>
      <c r="KX12" s="49"/>
      <c r="KY12" s="49"/>
      <c r="KZ12" s="49"/>
      <c r="LA12" s="49"/>
      <c r="LB12" s="49"/>
      <c r="LC12" s="49"/>
      <c r="LD12" s="49"/>
      <c r="LE12" s="49"/>
      <c r="LF12" s="49"/>
      <c r="LG12" s="49"/>
      <c r="LH12" s="49"/>
      <c r="LI12" s="49"/>
      <c r="LJ12" s="49"/>
      <c r="LK12" s="49"/>
      <c r="LL12" s="49"/>
      <c r="LM12" s="49"/>
      <c r="LN12" s="49"/>
      <c r="LO12" s="49"/>
      <c r="LP12" s="49"/>
      <c r="LQ12" s="49"/>
      <c r="LR12" s="49"/>
      <c r="LS12" s="49"/>
      <c r="LT12" s="49"/>
      <c r="LU12" s="49"/>
      <c r="LV12" s="49"/>
      <c r="LW12" s="49"/>
      <c r="LX12" s="49"/>
      <c r="LY12" s="49"/>
      <c r="LZ12" s="49"/>
      <c r="MA12" s="49"/>
      <c r="MB12" s="49"/>
      <c r="MC12" s="49"/>
      <c r="MD12" s="49"/>
      <c r="ME12" s="49"/>
      <c r="MF12" s="49"/>
      <c r="MG12" s="49"/>
      <c r="MH12" s="49"/>
      <c r="MI12" s="49"/>
      <c r="MJ12" s="49"/>
      <c r="MK12" s="49"/>
      <c r="ML12" s="49"/>
      <c r="MM12" s="49"/>
      <c r="MN12" s="49"/>
      <c r="MO12" s="49"/>
      <c r="MP12" s="49"/>
      <c r="MQ12" s="49"/>
      <c r="MR12" s="49"/>
      <c r="MS12" s="49"/>
      <c r="MT12" s="49"/>
      <c r="MU12" s="49"/>
      <c r="MV12" s="49"/>
      <c r="MW12" s="49"/>
      <c r="MX12" s="49"/>
      <c r="MY12" s="49"/>
      <c r="MZ12" s="49"/>
      <c r="NA12" s="49"/>
      <c r="NB12" s="49"/>
      <c r="NC12" s="49"/>
      <c r="ND12" s="49"/>
      <c r="NE12" s="49"/>
      <c r="NF12" s="49"/>
      <c r="NG12" s="49"/>
      <c r="NH12" s="49"/>
      <c r="NI12" s="49"/>
      <c r="NJ12" s="49"/>
      <c r="NK12" s="49"/>
      <c r="NL12" s="49"/>
      <c r="NM12" s="49"/>
      <c r="NN12" s="49"/>
      <c r="NO12" s="49"/>
      <c r="NP12" s="49"/>
      <c r="NQ12" s="49"/>
      <c r="NR12" s="49"/>
      <c r="NS12" s="49"/>
      <c r="NT12" s="49"/>
      <c r="NU12" s="49"/>
      <c r="NV12" s="49"/>
      <c r="NW12" s="49"/>
      <c r="NX12" s="49"/>
      <c r="NY12" s="49"/>
      <c r="NZ12" s="49"/>
      <c r="OA12" s="49"/>
      <c r="OB12" s="49"/>
      <c r="OC12" s="49"/>
      <c r="OD12" s="49"/>
      <c r="OE12" s="49"/>
      <c r="OF12" s="49"/>
      <c r="OG12" s="49"/>
      <c r="OH12" s="49"/>
      <c r="OI12" s="49"/>
      <c r="OJ12" s="49"/>
      <c r="OK12" s="49"/>
      <c r="OL12" s="49"/>
      <c r="OM12" s="49"/>
      <c r="ON12" s="49"/>
      <c r="OO12" s="49"/>
      <c r="OP12" s="49"/>
      <c r="OQ12" s="49"/>
      <c r="OR12" s="49"/>
      <c r="OS12" s="49"/>
      <c r="OT12" s="49"/>
      <c r="OU12" s="49"/>
      <c r="OV12" s="49"/>
      <c r="OW12" s="49"/>
      <c r="OX12" s="49"/>
      <c r="OY12" s="49"/>
      <c r="OZ12" s="49"/>
      <c r="PA12" s="49"/>
      <c r="PB12" s="49"/>
      <c r="PC12" s="49"/>
      <c r="PD12" s="49"/>
      <c r="PE12" s="49"/>
      <c r="PF12" s="49"/>
      <c r="PG12" s="49"/>
      <c r="PH12" s="49"/>
      <c r="PI12" s="49"/>
      <c r="PJ12" s="49"/>
      <c r="PK12" s="49"/>
      <c r="PL12" s="49"/>
      <c r="PM12" s="49"/>
      <c r="PN12" s="49"/>
      <c r="PO12" s="49"/>
      <c r="PP12" s="49"/>
      <c r="PQ12" s="49"/>
      <c r="PR12" s="49"/>
      <c r="PS12" s="49"/>
      <c r="PT12" s="49"/>
      <c r="PU12" s="49"/>
      <c r="PV12" s="49"/>
      <c r="PW12" s="49"/>
      <c r="PX12" s="49"/>
      <c r="PY12" s="49"/>
      <c r="PZ12" s="49"/>
      <c r="QA12" s="49"/>
      <c r="QB12" s="49"/>
      <c r="QC12" s="49"/>
      <c r="QD12" s="49"/>
      <c r="QE12" s="49"/>
      <c r="QF12" s="49"/>
      <c r="QG12" s="49"/>
      <c r="QH12" s="49"/>
      <c r="QI12" s="49"/>
      <c r="QJ12" s="49"/>
      <c r="QK12" s="49"/>
      <c r="QL12" s="49"/>
      <c r="QM12" s="49"/>
      <c r="QN12" s="49"/>
      <c r="QO12" s="49"/>
      <c r="QP12" s="49"/>
      <c r="QQ12" s="49"/>
      <c r="QR12" s="49"/>
      <c r="QS12" s="49"/>
      <c r="QT12" s="49"/>
      <c r="QU12" s="49"/>
      <c r="QV12" s="49"/>
      <c r="QW12" s="49"/>
      <c r="QX12" s="49"/>
      <c r="QY12" s="49"/>
      <c r="QZ12" s="49"/>
      <c r="RA12" s="49"/>
      <c r="RB12" s="49"/>
      <c r="RC12" s="49"/>
      <c r="RD12" s="49"/>
      <c r="RE12" s="49"/>
      <c r="RF12" s="49"/>
      <c r="RG12" s="49"/>
      <c r="RH12" s="49"/>
      <c r="RI12" s="49"/>
      <c r="RJ12" s="49"/>
      <c r="RK12" s="49"/>
      <c r="RL12" s="49"/>
      <c r="RM12" s="49"/>
      <c r="RN12" s="49"/>
      <c r="RO12" s="49"/>
      <c r="RP12" s="49"/>
      <c r="RQ12" s="49"/>
      <c r="RR12" s="49"/>
      <c r="RS12" s="49"/>
      <c r="RT12" s="49"/>
      <c r="RU12" s="49"/>
      <c r="RV12" s="49"/>
      <c r="RW12" s="49"/>
      <c r="RX12" s="49"/>
      <c r="RY12" s="49"/>
      <c r="RZ12" s="49"/>
      <c r="SA12" s="49"/>
      <c r="SB12" s="49"/>
      <c r="SC12" s="49"/>
      <c r="SD12" s="49"/>
      <c r="SE12" s="49"/>
      <c r="SF12" s="49"/>
      <c r="SG12" s="49"/>
      <c r="SH12" s="49"/>
      <c r="SI12" s="49"/>
      <c r="SJ12" s="49"/>
      <c r="SK12" s="49"/>
      <c r="SL12" s="49"/>
      <c r="SM12" s="49"/>
      <c r="SN12" s="49"/>
      <c r="SO12" s="49"/>
      <c r="SP12" s="49"/>
      <c r="SQ12" s="49"/>
      <c r="SR12" s="49"/>
      <c r="SS12" s="49"/>
      <c r="ST12" s="49"/>
      <c r="SU12" s="49"/>
      <c r="SV12" s="49"/>
      <c r="SW12" s="49"/>
      <c r="SX12" s="49"/>
      <c r="SY12" s="49"/>
      <c r="SZ12" s="49"/>
      <c r="TA12" s="49"/>
      <c r="TB12" s="49"/>
      <c r="TC12" s="49"/>
      <c r="TD12" s="49"/>
      <c r="TE12" s="49"/>
      <c r="TF12" s="49"/>
      <c r="TG12" s="49"/>
      <c r="TH12" s="49"/>
      <c r="TI12" s="49"/>
      <c r="TJ12" s="49"/>
      <c r="TK12" s="49"/>
      <c r="TL12" s="49"/>
      <c r="TM12" s="49"/>
      <c r="TN12" s="49"/>
      <c r="TO12" s="49"/>
      <c r="TP12" s="49"/>
      <c r="TQ12" s="49"/>
      <c r="TR12" s="49"/>
      <c r="TS12" s="49"/>
      <c r="TT12" s="49"/>
      <c r="TU12" s="49"/>
      <c r="TV12" s="49"/>
      <c r="TW12" s="49"/>
      <c r="TX12" s="49"/>
      <c r="TY12" s="49"/>
      <c r="TZ12" s="49"/>
      <c r="UA12" s="49"/>
      <c r="UB12" s="49"/>
      <c r="UC12" s="49"/>
      <c r="UD12" s="49"/>
      <c r="UE12" s="49"/>
      <c r="UF12" s="49"/>
      <c r="UG12" s="49"/>
      <c r="UH12" s="49"/>
      <c r="UI12" s="49"/>
      <c r="UJ12" s="49"/>
      <c r="UK12" s="49"/>
      <c r="UL12" s="49"/>
      <c r="UM12" s="49"/>
      <c r="UN12" s="49"/>
      <c r="UO12" s="49"/>
      <c r="UP12" s="49"/>
      <c r="UQ12" s="49"/>
      <c r="UR12" s="49"/>
      <c r="US12" s="49"/>
      <c r="UT12" s="49"/>
      <c r="UU12" s="49"/>
      <c r="UV12" s="49"/>
      <c r="UW12" s="49"/>
      <c r="UX12" s="49"/>
      <c r="UY12" s="49"/>
      <c r="UZ12" s="49"/>
      <c r="VA12" s="49"/>
      <c r="VB12" s="49"/>
      <c r="VC12" s="49"/>
      <c r="VD12" s="49"/>
      <c r="VE12" s="49"/>
      <c r="VF12" s="49"/>
      <c r="VG12" s="49"/>
      <c r="VH12" s="49"/>
      <c r="VI12" s="49"/>
      <c r="VJ12" s="49"/>
      <c r="VK12" s="49"/>
      <c r="VL12" s="49"/>
      <c r="VM12" s="49"/>
      <c r="VN12" s="49"/>
      <c r="VO12" s="49"/>
      <c r="VP12" s="49"/>
      <c r="VQ12" s="49"/>
      <c r="VR12" s="49"/>
      <c r="VS12" s="49"/>
      <c r="VT12" s="49"/>
      <c r="VU12" s="49"/>
      <c r="VV12" s="49"/>
      <c r="VW12" s="49"/>
      <c r="VX12" s="49"/>
      <c r="VY12" s="49"/>
      <c r="VZ12" s="49"/>
      <c r="WA12" s="49"/>
      <c r="WB12" s="49"/>
      <c r="WC12" s="49"/>
      <c r="WD12" s="49"/>
      <c r="WE12" s="49"/>
      <c r="WF12" s="49"/>
      <c r="WG12" s="49"/>
      <c r="WH12" s="49"/>
      <c r="WI12" s="49"/>
      <c r="WJ12" s="49"/>
      <c r="WK12" s="49"/>
      <c r="WL12" s="49"/>
      <c r="WM12" s="49"/>
      <c r="WN12" s="49"/>
      <c r="WO12" s="49"/>
      <c r="WP12" s="49"/>
      <c r="WQ12" s="49"/>
      <c r="WR12" s="49"/>
      <c r="WS12" s="49"/>
      <c r="WT12" s="49"/>
      <c r="WU12" s="49"/>
      <c r="WV12" s="49"/>
      <c r="WW12" s="49"/>
      <c r="WX12" s="49"/>
      <c r="WY12" s="49"/>
      <c r="WZ12" s="49"/>
      <c r="XA12" s="49"/>
      <c r="XB12" s="49"/>
      <c r="XC12" s="49"/>
      <c r="XD12" s="49"/>
      <c r="XE12" s="49"/>
      <c r="XF12" s="49"/>
      <c r="XG12" s="49"/>
      <c r="XH12" s="49"/>
      <c r="XI12" s="49"/>
      <c r="XJ12" s="49"/>
      <c r="XK12" s="49"/>
      <c r="XL12" s="49"/>
      <c r="XM12" s="49"/>
      <c r="XN12" s="49"/>
      <c r="XO12" s="49"/>
      <c r="XP12" s="49"/>
      <c r="XQ12" s="49"/>
      <c r="XR12" s="49"/>
      <c r="XS12" s="49"/>
      <c r="XT12" s="49"/>
      <c r="XU12" s="49"/>
      <c r="XV12" s="49"/>
      <c r="XW12" s="49"/>
      <c r="XX12" s="49"/>
      <c r="XY12" s="49"/>
      <c r="XZ12" s="49"/>
      <c r="YA12" s="49"/>
      <c r="YB12" s="49"/>
      <c r="YC12" s="49"/>
      <c r="YD12" s="49"/>
      <c r="YE12" s="49"/>
      <c r="YF12" s="49"/>
      <c r="YG12" s="49"/>
      <c r="YH12" s="49"/>
      <c r="YI12" s="49"/>
      <c r="YJ12" s="49"/>
      <c r="YK12" s="49"/>
      <c r="YL12" s="49"/>
      <c r="YM12" s="49"/>
      <c r="YN12" s="49"/>
      <c r="YO12" s="49"/>
      <c r="YP12" s="49"/>
      <c r="YQ12" s="49"/>
      <c r="YR12" s="49"/>
      <c r="YS12" s="49"/>
      <c r="YT12" s="49"/>
      <c r="YU12" s="49"/>
      <c r="YV12" s="49"/>
      <c r="YW12" s="49"/>
      <c r="YX12" s="49"/>
      <c r="YY12" s="49"/>
      <c r="YZ12" s="49"/>
      <c r="ZA12" s="49"/>
      <c r="ZB12" s="49"/>
      <c r="ZC12" s="49"/>
      <c r="ZD12" s="49"/>
      <c r="ZE12" s="49"/>
      <c r="ZF12" s="49"/>
      <c r="ZG12" s="49"/>
      <c r="ZH12" s="49"/>
      <c r="ZI12" s="49"/>
      <c r="ZJ12" s="49"/>
      <c r="ZK12" s="49"/>
      <c r="ZL12" s="49"/>
      <c r="ZM12" s="49"/>
      <c r="ZN12" s="49"/>
      <c r="ZO12" s="49"/>
      <c r="ZP12" s="49"/>
      <c r="ZQ12" s="49"/>
      <c r="ZR12" s="49"/>
      <c r="ZS12" s="49"/>
      <c r="ZT12" s="49"/>
      <c r="ZU12" s="49"/>
      <c r="ZV12" s="49"/>
      <c r="ZW12" s="49"/>
      <c r="ZX12" s="49"/>
      <c r="ZY12" s="49"/>
      <c r="ZZ12" s="49"/>
      <c r="AAA12" s="49"/>
      <c r="AAB12" s="49"/>
      <c r="AAC12" s="49"/>
      <c r="AAD12" s="49"/>
      <c r="AAE12" s="49"/>
      <c r="AAF12" s="49"/>
      <c r="AAG12" s="49"/>
      <c r="AAH12" s="49"/>
      <c r="AAI12" s="49"/>
      <c r="AAJ12" s="49"/>
      <c r="AAK12" s="49"/>
      <c r="AAL12" s="49"/>
      <c r="AAM12" s="49"/>
      <c r="AAN12" s="49"/>
      <c r="AAO12" s="49"/>
      <c r="AAP12" s="49"/>
      <c r="AAQ12" s="49"/>
      <c r="AAR12" s="49"/>
      <c r="AAS12" s="49"/>
      <c r="AAT12" s="49"/>
      <c r="AAU12" s="49"/>
      <c r="AAV12" s="49"/>
      <c r="AAW12" s="49"/>
      <c r="AAX12" s="49"/>
      <c r="AAY12" s="49"/>
      <c r="AAZ12" s="49"/>
      <c r="ABA12" s="49"/>
      <c r="ABB12" s="49"/>
      <c r="ABC12" s="49"/>
      <c r="ABD12" s="49"/>
      <c r="ABE12" s="49"/>
      <c r="ABF12" s="49"/>
      <c r="ABG12" s="49"/>
      <c r="ABH12" s="49"/>
      <c r="ABI12" s="49"/>
      <c r="ABJ12" s="49"/>
      <c r="ABK12" s="49"/>
      <c r="ABL12" s="49"/>
      <c r="ABM12" s="49"/>
      <c r="ABN12" s="49"/>
      <c r="ABO12" s="49"/>
      <c r="ABP12" s="49"/>
      <c r="ABQ12" s="49"/>
      <c r="ABR12" s="49"/>
      <c r="ABS12" s="49"/>
      <c r="ABT12" s="49"/>
      <c r="ABU12" s="49"/>
      <c r="ABV12" s="49"/>
      <c r="ABW12" s="49"/>
      <c r="ABX12" s="49"/>
      <c r="ABY12" s="49"/>
      <c r="ABZ12" s="49"/>
      <c r="ACA12" s="49"/>
      <c r="ACB12" s="49"/>
      <c r="ACC12" s="49"/>
      <c r="ACD12" s="49"/>
      <c r="ACE12" s="49"/>
      <c r="ACF12" s="49"/>
      <c r="ACG12" s="49"/>
      <c r="ACH12" s="49"/>
      <c r="ACI12" s="49"/>
      <c r="ACJ12" s="49"/>
      <c r="ACK12" s="49"/>
      <c r="ACL12" s="49"/>
      <c r="ACM12" s="49"/>
      <c r="ACN12" s="49"/>
      <c r="ACO12" s="49"/>
      <c r="ACP12" s="49"/>
      <c r="ACQ12" s="49"/>
      <c r="ACR12" s="49"/>
      <c r="ACS12" s="49"/>
      <c r="ACT12" s="49"/>
      <c r="ACU12" s="49"/>
      <c r="ACV12" s="49"/>
      <c r="ACW12" s="49"/>
      <c r="ACX12" s="49"/>
      <c r="ACY12" s="49"/>
      <c r="ACZ12" s="49"/>
      <c r="ADA12" s="49"/>
      <c r="ADB12" s="49"/>
      <c r="ADC12" s="49"/>
      <c r="ADD12" s="49"/>
      <c r="ADE12" s="49"/>
      <c r="ADF12" s="49"/>
      <c r="ADG12" s="49"/>
      <c r="ADH12" s="49"/>
      <c r="ADI12" s="49"/>
      <c r="ADJ12" s="49"/>
      <c r="ADK12" s="49"/>
      <c r="ADL12" s="49"/>
      <c r="ADM12" s="49"/>
      <c r="ADN12" s="49"/>
      <c r="ADO12" s="49"/>
      <c r="ADP12" s="49"/>
      <c r="ADQ12" s="49"/>
      <c r="ADR12" s="49"/>
      <c r="ADS12" s="49"/>
      <c r="ADT12" s="49"/>
      <c r="ADU12" s="49"/>
      <c r="ADV12" s="49"/>
      <c r="ADW12" s="49"/>
      <c r="ADX12" s="49"/>
      <c r="ADY12" s="49"/>
      <c r="ADZ12" s="49"/>
      <c r="AEA12" s="49"/>
      <c r="AEB12" s="49"/>
      <c r="AEC12" s="49"/>
      <c r="AED12" s="49"/>
      <c r="AEE12" s="49"/>
      <c r="AEF12" s="49"/>
      <c r="AEG12" s="49"/>
      <c r="AEH12" s="49"/>
      <c r="AEI12" s="49"/>
      <c r="AEJ12" s="49"/>
      <c r="AEK12" s="49"/>
      <c r="AEL12" s="49"/>
      <c r="AEM12" s="49"/>
      <c r="AEN12" s="49"/>
      <c r="AEO12" s="49"/>
      <c r="AEP12" s="49"/>
      <c r="AEQ12" s="49"/>
      <c r="AER12" s="49"/>
      <c r="AES12" s="49"/>
      <c r="AET12" s="49"/>
      <c r="AEU12" s="49"/>
      <c r="AEV12" s="49"/>
      <c r="AEW12" s="49"/>
      <c r="AEX12" s="49"/>
      <c r="AEY12" s="49"/>
      <c r="AEZ12" s="49"/>
      <c r="AFA12" s="49"/>
      <c r="AFB12" s="49"/>
      <c r="AFC12" s="49"/>
      <c r="AFD12" s="49"/>
      <c r="AFE12" s="49"/>
      <c r="AFF12" s="49"/>
      <c r="AFG12" s="49"/>
      <c r="AFH12" s="49"/>
      <c r="AFI12" s="49"/>
      <c r="AFJ12" s="49"/>
      <c r="AFK12" s="49"/>
      <c r="AFL12" s="49"/>
      <c r="AFM12" s="49"/>
      <c r="AFN12" s="49"/>
      <c r="AFO12" s="49"/>
      <c r="AFP12" s="49"/>
      <c r="AFQ12" s="49"/>
      <c r="AFR12" s="49"/>
      <c r="AFS12" s="49"/>
      <c r="AFT12" s="49"/>
      <c r="AFU12" s="49"/>
      <c r="AFV12" s="49"/>
      <c r="AFW12" s="49"/>
      <c r="AFX12" s="49"/>
      <c r="AFY12" s="49"/>
      <c r="AFZ12" s="49"/>
      <c r="AGA12" s="49"/>
      <c r="AGB12" s="49"/>
      <c r="AGC12" s="49"/>
      <c r="AGD12" s="49"/>
      <c r="AGE12" s="49"/>
      <c r="AGF12" s="49"/>
      <c r="AGG12" s="49"/>
      <c r="AGH12" s="49"/>
      <c r="AGI12" s="49"/>
      <c r="AGJ12" s="49"/>
      <c r="AGK12" s="49"/>
      <c r="AGL12" s="49"/>
      <c r="AGM12" s="49"/>
      <c r="AGN12" s="49"/>
      <c r="AGO12" s="49"/>
      <c r="AGP12" s="49"/>
      <c r="AGQ12" s="49"/>
      <c r="AGR12" s="49"/>
      <c r="AGS12" s="49"/>
      <c r="AGT12" s="49"/>
      <c r="AGU12" s="49"/>
      <c r="AGV12" s="49"/>
      <c r="AGW12" s="49"/>
      <c r="AGX12" s="49"/>
      <c r="AGY12" s="49"/>
      <c r="AGZ12" s="49"/>
      <c r="AHA12" s="49"/>
      <c r="AHB12" s="49"/>
      <c r="AHC12" s="49"/>
      <c r="AHD12" s="49"/>
      <c r="AHE12" s="49"/>
      <c r="AHF12" s="49"/>
      <c r="AHG12" s="49"/>
      <c r="AHH12" s="49"/>
      <c r="AHI12" s="49"/>
      <c r="AHJ12" s="49"/>
      <c r="AHK12" s="49"/>
      <c r="AHL12" s="49"/>
      <c r="AHM12" s="49"/>
      <c r="AHN12" s="49"/>
      <c r="AHO12" s="49"/>
      <c r="AHP12" s="49"/>
      <c r="AHQ12" s="49"/>
      <c r="AHR12" s="49"/>
      <c r="AHS12" s="49"/>
      <c r="AHT12" s="49"/>
      <c r="AHU12" s="49"/>
      <c r="AHV12" s="49"/>
      <c r="AHW12" s="49"/>
      <c r="AHX12" s="49"/>
      <c r="AHY12" s="49"/>
      <c r="AHZ12" s="49"/>
      <c r="AIA12" s="49"/>
      <c r="AIB12" s="49"/>
      <c r="AIC12" s="49"/>
      <c r="AID12" s="49"/>
      <c r="AIE12" s="49"/>
      <c r="AIF12" s="49"/>
      <c r="AIG12" s="49"/>
      <c r="AIH12" s="49"/>
      <c r="AII12" s="49"/>
      <c r="AIJ12" s="49"/>
      <c r="AIK12" s="49"/>
      <c r="AIL12" s="49"/>
      <c r="AIM12" s="49"/>
      <c r="AIN12" s="49"/>
      <c r="AIO12" s="49"/>
      <c r="AIP12" s="49"/>
      <c r="AIQ12" s="49"/>
      <c r="AIR12" s="49"/>
      <c r="AIS12" s="49"/>
      <c r="AIT12" s="49"/>
      <c r="AIU12" s="49"/>
      <c r="AIV12" s="49"/>
      <c r="AIW12" s="49"/>
      <c r="AIX12" s="49"/>
      <c r="AIY12" s="49"/>
      <c r="AIZ12" s="49"/>
      <c r="AJA12" s="49"/>
      <c r="AJB12" s="49"/>
      <c r="AJC12" s="49"/>
      <c r="AJD12" s="49"/>
      <c r="AJE12" s="49"/>
      <c r="AJF12" s="49"/>
      <c r="AJG12" s="49"/>
      <c r="AJH12" s="49"/>
      <c r="AJI12" s="49"/>
      <c r="AJJ12" s="49"/>
      <c r="AJK12" s="49"/>
      <c r="AJL12" s="49"/>
      <c r="AJM12" s="49"/>
      <c r="AJN12" s="49"/>
      <c r="AJO12" s="49"/>
      <c r="AJP12" s="49"/>
      <c r="AJQ12" s="49"/>
      <c r="AJR12" s="49"/>
      <c r="AJS12" s="49"/>
      <c r="AJT12" s="49"/>
      <c r="AJU12" s="49"/>
      <c r="AJV12" s="49"/>
      <c r="AJW12" s="49"/>
      <c r="AJX12" s="49"/>
      <c r="AJY12" s="49"/>
      <c r="AJZ12" s="49"/>
      <c r="AKA12" s="49"/>
      <c r="AKB12" s="49"/>
      <c r="AKC12" s="49"/>
      <c r="AKD12" s="49"/>
      <c r="AKE12" s="49"/>
      <c r="AKF12" s="49"/>
      <c r="AKG12" s="49"/>
      <c r="AKH12" s="49"/>
      <c r="AKI12" s="49"/>
      <c r="AKJ12" s="49"/>
      <c r="AKK12" s="49"/>
      <c r="AKL12" s="49"/>
      <c r="AKM12" s="49"/>
      <c r="AKN12" s="49"/>
      <c r="AKO12" s="49"/>
      <c r="AKP12" s="49"/>
      <c r="AKQ12" s="49"/>
      <c r="AKR12" s="49"/>
      <c r="AKS12" s="49"/>
      <c r="AKT12" s="49"/>
      <c r="AKU12" s="49"/>
      <c r="AKV12" s="49"/>
      <c r="AKW12" s="49"/>
      <c r="AKX12" s="49"/>
      <c r="AKY12" s="49"/>
      <c r="AKZ12" s="49"/>
      <c r="ALA12" s="49"/>
      <c r="ALB12" s="49"/>
      <c r="ALC12" s="49"/>
      <c r="ALD12" s="49"/>
      <c r="ALE12" s="49"/>
      <c r="ALF12" s="49"/>
      <c r="ALG12" s="49"/>
      <c r="ALH12" s="49"/>
      <c r="ALI12" s="49"/>
      <c r="ALJ12" s="49"/>
      <c r="ALK12" s="49"/>
      <c r="ALL12" s="49"/>
      <c r="ALM12" s="49"/>
      <c r="ALN12" s="49"/>
      <c r="ALO12" s="49"/>
      <c r="ALP12" s="49"/>
      <c r="ALQ12" s="49"/>
      <c r="ALR12" s="49"/>
      <c r="ALS12" s="49"/>
      <c r="ALT12" s="49"/>
      <c r="ALU12" s="49"/>
      <c r="ALV12" s="49"/>
      <c r="ALW12" s="49"/>
      <c r="ALX12" s="49"/>
      <c r="ALY12" s="49"/>
      <c r="ALZ12" s="49"/>
      <c r="AMA12" s="49"/>
      <c r="AMB12" s="49"/>
      <c r="AMC12" s="49"/>
      <c r="AMD12" s="49"/>
      <c r="AME12" s="49"/>
      <c r="AMF12" s="49"/>
      <c r="AMG12" s="49"/>
      <c r="AMH12" s="49"/>
      <c r="AMI12" s="49"/>
      <c r="AMJ12" s="49"/>
      <c r="AMK12" s="49"/>
      <c r="AML12" s="49"/>
      <c r="AMM12" s="49"/>
      <c r="AMN12" s="49"/>
      <c r="AMO12" s="49"/>
      <c r="AMP12" s="49"/>
      <c r="AMQ12" s="49"/>
      <c r="AMR12" s="49"/>
      <c r="AMS12" s="49"/>
      <c r="AMT12" s="49"/>
      <c r="AMU12" s="49"/>
      <c r="AMV12" s="49"/>
      <c r="AMW12" s="49"/>
      <c r="AMX12" s="49"/>
      <c r="AMY12" s="49"/>
      <c r="AMZ12" s="49"/>
      <c r="ANA12" s="49"/>
      <c r="ANB12" s="49"/>
      <c r="ANC12" s="49"/>
      <c r="AND12" s="49"/>
      <c r="ANE12" s="49"/>
      <c r="ANF12" s="49"/>
      <c r="ANG12" s="49"/>
      <c r="ANH12" s="49"/>
      <c r="ANI12" s="49"/>
      <c r="ANJ12" s="49"/>
      <c r="ANK12" s="49"/>
      <c r="ANL12" s="49"/>
      <c r="ANM12" s="49"/>
      <c r="ANN12" s="49"/>
      <c r="ANO12" s="49"/>
      <c r="ANP12" s="49"/>
      <c r="ANQ12" s="49"/>
      <c r="ANR12" s="49"/>
      <c r="ANS12" s="49"/>
      <c r="ANT12" s="49"/>
      <c r="ANU12" s="49"/>
      <c r="ANV12" s="49"/>
      <c r="ANW12" s="49"/>
      <c r="ANX12" s="49"/>
      <c r="ANY12" s="49"/>
      <c r="ANZ12" s="49"/>
      <c r="AOA12" s="49"/>
      <c r="AOB12" s="49"/>
      <c r="AOC12" s="49"/>
      <c r="AOD12" s="49"/>
      <c r="AOE12" s="49"/>
      <c r="AOF12" s="49"/>
      <c r="AOG12" s="49"/>
      <c r="AOH12" s="49"/>
      <c r="AOI12" s="49"/>
      <c r="AOJ12" s="49"/>
      <c r="AOK12" s="49"/>
      <c r="AOL12" s="49"/>
      <c r="AOM12" s="49"/>
      <c r="AON12" s="49"/>
      <c r="AOO12" s="49"/>
      <c r="AOP12" s="49"/>
      <c r="AOQ12" s="49"/>
      <c r="AOR12" s="49"/>
      <c r="AOS12" s="49"/>
      <c r="AOT12" s="49"/>
      <c r="AOU12" s="49"/>
      <c r="AOV12" s="49"/>
      <c r="AOW12" s="49"/>
      <c r="AOX12" s="49"/>
      <c r="AOY12" s="49"/>
      <c r="AOZ12" s="49"/>
      <c r="APA12" s="49"/>
      <c r="APB12" s="49"/>
      <c r="APC12" s="49"/>
      <c r="APD12" s="49"/>
      <c r="APE12" s="49"/>
      <c r="APF12" s="49"/>
      <c r="APG12" s="49"/>
      <c r="APH12" s="49"/>
      <c r="API12" s="49"/>
      <c r="APJ12" s="49"/>
      <c r="APK12" s="49"/>
      <c r="APL12" s="49"/>
      <c r="APM12" s="49"/>
      <c r="APN12" s="49"/>
      <c r="APO12" s="49"/>
      <c r="APP12" s="49"/>
      <c r="APQ12" s="49"/>
      <c r="APR12" s="49"/>
      <c r="APS12" s="49"/>
      <c r="APT12" s="49"/>
      <c r="APU12" s="49"/>
      <c r="APV12" s="49"/>
      <c r="APW12" s="49"/>
      <c r="APX12" s="49"/>
      <c r="APY12" s="49"/>
      <c r="APZ12" s="49"/>
      <c r="AQA12" s="49"/>
      <c r="AQB12" s="49"/>
      <c r="AQC12" s="49"/>
      <c r="AQD12" s="49"/>
      <c r="AQE12" s="49"/>
      <c r="AQF12" s="49"/>
      <c r="AQG12" s="49"/>
      <c r="AQH12" s="49"/>
      <c r="AQI12" s="49"/>
      <c r="AQJ12" s="49"/>
      <c r="AQK12" s="49"/>
      <c r="AQL12" s="49"/>
      <c r="AQM12" s="49"/>
      <c r="AQN12" s="49"/>
      <c r="AQO12" s="49"/>
      <c r="AQP12" s="49"/>
      <c r="AQQ12" s="49"/>
      <c r="AQR12" s="49"/>
      <c r="AQS12" s="49"/>
      <c r="AQT12" s="49"/>
      <c r="AQU12" s="49"/>
      <c r="AQV12" s="49"/>
      <c r="AQW12" s="49"/>
      <c r="AQX12" s="49"/>
      <c r="AQY12" s="49"/>
      <c r="AQZ12" s="49"/>
      <c r="ARA12" s="49"/>
      <c r="ARB12" s="49"/>
      <c r="ARC12" s="49"/>
      <c r="ARD12" s="49"/>
      <c r="ARE12" s="49"/>
      <c r="ARF12" s="49"/>
      <c r="ARG12" s="49"/>
      <c r="ARH12" s="49"/>
      <c r="ARI12" s="49"/>
      <c r="ARJ12" s="49"/>
      <c r="ARK12" s="49"/>
      <c r="ARL12" s="49"/>
      <c r="ARM12" s="49"/>
      <c r="ARN12" s="49"/>
      <c r="ARO12" s="49"/>
      <c r="ARP12" s="49"/>
      <c r="ARQ12" s="49"/>
      <c r="ARR12" s="49"/>
      <c r="ARS12" s="49"/>
      <c r="ART12" s="49"/>
      <c r="ARU12" s="49"/>
      <c r="ARV12" s="49"/>
      <c r="ARW12" s="49"/>
      <c r="ARX12" s="49"/>
      <c r="ARY12" s="49"/>
      <c r="ARZ12" s="49"/>
      <c r="ASA12" s="49"/>
      <c r="ASB12" s="49"/>
      <c r="ASC12" s="49"/>
      <c r="ASD12" s="49"/>
      <c r="ASE12" s="49"/>
      <c r="ASF12" s="49"/>
      <c r="ASG12" s="49"/>
      <c r="ASH12" s="49"/>
      <c r="ASI12" s="49"/>
      <c r="ASJ12" s="49"/>
      <c r="ASK12" s="49"/>
      <c r="ASL12" s="49"/>
      <c r="ASM12" s="49"/>
      <c r="ASN12" s="49"/>
      <c r="ASO12" s="49"/>
      <c r="ASP12" s="49"/>
      <c r="ASQ12" s="49"/>
      <c r="ASR12" s="49"/>
      <c r="ASS12" s="49"/>
      <c r="AST12" s="49"/>
      <c r="ASU12" s="49"/>
      <c r="ASV12" s="49"/>
      <c r="ASW12" s="49"/>
      <c r="ASX12" s="49"/>
      <c r="ASY12" s="49"/>
      <c r="ASZ12" s="49"/>
      <c r="ATA12" s="49"/>
      <c r="ATB12" s="49"/>
      <c r="ATC12" s="49"/>
      <c r="ATD12" s="49"/>
      <c r="ATE12" s="49"/>
      <c r="ATF12" s="49"/>
      <c r="ATG12" s="49"/>
      <c r="ATH12" s="49"/>
      <c r="ATI12" s="49"/>
      <c r="ATJ12" s="49"/>
      <c r="ATK12" s="49"/>
      <c r="ATL12" s="49"/>
      <c r="ATM12" s="49"/>
      <c r="ATN12" s="49"/>
      <c r="ATO12" s="49"/>
      <c r="ATP12" s="49"/>
      <c r="ATQ12" s="49"/>
      <c r="ATR12" s="49"/>
      <c r="ATS12" s="49"/>
      <c r="ATT12" s="49"/>
      <c r="ATU12" s="49"/>
      <c r="ATV12" s="49"/>
      <c r="ATW12" s="49"/>
      <c r="ATX12" s="49"/>
      <c r="ATY12" s="49"/>
      <c r="ATZ12" s="49"/>
      <c r="AUA12" s="49"/>
      <c r="AUB12" s="49"/>
      <c r="AUC12" s="49"/>
      <c r="AUD12" s="49"/>
      <c r="AUE12" s="49"/>
      <c r="AUF12" s="49"/>
      <c r="AUG12" s="49"/>
      <c r="AUH12" s="49"/>
      <c r="AUI12" s="49"/>
      <c r="AUJ12" s="49"/>
      <c r="AUK12" s="49"/>
      <c r="AUL12" s="49"/>
      <c r="AUM12" s="49"/>
      <c r="AUN12" s="49"/>
      <c r="AUO12" s="49"/>
      <c r="AUP12" s="49"/>
      <c r="AUQ12" s="49"/>
      <c r="AUR12" s="49"/>
      <c r="AUS12" s="49"/>
      <c r="AUT12" s="49"/>
      <c r="AUU12" s="49"/>
      <c r="AUV12" s="49"/>
      <c r="AUW12" s="49"/>
      <c r="AUX12" s="49"/>
      <c r="AUY12" s="49"/>
      <c r="AUZ12" s="49"/>
      <c r="AVA12" s="49"/>
      <c r="AVB12" s="49"/>
      <c r="AVC12" s="49"/>
      <c r="AVD12" s="49"/>
      <c r="AVE12" s="49"/>
      <c r="AVF12" s="49"/>
      <c r="AVG12" s="49"/>
      <c r="AVH12" s="49"/>
      <c r="AVI12" s="49"/>
      <c r="AVJ12" s="49"/>
      <c r="AVK12" s="49"/>
      <c r="AVL12" s="49"/>
      <c r="AVM12" s="49"/>
      <c r="AVN12" s="49"/>
      <c r="AVO12" s="49"/>
      <c r="AVP12" s="49"/>
      <c r="AVQ12" s="49"/>
      <c r="AVR12" s="49"/>
      <c r="AVS12" s="49"/>
      <c r="AVT12" s="49"/>
      <c r="AVU12" s="49"/>
      <c r="AVV12" s="49"/>
      <c r="AVW12" s="49"/>
      <c r="AVX12" s="49"/>
      <c r="AVY12" s="49"/>
      <c r="AVZ12" s="49"/>
      <c r="AWA12" s="49"/>
      <c r="AWB12" s="49"/>
      <c r="AWC12" s="49"/>
      <c r="AWD12" s="49"/>
      <c r="AWE12" s="49"/>
      <c r="AWF12" s="49"/>
      <c r="AWG12" s="49"/>
      <c r="AWH12" s="49"/>
      <c r="AWI12" s="49"/>
      <c r="AWJ12" s="49"/>
      <c r="AWK12" s="49"/>
      <c r="AWL12" s="49"/>
      <c r="AWM12" s="49"/>
      <c r="AWN12" s="49"/>
      <c r="AWO12" s="49"/>
      <c r="AWP12" s="49"/>
      <c r="AWQ12" s="49"/>
      <c r="AWR12" s="49"/>
      <c r="AWS12" s="49"/>
      <c r="AWT12" s="49"/>
      <c r="AWU12" s="49"/>
      <c r="AWV12" s="49"/>
      <c r="AWW12" s="49"/>
      <c r="AWX12" s="49"/>
      <c r="AWY12" s="49"/>
      <c r="AWZ12" s="49"/>
      <c r="AXA12" s="49"/>
      <c r="AXB12" s="49"/>
      <c r="AXC12" s="49"/>
      <c r="AXD12" s="49"/>
      <c r="AXE12" s="49"/>
      <c r="AXF12" s="49"/>
      <c r="AXG12" s="49"/>
      <c r="AXH12" s="49"/>
      <c r="AXI12" s="49"/>
      <c r="AXJ12" s="49"/>
      <c r="AXK12" s="49"/>
      <c r="AXL12" s="49"/>
      <c r="AXM12" s="49"/>
      <c r="AXN12" s="49"/>
      <c r="AXO12" s="49"/>
      <c r="AXP12" s="49"/>
      <c r="AXQ12" s="49"/>
      <c r="AXR12" s="49"/>
      <c r="AXS12" s="49"/>
      <c r="AXT12" s="49"/>
      <c r="AXU12" s="49"/>
      <c r="AXV12" s="49"/>
      <c r="AXW12" s="49"/>
      <c r="AXX12" s="49"/>
      <c r="AXY12" s="49"/>
      <c r="AXZ12" s="49"/>
      <c r="AYA12" s="49"/>
      <c r="AYB12" s="49"/>
      <c r="AYC12" s="49"/>
      <c r="AYD12" s="49"/>
      <c r="AYE12" s="49"/>
      <c r="AYF12" s="49"/>
      <c r="AYG12" s="49"/>
      <c r="AYH12" s="49"/>
      <c r="AYI12" s="49"/>
      <c r="AYJ12" s="49"/>
      <c r="AYK12" s="49"/>
      <c r="AYL12" s="49"/>
      <c r="AYM12" s="49"/>
      <c r="AYN12" s="49"/>
      <c r="AYO12" s="49"/>
      <c r="AYP12" s="49"/>
      <c r="AYQ12" s="49"/>
      <c r="AYR12" s="49"/>
      <c r="AYS12" s="49"/>
      <c r="AYT12" s="49"/>
      <c r="AYU12" s="49"/>
      <c r="AYV12" s="49"/>
      <c r="AYW12" s="49"/>
      <c r="AYX12" s="49"/>
      <c r="AYY12" s="49"/>
      <c r="AYZ12" s="49"/>
      <c r="AZA12" s="49"/>
      <c r="AZB12" s="49"/>
      <c r="AZC12" s="49"/>
      <c r="AZD12" s="49"/>
      <c r="AZE12" s="49"/>
      <c r="AZF12" s="49"/>
      <c r="AZG12" s="49"/>
      <c r="AZH12" s="49"/>
      <c r="AZI12" s="49"/>
      <c r="AZJ12" s="49"/>
      <c r="AZK12" s="49"/>
      <c r="AZL12" s="49"/>
      <c r="AZM12" s="49"/>
      <c r="AZN12" s="49"/>
      <c r="AZO12" s="49"/>
      <c r="AZP12" s="49"/>
      <c r="AZQ12" s="49"/>
      <c r="AZR12" s="49"/>
      <c r="AZS12" s="49"/>
      <c r="AZT12" s="49"/>
      <c r="AZU12" s="49"/>
      <c r="AZV12" s="49"/>
      <c r="AZW12" s="49"/>
      <c r="AZX12" s="49"/>
      <c r="AZY12" s="49"/>
      <c r="AZZ12" s="49"/>
      <c r="BAA12" s="49"/>
      <c r="BAB12" s="49"/>
      <c r="BAC12" s="49"/>
      <c r="BAD12" s="49"/>
      <c r="BAE12" s="49"/>
      <c r="BAF12" s="49"/>
      <c r="BAG12" s="49"/>
      <c r="BAH12" s="49"/>
      <c r="BAI12" s="49"/>
      <c r="BAJ12" s="49"/>
      <c r="BAK12" s="49"/>
      <c r="BAL12" s="49"/>
      <c r="BAM12" s="49"/>
      <c r="BAN12" s="49"/>
      <c r="BAO12" s="49"/>
      <c r="BAP12" s="49"/>
      <c r="BAQ12" s="49"/>
      <c r="BAR12" s="49"/>
      <c r="BAS12" s="49"/>
      <c r="BAT12" s="49"/>
      <c r="BAU12" s="49"/>
      <c r="BAV12" s="49"/>
      <c r="BAW12" s="49"/>
      <c r="BAX12" s="49"/>
      <c r="BAY12" s="49"/>
      <c r="BAZ12" s="49"/>
      <c r="BBA12" s="49"/>
      <c r="BBB12" s="49"/>
      <c r="BBC12" s="49"/>
      <c r="BBD12" s="49"/>
      <c r="BBE12" s="49"/>
      <c r="BBF12" s="49"/>
      <c r="BBG12" s="49"/>
      <c r="BBH12" s="49"/>
      <c r="BBI12" s="49"/>
      <c r="BBJ12" s="49"/>
      <c r="BBK12" s="49"/>
      <c r="BBL12" s="49"/>
      <c r="BBM12" s="49"/>
      <c r="BBN12" s="49"/>
      <c r="BBO12" s="49"/>
      <c r="BBP12" s="49"/>
      <c r="BBQ12" s="49"/>
      <c r="BBR12" s="49"/>
      <c r="BBS12" s="49"/>
      <c r="BBT12" s="49"/>
      <c r="BBU12" s="49"/>
      <c r="BBV12" s="49"/>
      <c r="BBW12" s="49"/>
      <c r="BBX12" s="49"/>
      <c r="BBY12" s="49"/>
      <c r="BBZ12" s="49"/>
      <c r="BCA12" s="49"/>
      <c r="BCB12" s="49"/>
      <c r="BCC12" s="49"/>
      <c r="BCD12" s="49"/>
      <c r="BCE12" s="49"/>
      <c r="BCF12" s="49"/>
      <c r="BCG12" s="49"/>
      <c r="BCH12" s="49"/>
      <c r="BCI12" s="49"/>
      <c r="BCJ12" s="49"/>
      <c r="BCK12" s="49"/>
      <c r="BCL12" s="49"/>
      <c r="BCM12" s="49"/>
      <c r="BCN12" s="49"/>
    </row>
    <row r="13" spans="1:1444" s="47" customFormat="1">
      <c r="A13" s="52"/>
      <c r="B13" s="94">
        <v>45756</v>
      </c>
      <c r="C13" s="94" t="s">
        <v>194</v>
      </c>
      <c r="D13" s="95">
        <v>48</v>
      </c>
      <c r="E13" s="95">
        <v>118.45499999995809</v>
      </c>
      <c r="F13" s="95">
        <v>0</v>
      </c>
      <c r="G13" s="95">
        <v>0</v>
      </c>
      <c r="H13" s="95">
        <v>33</v>
      </c>
      <c r="I13" s="95">
        <v>38</v>
      </c>
      <c r="J13" s="95">
        <v>1035.69</v>
      </c>
      <c r="K13" s="95">
        <v>1006.3798000012116</v>
      </c>
      <c r="L13" s="95">
        <v>0</v>
      </c>
      <c r="M13" s="155">
        <v>0</v>
      </c>
      <c r="N13" s="141">
        <f>'units overall'!O13</f>
        <v>2292.5248000011698</v>
      </c>
      <c r="O13" s="231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B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R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H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X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N13" s="49"/>
      <c r="IO13" s="49"/>
      <c r="IP13" s="49"/>
      <c r="IQ13" s="49"/>
      <c r="IR13" s="49"/>
      <c r="IS13" s="49"/>
      <c r="IT13" s="49"/>
      <c r="IU13" s="49"/>
      <c r="IV13" s="49"/>
      <c r="IW13" s="49"/>
      <c r="IX13" s="49"/>
      <c r="IY13" s="49"/>
      <c r="IZ13" s="49"/>
      <c r="JA13" s="49"/>
      <c r="JB13" s="49"/>
      <c r="JC13" s="49"/>
      <c r="JD13" s="49"/>
      <c r="JE13" s="49"/>
      <c r="JF13" s="49"/>
      <c r="JG13" s="49"/>
      <c r="JH13" s="49"/>
      <c r="JI13" s="49"/>
      <c r="JJ13" s="49"/>
      <c r="JK13" s="49"/>
      <c r="JL13" s="49"/>
      <c r="JM13" s="49"/>
      <c r="JN13" s="49"/>
      <c r="JO13" s="49"/>
      <c r="JP13" s="49"/>
      <c r="JQ13" s="49"/>
      <c r="JR13" s="49"/>
      <c r="JS13" s="49"/>
      <c r="JT13" s="49"/>
      <c r="JU13" s="49"/>
      <c r="JV13" s="49"/>
      <c r="JW13" s="49"/>
      <c r="JX13" s="49"/>
      <c r="JY13" s="49"/>
      <c r="JZ13" s="49"/>
      <c r="KA13" s="49"/>
      <c r="KB13" s="49"/>
      <c r="KC13" s="49"/>
      <c r="KD13" s="49"/>
      <c r="KE13" s="49"/>
      <c r="KF13" s="49"/>
      <c r="KG13" s="49"/>
      <c r="KH13" s="49"/>
      <c r="KI13" s="49"/>
      <c r="KJ13" s="49"/>
      <c r="KK13" s="49"/>
      <c r="KL13" s="49"/>
      <c r="KM13" s="49"/>
      <c r="KN13" s="49"/>
      <c r="KO13" s="49"/>
      <c r="KP13" s="49"/>
      <c r="KQ13" s="49"/>
      <c r="KR13" s="49"/>
      <c r="KS13" s="49"/>
      <c r="KT13" s="49"/>
      <c r="KU13" s="49"/>
      <c r="KV13" s="49"/>
      <c r="KW13" s="49"/>
      <c r="KX13" s="49"/>
      <c r="KY13" s="49"/>
      <c r="KZ13" s="49"/>
      <c r="LA13" s="49"/>
      <c r="LB13" s="49"/>
      <c r="LC13" s="49"/>
      <c r="LD13" s="49"/>
      <c r="LE13" s="49"/>
      <c r="LF13" s="49"/>
      <c r="LG13" s="49"/>
      <c r="LH13" s="49"/>
      <c r="LI13" s="49"/>
      <c r="LJ13" s="49"/>
      <c r="LK13" s="49"/>
      <c r="LL13" s="49"/>
      <c r="LM13" s="49"/>
      <c r="LN13" s="49"/>
      <c r="LO13" s="49"/>
      <c r="LP13" s="49"/>
      <c r="LQ13" s="49"/>
      <c r="LR13" s="49"/>
      <c r="LS13" s="49"/>
      <c r="LT13" s="49"/>
      <c r="LU13" s="49"/>
      <c r="LV13" s="49"/>
      <c r="LW13" s="49"/>
      <c r="LX13" s="49"/>
      <c r="LY13" s="49"/>
      <c r="LZ13" s="49"/>
      <c r="MA13" s="49"/>
      <c r="MB13" s="49"/>
      <c r="MC13" s="49"/>
      <c r="MD13" s="49"/>
      <c r="ME13" s="49"/>
      <c r="MF13" s="49"/>
      <c r="MG13" s="49"/>
      <c r="MH13" s="49"/>
      <c r="MI13" s="49"/>
      <c r="MJ13" s="49"/>
      <c r="MK13" s="49"/>
      <c r="ML13" s="49"/>
      <c r="MM13" s="49"/>
      <c r="MN13" s="49"/>
      <c r="MO13" s="49"/>
      <c r="MP13" s="49"/>
      <c r="MQ13" s="49"/>
      <c r="MR13" s="49"/>
      <c r="MS13" s="49"/>
      <c r="MT13" s="49"/>
      <c r="MU13" s="49"/>
      <c r="MV13" s="49"/>
      <c r="MW13" s="49"/>
      <c r="MX13" s="49"/>
      <c r="MY13" s="49"/>
      <c r="MZ13" s="49"/>
      <c r="NA13" s="49"/>
      <c r="NB13" s="49"/>
      <c r="NC13" s="49"/>
      <c r="ND13" s="49"/>
      <c r="NE13" s="49"/>
      <c r="NF13" s="49"/>
      <c r="NG13" s="49"/>
      <c r="NH13" s="49"/>
      <c r="NI13" s="49"/>
      <c r="NJ13" s="49"/>
      <c r="NK13" s="49"/>
      <c r="NL13" s="49"/>
      <c r="NM13" s="49"/>
      <c r="NN13" s="49"/>
      <c r="NO13" s="49"/>
      <c r="NP13" s="49"/>
      <c r="NQ13" s="49"/>
      <c r="NR13" s="49"/>
      <c r="NS13" s="49"/>
      <c r="NT13" s="49"/>
      <c r="NU13" s="49"/>
      <c r="NV13" s="49"/>
      <c r="NW13" s="49"/>
      <c r="NX13" s="49"/>
      <c r="NY13" s="49"/>
      <c r="NZ13" s="49"/>
      <c r="OA13" s="49"/>
      <c r="OB13" s="49"/>
      <c r="OC13" s="49"/>
      <c r="OD13" s="49"/>
      <c r="OE13" s="49"/>
      <c r="OF13" s="49"/>
      <c r="OG13" s="49"/>
      <c r="OH13" s="49"/>
      <c r="OI13" s="49"/>
      <c r="OJ13" s="49"/>
      <c r="OK13" s="49"/>
      <c r="OL13" s="49"/>
      <c r="OM13" s="49"/>
      <c r="ON13" s="49"/>
      <c r="OO13" s="49"/>
      <c r="OP13" s="49"/>
      <c r="OQ13" s="49"/>
      <c r="OR13" s="49"/>
      <c r="OS13" s="49"/>
      <c r="OT13" s="49"/>
      <c r="OU13" s="49"/>
      <c r="OV13" s="49"/>
      <c r="OW13" s="49"/>
      <c r="OX13" s="49"/>
      <c r="OY13" s="49"/>
      <c r="OZ13" s="49"/>
      <c r="PA13" s="49"/>
      <c r="PB13" s="49"/>
      <c r="PC13" s="49"/>
      <c r="PD13" s="49"/>
      <c r="PE13" s="49"/>
      <c r="PF13" s="49"/>
      <c r="PG13" s="49"/>
      <c r="PH13" s="49"/>
      <c r="PI13" s="49"/>
      <c r="PJ13" s="49"/>
      <c r="PK13" s="49"/>
      <c r="PL13" s="49"/>
      <c r="PM13" s="49"/>
      <c r="PN13" s="49"/>
      <c r="PO13" s="49"/>
      <c r="PP13" s="49"/>
      <c r="PQ13" s="49"/>
      <c r="PR13" s="49"/>
      <c r="PS13" s="49"/>
      <c r="PT13" s="49"/>
      <c r="PU13" s="49"/>
      <c r="PV13" s="49"/>
      <c r="PW13" s="49"/>
      <c r="PX13" s="49"/>
      <c r="PY13" s="49"/>
      <c r="PZ13" s="49"/>
      <c r="QA13" s="49"/>
      <c r="QB13" s="49"/>
      <c r="QC13" s="49"/>
      <c r="QD13" s="49"/>
      <c r="QE13" s="49"/>
      <c r="QF13" s="49"/>
      <c r="QG13" s="49"/>
      <c r="QH13" s="49"/>
      <c r="QI13" s="49"/>
      <c r="QJ13" s="49"/>
      <c r="QK13" s="49"/>
      <c r="QL13" s="49"/>
      <c r="QM13" s="49"/>
      <c r="QN13" s="49"/>
      <c r="QO13" s="49"/>
      <c r="QP13" s="49"/>
      <c r="QQ13" s="49"/>
      <c r="QR13" s="49"/>
      <c r="QS13" s="49"/>
      <c r="QT13" s="49"/>
      <c r="QU13" s="49"/>
      <c r="QV13" s="49"/>
      <c r="QW13" s="49"/>
      <c r="QX13" s="49"/>
      <c r="QY13" s="49"/>
      <c r="QZ13" s="49"/>
      <c r="RA13" s="49"/>
      <c r="RB13" s="49"/>
      <c r="RC13" s="49"/>
      <c r="RD13" s="49"/>
      <c r="RE13" s="49"/>
      <c r="RF13" s="49"/>
      <c r="RG13" s="49"/>
      <c r="RH13" s="49"/>
      <c r="RI13" s="49"/>
      <c r="RJ13" s="49"/>
      <c r="RK13" s="49"/>
      <c r="RL13" s="49"/>
      <c r="RM13" s="49"/>
      <c r="RN13" s="49"/>
      <c r="RO13" s="49"/>
      <c r="RP13" s="49"/>
      <c r="RQ13" s="49"/>
      <c r="RR13" s="49"/>
      <c r="RS13" s="49"/>
      <c r="RT13" s="49"/>
      <c r="RU13" s="49"/>
      <c r="RV13" s="49"/>
      <c r="RW13" s="49"/>
      <c r="RX13" s="49"/>
      <c r="RY13" s="49"/>
      <c r="RZ13" s="49"/>
      <c r="SA13" s="49"/>
      <c r="SB13" s="49"/>
      <c r="SC13" s="49"/>
      <c r="SD13" s="49"/>
      <c r="SE13" s="49"/>
      <c r="SF13" s="49"/>
      <c r="SG13" s="49"/>
      <c r="SH13" s="49"/>
      <c r="SI13" s="49"/>
      <c r="SJ13" s="49"/>
      <c r="SK13" s="49"/>
      <c r="SL13" s="49"/>
      <c r="SM13" s="49"/>
      <c r="SN13" s="49"/>
      <c r="SO13" s="49"/>
      <c r="SP13" s="49"/>
      <c r="SQ13" s="49"/>
      <c r="SR13" s="49"/>
      <c r="SS13" s="49"/>
      <c r="ST13" s="49"/>
      <c r="SU13" s="49"/>
      <c r="SV13" s="49"/>
      <c r="SW13" s="49"/>
      <c r="SX13" s="49"/>
      <c r="SY13" s="49"/>
      <c r="SZ13" s="49"/>
      <c r="TA13" s="49"/>
      <c r="TB13" s="49"/>
      <c r="TC13" s="49"/>
      <c r="TD13" s="49"/>
      <c r="TE13" s="49"/>
      <c r="TF13" s="49"/>
      <c r="TG13" s="49"/>
      <c r="TH13" s="49"/>
      <c r="TI13" s="49"/>
      <c r="TJ13" s="49"/>
      <c r="TK13" s="49"/>
      <c r="TL13" s="49"/>
      <c r="TM13" s="49"/>
      <c r="TN13" s="49"/>
      <c r="TO13" s="49"/>
      <c r="TP13" s="49"/>
      <c r="TQ13" s="49"/>
      <c r="TR13" s="49"/>
      <c r="TS13" s="49"/>
      <c r="TT13" s="49"/>
      <c r="TU13" s="49"/>
      <c r="TV13" s="49"/>
      <c r="TW13" s="49"/>
      <c r="TX13" s="49"/>
      <c r="TY13" s="49"/>
      <c r="TZ13" s="49"/>
      <c r="UA13" s="49"/>
      <c r="UB13" s="49"/>
      <c r="UC13" s="49"/>
      <c r="UD13" s="49"/>
      <c r="UE13" s="49"/>
      <c r="UF13" s="49"/>
      <c r="UG13" s="49"/>
      <c r="UH13" s="49"/>
      <c r="UI13" s="49"/>
      <c r="UJ13" s="49"/>
      <c r="UK13" s="49"/>
      <c r="UL13" s="49"/>
      <c r="UM13" s="49"/>
      <c r="UN13" s="49"/>
      <c r="UO13" s="49"/>
      <c r="UP13" s="49"/>
      <c r="UQ13" s="49"/>
      <c r="UR13" s="49"/>
      <c r="US13" s="49"/>
      <c r="UT13" s="49"/>
      <c r="UU13" s="49"/>
      <c r="UV13" s="49"/>
      <c r="UW13" s="49"/>
      <c r="UX13" s="49"/>
      <c r="UY13" s="49"/>
      <c r="UZ13" s="49"/>
      <c r="VA13" s="49"/>
      <c r="VB13" s="49"/>
      <c r="VC13" s="49"/>
      <c r="VD13" s="49"/>
      <c r="VE13" s="49"/>
      <c r="VF13" s="49"/>
      <c r="VG13" s="49"/>
      <c r="VH13" s="49"/>
      <c r="VI13" s="49"/>
      <c r="VJ13" s="49"/>
      <c r="VK13" s="49"/>
      <c r="VL13" s="49"/>
      <c r="VM13" s="49"/>
      <c r="VN13" s="49"/>
      <c r="VO13" s="49"/>
      <c r="VP13" s="49"/>
      <c r="VQ13" s="49"/>
      <c r="VR13" s="49"/>
      <c r="VS13" s="49"/>
      <c r="VT13" s="49"/>
      <c r="VU13" s="49"/>
      <c r="VV13" s="49"/>
      <c r="VW13" s="49"/>
      <c r="VX13" s="49"/>
      <c r="VY13" s="49"/>
      <c r="VZ13" s="49"/>
      <c r="WA13" s="49"/>
      <c r="WB13" s="49"/>
      <c r="WC13" s="49"/>
      <c r="WD13" s="49"/>
      <c r="WE13" s="49"/>
      <c r="WF13" s="49"/>
      <c r="WG13" s="49"/>
      <c r="WH13" s="49"/>
      <c r="WI13" s="49"/>
      <c r="WJ13" s="49"/>
      <c r="WK13" s="49"/>
      <c r="WL13" s="49"/>
      <c r="WM13" s="49"/>
      <c r="WN13" s="49"/>
      <c r="WO13" s="49"/>
      <c r="WP13" s="49"/>
      <c r="WQ13" s="49"/>
      <c r="WR13" s="49"/>
      <c r="WS13" s="49"/>
      <c r="WT13" s="49"/>
      <c r="WU13" s="49"/>
      <c r="WV13" s="49"/>
      <c r="WW13" s="49"/>
      <c r="WX13" s="49"/>
      <c r="WY13" s="49"/>
      <c r="WZ13" s="49"/>
      <c r="XA13" s="49"/>
      <c r="XB13" s="49"/>
      <c r="XC13" s="49"/>
      <c r="XD13" s="49"/>
      <c r="XE13" s="49"/>
      <c r="XF13" s="49"/>
      <c r="XG13" s="49"/>
      <c r="XH13" s="49"/>
      <c r="XI13" s="49"/>
      <c r="XJ13" s="49"/>
      <c r="XK13" s="49"/>
      <c r="XL13" s="49"/>
      <c r="XM13" s="49"/>
      <c r="XN13" s="49"/>
      <c r="XO13" s="49"/>
      <c r="XP13" s="49"/>
      <c r="XQ13" s="49"/>
      <c r="XR13" s="49"/>
      <c r="XS13" s="49"/>
      <c r="XT13" s="49"/>
      <c r="XU13" s="49"/>
      <c r="XV13" s="49"/>
      <c r="XW13" s="49"/>
      <c r="XX13" s="49"/>
      <c r="XY13" s="49"/>
      <c r="XZ13" s="49"/>
      <c r="YA13" s="49"/>
      <c r="YB13" s="49"/>
      <c r="YC13" s="49"/>
      <c r="YD13" s="49"/>
      <c r="YE13" s="49"/>
      <c r="YF13" s="49"/>
      <c r="YG13" s="49"/>
      <c r="YH13" s="49"/>
      <c r="YI13" s="49"/>
      <c r="YJ13" s="49"/>
      <c r="YK13" s="49"/>
      <c r="YL13" s="49"/>
      <c r="YM13" s="49"/>
      <c r="YN13" s="49"/>
      <c r="YO13" s="49"/>
      <c r="YP13" s="49"/>
      <c r="YQ13" s="49"/>
      <c r="YR13" s="49"/>
      <c r="YS13" s="49"/>
      <c r="YT13" s="49"/>
      <c r="YU13" s="49"/>
      <c r="YV13" s="49"/>
      <c r="YW13" s="49"/>
      <c r="YX13" s="49"/>
      <c r="YY13" s="49"/>
      <c r="YZ13" s="49"/>
      <c r="ZA13" s="49"/>
      <c r="ZB13" s="49"/>
      <c r="ZC13" s="49"/>
      <c r="ZD13" s="49"/>
      <c r="ZE13" s="49"/>
      <c r="ZF13" s="49"/>
      <c r="ZG13" s="49"/>
      <c r="ZH13" s="49"/>
      <c r="ZI13" s="49"/>
      <c r="ZJ13" s="49"/>
      <c r="ZK13" s="49"/>
      <c r="ZL13" s="49"/>
      <c r="ZM13" s="49"/>
      <c r="ZN13" s="49"/>
      <c r="ZO13" s="49"/>
      <c r="ZP13" s="49"/>
      <c r="ZQ13" s="49"/>
      <c r="ZR13" s="49"/>
      <c r="ZS13" s="49"/>
      <c r="ZT13" s="49"/>
      <c r="ZU13" s="49"/>
      <c r="ZV13" s="49"/>
      <c r="ZW13" s="49"/>
      <c r="ZX13" s="49"/>
      <c r="ZY13" s="49"/>
      <c r="ZZ13" s="49"/>
      <c r="AAA13" s="49"/>
      <c r="AAB13" s="49"/>
      <c r="AAC13" s="49"/>
      <c r="AAD13" s="49"/>
      <c r="AAE13" s="49"/>
      <c r="AAF13" s="49"/>
      <c r="AAG13" s="49"/>
      <c r="AAH13" s="49"/>
      <c r="AAI13" s="49"/>
      <c r="AAJ13" s="49"/>
      <c r="AAK13" s="49"/>
      <c r="AAL13" s="49"/>
      <c r="AAM13" s="49"/>
      <c r="AAN13" s="49"/>
      <c r="AAO13" s="49"/>
      <c r="AAP13" s="49"/>
      <c r="AAQ13" s="49"/>
      <c r="AAR13" s="49"/>
      <c r="AAS13" s="49"/>
      <c r="AAT13" s="49"/>
      <c r="AAU13" s="49"/>
      <c r="AAV13" s="49"/>
      <c r="AAW13" s="49"/>
      <c r="AAX13" s="49"/>
      <c r="AAY13" s="49"/>
      <c r="AAZ13" s="49"/>
      <c r="ABA13" s="49"/>
      <c r="ABB13" s="49"/>
      <c r="ABC13" s="49"/>
      <c r="ABD13" s="49"/>
      <c r="ABE13" s="49"/>
      <c r="ABF13" s="49"/>
      <c r="ABG13" s="49"/>
      <c r="ABH13" s="49"/>
      <c r="ABI13" s="49"/>
      <c r="ABJ13" s="49"/>
      <c r="ABK13" s="49"/>
      <c r="ABL13" s="49"/>
      <c r="ABM13" s="49"/>
      <c r="ABN13" s="49"/>
      <c r="ABO13" s="49"/>
      <c r="ABP13" s="49"/>
      <c r="ABQ13" s="49"/>
      <c r="ABR13" s="49"/>
      <c r="ABS13" s="49"/>
      <c r="ABT13" s="49"/>
      <c r="ABU13" s="49"/>
      <c r="ABV13" s="49"/>
      <c r="ABW13" s="49"/>
      <c r="ABX13" s="49"/>
      <c r="ABY13" s="49"/>
      <c r="ABZ13" s="49"/>
      <c r="ACA13" s="49"/>
      <c r="ACB13" s="49"/>
      <c r="ACC13" s="49"/>
      <c r="ACD13" s="49"/>
      <c r="ACE13" s="49"/>
      <c r="ACF13" s="49"/>
      <c r="ACG13" s="49"/>
      <c r="ACH13" s="49"/>
      <c r="ACI13" s="49"/>
      <c r="ACJ13" s="49"/>
      <c r="ACK13" s="49"/>
      <c r="ACL13" s="49"/>
      <c r="ACM13" s="49"/>
      <c r="ACN13" s="49"/>
      <c r="ACO13" s="49"/>
      <c r="ACP13" s="49"/>
      <c r="ACQ13" s="49"/>
      <c r="ACR13" s="49"/>
      <c r="ACS13" s="49"/>
      <c r="ACT13" s="49"/>
      <c r="ACU13" s="49"/>
      <c r="ACV13" s="49"/>
      <c r="ACW13" s="49"/>
      <c r="ACX13" s="49"/>
      <c r="ACY13" s="49"/>
      <c r="ACZ13" s="49"/>
      <c r="ADA13" s="49"/>
      <c r="ADB13" s="49"/>
      <c r="ADC13" s="49"/>
      <c r="ADD13" s="49"/>
      <c r="ADE13" s="49"/>
      <c r="ADF13" s="49"/>
      <c r="ADG13" s="49"/>
      <c r="ADH13" s="49"/>
      <c r="ADI13" s="49"/>
      <c r="ADJ13" s="49"/>
      <c r="ADK13" s="49"/>
      <c r="ADL13" s="49"/>
      <c r="ADM13" s="49"/>
      <c r="ADN13" s="49"/>
      <c r="ADO13" s="49"/>
      <c r="ADP13" s="49"/>
      <c r="ADQ13" s="49"/>
      <c r="ADR13" s="49"/>
      <c r="ADS13" s="49"/>
      <c r="ADT13" s="49"/>
      <c r="ADU13" s="49"/>
      <c r="ADV13" s="49"/>
      <c r="ADW13" s="49"/>
      <c r="ADX13" s="49"/>
      <c r="ADY13" s="49"/>
      <c r="ADZ13" s="49"/>
      <c r="AEA13" s="49"/>
      <c r="AEB13" s="49"/>
      <c r="AEC13" s="49"/>
      <c r="AED13" s="49"/>
      <c r="AEE13" s="49"/>
      <c r="AEF13" s="49"/>
      <c r="AEG13" s="49"/>
      <c r="AEH13" s="49"/>
      <c r="AEI13" s="49"/>
      <c r="AEJ13" s="49"/>
      <c r="AEK13" s="49"/>
      <c r="AEL13" s="49"/>
      <c r="AEM13" s="49"/>
      <c r="AEN13" s="49"/>
      <c r="AEO13" s="49"/>
      <c r="AEP13" s="49"/>
      <c r="AEQ13" s="49"/>
      <c r="AER13" s="49"/>
      <c r="AES13" s="49"/>
      <c r="AET13" s="49"/>
      <c r="AEU13" s="49"/>
      <c r="AEV13" s="49"/>
      <c r="AEW13" s="49"/>
      <c r="AEX13" s="49"/>
      <c r="AEY13" s="49"/>
      <c r="AEZ13" s="49"/>
      <c r="AFA13" s="49"/>
      <c r="AFB13" s="49"/>
      <c r="AFC13" s="49"/>
      <c r="AFD13" s="49"/>
      <c r="AFE13" s="49"/>
      <c r="AFF13" s="49"/>
      <c r="AFG13" s="49"/>
      <c r="AFH13" s="49"/>
      <c r="AFI13" s="49"/>
      <c r="AFJ13" s="49"/>
      <c r="AFK13" s="49"/>
      <c r="AFL13" s="49"/>
      <c r="AFM13" s="49"/>
      <c r="AFN13" s="49"/>
      <c r="AFO13" s="49"/>
      <c r="AFP13" s="49"/>
      <c r="AFQ13" s="49"/>
      <c r="AFR13" s="49"/>
      <c r="AFS13" s="49"/>
      <c r="AFT13" s="49"/>
      <c r="AFU13" s="49"/>
      <c r="AFV13" s="49"/>
      <c r="AFW13" s="49"/>
      <c r="AFX13" s="49"/>
      <c r="AFY13" s="49"/>
      <c r="AFZ13" s="49"/>
      <c r="AGA13" s="49"/>
      <c r="AGB13" s="49"/>
      <c r="AGC13" s="49"/>
      <c r="AGD13" s="49"/>
      <c r="AGE13" s="49"/>
      <c r="AGF13" s="49"/>
      <c r="AGG13" s="49"/>
      <c r="AGH13" s="49"/>
      <c r="AGI13" s="49"/>
      <c r="AGJ13" s="49"/>
      <c r="AGK13" s="49"/>
      <c r="AGL13" s="49"/>
      <c r="AGM13" s="49"/>
      <c r="AGN13" s="49"/>
      <c r="AGO13" s="49"/>
      <c r="AGP13" s="49"/>
      <c r="AGQ13" s="49"/>
      <c r="AGR13" s="49"/>
      <c r="AGS13" s="49"/>
      <c r="AGT13" s="49"/>
      <c r="AGU13" s="49"/>
      <c r="AGV13" s="49"/>
      <c r="AGW13" s="49"/>
      <c r="AGX13" s="49"/>
      <c r="AGY13" s="49"/>
      <c r="AGZ13" s="49"/>
      <c r="AHA13" s="49"/>
      <c r="AHB13" s="49"/>
      <c r="AHC13" s="49"/>
      <c r="AHD13" s="49"/>
      <c r="AHE13" s="49"/>
      <c r="AHF13" s="49"/>
      <c r="AHG13" s="49"/>
      <c r="AHH13" s="49"/>
      <c r="AHI13" s="49"/>
      <c r="AHJ13" s="49"/>
      <c r="AHK13" s="49"/>
      <c r="AHL13" s="49"/>
      <c r="AHM13" s="49"/>
      <c r="AHN13" s="49"/>
      <c r="AHO13" s="49"/>
      <c r="AHP13" s="49"/>
      <c r="AHQ13" s="49"/>
      <c r="AHR13" s="49"/>
      <c r="AHS13" s="49"/>
      <c r="AHT13" s="49"/>
      <c r="AHU13" s="49"/>
      <c r="AHV13" s="49"/>
      <c r="AHW13" s="49"/>
      <c r="AHX13" s="49"/>
      <c r="AHY13" s="49"/>
      <c r="AHZ13" s="49"/>
      <c r="AIA13" s="49"/>
      <c r="AIB13" s="49"/>
      <c r="AIC13" s="49"/>
      <c r="AID13" s="49"/>
      <c r="AIE13" s="49"/>
      <c r="AIF13" s="49"/>
      <c r="AIG13" s="49"/>
      <c r="AIH13" s="49"/>
      <c r="AII13" s="49"/>
      <c r="AIJ13" s="49"/>
      <c r="AIK13" s="49"/>
      <c r="AIL13" s="49"/>
      <c r="AIM13" s="49"/>
      <c r="AIN13" s="49"/>
      <c r="AIO13" s="49"/>
      <c r="AIP13" s="49"/>
      <c r="AIQ13" s="49"/>
      <c r="AIR13" s="49"/>
      <c r="AIS13" s="49"/>
      <c r="AIT13" s="49"/>
      <c r="AIU13" s="49"/>
      <c r="AIV13" s="49"/>
      <c r="AIW13" s="49"/>
      <c r="AIX13" s="49"/>
      <c r="AIY13" s="49"/>
      <c r="AIZ13" s="49"/>
      <c r="AJA13" s="49"/>
      <c r="AJB13" s="49"/>
      <c r="AJC13" s="49"/>
      <c r="AJD13" s="49"/>
      <c r="AJE13" s="49"/>
      <c r="AJF13" s="49"/>
      <c r="AJG13" s="49"/>
      <c r="AJH13" s="49"/>
      <c r="AJI13" s="49"/>
      <c r="AJJ13" s="49"/>
      <c r="AJK13" s="49"/>
      <c r="AJL13" s="49"/>
      <c r="AJM13" s="49"/>
      <c r="AJN13" s="49"/>
      <c r="AJO13" s="49"/>
      <c r="AJP13" s="49"/>
      <c r="AJQ13" s="49"/>
      <c r="AJR13" s="49"/>
      <c r="AJS13" s="49"/>
      <c r="AJT13" s="49"/>
      <c r="AJU13" s="49"/>
      <c r="AJV13" s="49"/>
      <c r="AJW13" s="49"/>
      <c r="AJX13" s="49"/>
      <c r="AJY13" s="49"/>
      <c r="AJZ13" s="49"/>
      <c r="AKA13" s="49"/>
      <c r="AKB13" s="49"/>
      <c r="AKC13" s="49"/>
      <c r="AKD13" s="49"/>
      <c r="AKE13" s="49"/>
      <c r="AKF13" s="49"/>
      <c r="AKG13" s="49"/>
      <c r="AKH13" s="49"/>
      <c r="AKI13" s="49"/>
      <c r="AKJ13" s="49"/>
      <c r="AKK13" s="49"/>
      <c r="AKL13" s="49"/>
      <c r="AKM13" s="49"/>
      <c r="AKN13" s="49"/>
      <c r="AKO13" s="49"/>
      <c r="AKP13" s="49"/>
      <c r="AKQ13" s="49"/>
      <c r="AKR13" s="49"/>
      <c r="AKS13" s="49"/>
      <c r="AKT13" s="49"/>
      <c r="AKU13" s="49"/>
      <c r="AKV13" s="49"/>
      <c r="AKW13" s="49"/>
      <c r="AKX13" s="49"/>
      <c r="AKY13" s="49"/>
      <c r="AKZ13" s="49"/>
      <c r="ALA13" s="49"/>
      <c r="ALB13" s="49"/>
      <c r="ALC13" s="49"/>
      <c r="ALD13" s="49"/>
      <c r="ALE13" s="49"/>
      <c r="ALF13" s="49"/>
      <c r="ALG13" s="49"/>
      <c r="ALH13" s="49"/>
      <c r="ALI13" s="49"/>
      <c r="ALJ13" s="49"/>
      <c r="ALK13" s="49"/>
      <c r="ALL13" s="49"/>
      <c r="ALM13" s="49"/>
      <c r="ALN13" s="49"/>
      <c r="ALO13" s="49"/>
      <c r="ALP13" s="49"/>
      <c r="ALQ13" s="49"/>
      <c r="ALR13" s="49"/>
      <c r="ALS13" s="49"/>
      <c r="ALT13" s="49"/>
      <c r="ALU13" s="49"/>
      <c r="ALV13" s="49"/>
      <c r="ALW13" s="49"/>
      <c r="ALX13" s="49"/>
      <c r="ALY13" s="49"/>
      <c r="ALZ13" s="49"/>
      <c r="AMA13" s="49"/>
      <c r="AMB13" s="49"/>
      <c r="AMC13" s="49"/>
      <c r="AMD13" s="49"/>
      <c r="AME13" s="49"/>
      <c r="AMF13" s="49"/>
      <c r="AMG13" s="49"/>
      <c r="AMH13" s="49"/>
      <c r="AMI13" s="49"/>
      <c r="AMJ13" s="49"/>
      <c r="AMK13" s="49"/>
      <c r="AML13" s="49"/>
      <c r="AMM13" s="49"/>
      <c r="AMN13" s="49"/>
      <c r="AMO13" s="49"/>
      <c r="AMP13" s="49"/>
      <c r="AMQ13" s="49"/>
      <c r="AMR13" s="49"/>
      <c r="AMS13" s="49"/>
      <c r="AMT13" s="49"/>
      <c r="AMU13" s="49"/>
      <c r="AMV13" s="49"/>
      <c r="AMW13" s="49"/>
      <c r="AMX13" s="49"/>
      <c r="AMY13" s="49"/>
      <c r="AMZ13" s="49"/>
      <c r="ANA13" s="49"/>
      <c r="ANB13" s="49"/>
      <c r="ANC13" s="49"/>
      <c r="AND13" s="49"/>
      <c r="ANE13" s="49"/>
      <c r="ANF13" s="49"/>
      <c r="ANG13" s="49"/>
      <c r="ANH13" s="49"/>
      <c r="ANI13" s="49"/>
      <c r="ANJ13" s="49"/>
      <c r="ANK13" s="49"/>
      <c r="ANL13" s="49"/>
      <c r="ANM13" s="49"/>
      <c r="ANN13" s="49"/>
      <c r="ANO13" s="49"/>
      <c r="ANP13" s="49"/>
      <c r="ANQ13" s="49"/>
      <c r="ANR13" s="49"/>
      <c r="ANS13" s="49"/>
      <c r="ANT13" s="49"/>
      <c r="ANU13" s="49"/>
      <c r="ANV13" s="49"/>
      <c r="ANW13" s="49"/>
      <c r="ANX13" s="49"/>
      <c r="ANY13" s="49"/>
      <c r="ANZ13" s="49"/>
      <c r="AOA13" s="49"/>
      <c r="AOB13" s="49"/>
      <c r="AOC13" s="49"/>
      <c r="AOD13" s="49"/>
      <c r="AOE13" s="49"/>
      <c r="AOF13" s="49"/>
      <c r="AOG13" s="49"/>
      <c r="AOH13" s="49"/>
      <c r="AOI13" s="49"/>
      <c r="AOJ13" s="49"/>
      <c r="AOK13" s="49"/>
      <c r="AOL13" s="49"/>
      <c r="AOM13" s="49"/>
      <c r="AON13" s="49"/>
      <c r="AOO13" s="49"/>
      <c r="AOP13" s="49"/>
      <c r="AOQ13" s="49"/>
      <c r="AOR13" s="49"/>
      <c r="AOS13" s="49"/>
      <c r="AOT13" s="49"/>
      <c r="AOU13" s="49"/>
      <c r="AOV13" s="49"/>
      <c r="AOW13" s="49"/>
      <c r="AOX13" s="49"/>
      <c r="AOY13" s="49"/>
      <c r="AOZ13" s="49"/>
      <c r="APA13" s="49"/>
      <c r="APB13" s="49"/>
      <c r="APC13" s="49"/>
      <c r="APD13" s="49"/>
      <c r="APE13" s="49"/>
      <c r="APF13" s="49"/>
      <c r="APG13" s="49"/>
      <c r="APH13" s="49"/>
      <c r="API13" s="49"/>
      <c r="APJ13" s="49"/>
      <c r="APK13" s="49"/>
      <c r="APL13" s="49"/>
      <c r="APM13" s="49"/>
      <c r="APN13" s="49"/>
      <c r="APO13" s="49"/>
      <c r="APP13" s="49"/>
      <c r="APQ13" s="49"/>
      <c r="APR13" s="49"/>
      <c r="APS13" s="49"/>
      <c r="APT13" s="49"/>
      <c r="APU13" s="49"/>
      <c r="APV13" s="49"/>
      <c r="APW13" s="49"/>
      <c r="APX13" s="49"/>
      <c r="APY13" s="49"/>
      <c r="APZ13" s="49"/>
      <c r="AQA13" s="49"/>
      <c r="AQB13" s="49"/>
      <c r="AQC13" s="49"/>
      <c r="AQD13" s="49"/>
      <c r="AQE13" s="49"/>
      <c r="AQF13" s="49"/>
      <c r="AQG13" s="49"/>
      <c r="AQH13" s="49"/>
      <c r="AQI13" s="49"/>
      <c r="AQJ13" s="49"/>
      <c r="AQK13" s="49"/>
      <c r="AQL13" s="49"/>
      <c r="AQM13" s="49"/>
      <c r="AQN13" s="49"/>
      <c r="AQO13" s="49"/>
      <c r="AQP13" s="49"/>
      <c r="AQQ13" s="49"/>
      <c r="AQR13" s="49"/>
      <c r="AQS13" s="49"/>
      <c r="AQT13" s="49"/>
      <c r="AQU13" s="49"/>
      <c r="AQV13" s="49"/>
      <c r="AQW13" s="49"/>
      <c r="AQX13" s="49"/>
      <c r="AQY13" s="49"/>
      <c r="AQZ13" s="49"/>
      <c r="ARA13" s="49"/>
      <c r="ARB13" s="49"/>
      <c r="ARC13" s="49"/>
      <c r="ARD13" s="49"/>
      <c r="ARE13" s="49"/>
      <c r="ARF13" s="49"/>
      <c r="ARG13" s="49"/>
      <c r="ARH13" s="49"/>
      <c r="ARI13" s="49"/>
      <c r="ARJ13" s="49"/>
      <c r="ARK13" s="49"/>
      <c r="ARL13" s="49"/>
      <c r="ARM13" s="49"/>
      <c r="ARN13" s="49"/>
      <c r="ARO13" s="49"/>
      <c r="ARP13" s="49"/>
      <c r="ARQ13" s="49"/>
      <c r="ARR13" s="49"/>
      <c r="ARS13" s="49"/>
      <c r="ART13" s="49"/>
      <c r="ARU13" s="49"/>
      <c r="ARV13" s="49"/>
      <c r="ARW13" s="49"/>
      <c r="ARX13" s="49"/>
      <c r="ARY13" s="49"/>
      <c r="ARZ13" s="49"/>
      <c r="ASA13" s="49"/>
      <c r="ASB13" s="49"/>
      <c r="ASC13" s="49"/>
      <c r="ASD13" s="49"/>
      <c r="ASE13" s="49"/>
      <c r="ASF13" s="49"/>
      <c r="ASG13" s="49"/>
      <c r="ASH13" s="49"/>
      <c r="ASI13" s="49"/>
      <c r="ASJ13" s="49"/>
      <c r="ASK13" s="49"/>
      <c r="ASL13" s="49"/>
      <c r="ASM13" s="49"/>
      <c r="ASN13" s="49"/>
      <c r="ASO13" s="49"/>
      <c r="ASP13" s="49"/>
      <c r="ASQ13" s="49"/>
      <c r="ASR13" s="49"/>
      <c r="ASS13" s="49"/>
      <c r="AST13" s="49"/>
      <c r="ASU13" s="49"/>
      <c r="ASV13" s="49"/>
      <c r="ASW13" s="49"/>
      <c r="ASX13" s="49"/>
      <c r="ASY13" s="49"/>
      <c r="ASZ13" s="49"/>
      <c r="ATA13" s="49"/>
      <c r="ATB13" s="49"/>
      <c r="ATC13" s="49"/>
      <c r="ATD13" s="49"/>
      <c r="ATE13" s="49"/>
      <c r="ATF13" s="49"/>
      <c r="ATG13" s="49"/>
      <c r="ATH13" s="49"/>
      <c r="ATI13" s="49"/>
      <c r="ATJ13" s="49"/>
      <c r="ATK13" s="49"/>
      <c r="ATL13" s="49"/>
      <c r="ATM13" s="49"/>
      <c r="ATN13" s="49"/>
      <c r="ATO13" s="49"/>
      <c r="ATP13" s="49"/>
      <c r="ATQ13" s="49"/>
      <c r="ATR13" s="49"/>
      <c r="ATS13" s="49"/>
      <c r="ATT13" s="49"/>
      <c r="ATU13" s="49"/>
      <c r="ATV13" s="49"/>
      <c r="ATW13" s="49"/>
      <c r="ATX13" s="49"/>
      <c r="ATY13" s="49"/>
      <c r="ATZ13" s="49"/>
      <c r="AUA13" s="49"/>
      <c r="AUB13" s="49"/>
      <c r="AUC13" s="49"/>
      <c r="AUD13" s="49"/>
      <c r="AUE13" s="49"/>
      <c r="AUF13" s="49"/>
      <c r="AUG13" s="49"/>
      <c r="AUH13" s="49"/>
      <c r="AUI13" s="49"/>
      <c r="AUJ13" s="49"/>
      <c r="AUK13" s="49"/>
      <c r="AUL13" s="49"/>
      <c r="AUM13" s="49"/>
      <c r="AUN13" s="49"/>
      <c r="AUO13" s="49"/>
      <c r="AUP13" s="49"/>
      <c r="AUQ13" s="49"/>
      <c r="AUR13" s="49"/>
      <c r="AUS13" s="49"/>
      <c r="AUT13" s="49"/>
      <c r="AUU13" s="49"/>
      <c r="AUV13" s="49"/>
      <c r="AUW13" s="49"/>
      <c r="AUX13" s="49"/>
      <c r="AUY13" s="49"/>
      <c r="AUZ13" s="49"/>
      <c r="AVA13" s="49"/>
      <c r="AVB13" s="49"/>
      <c r="AVC13" s="49"/>
      <c r="AVD13" s="49"/>
      <c r="AVE13" s="49"/>
      <c r="AVF13" s="49"/>
      <c r="AVG13" s="49"/>
      <c r="AVH13" s="49"/>
      <c r="AVI13" s="49"/>
      <c r="AVJ13" s="49"/>
      <c r="AVK13" s="49"/>
      <c r="AVL13" s="49"/>
      <c r="AVM13" s="49"/>
      <c r="AVN13" s="49"/>
      <c r="AVO13" s="49"/>
      <c r="AVP13" s="49"/>
      <c r="AVQ13" s="49"/>
      <c r="AVR13" s="49"/>
      <c r="AVS13" s="49"/>
      <c r="AVT13" s="49"/>
      <c r="AVU13" s="49"/>
      <c r="AVV13" s="49"/>
      <c r="AVW13" s="49"/>
      <c r="AVX13" s="49"/>
      <c r="AVY13" s="49"/>
      <c r="AVZ13" s="49"/>
      <c r="AWA13" s="49"/>
      <c r="AWB13" s="49"/>
      <c r="AWC13" s="49"/>
      <c r="AWD13" s="49"/>
      <c r="AWE13" s="49"/>
      <c r="AWF13" s="49"/>
      <c r="AWG13" s="49"/>
      <c r="AWH13" s="49"/>
      <c r="AWI13" s="49"/>
      <c r="AWJ13" s="49"/>
      <c r="AWK13" s="49"/>
      <c r="AWL13" s="49"/>
      <c r="AWM13" s="49"/>
      <c r="AWN13" s="49"/>
      <c r="AWO13" s="49"/>
      <c r="AWP13" s="49"/>
      <c r="AWQ13" s="49"/>
      <c r="AWR13" s="49"/>
      <c r="AWS13" s="49"/>
      <c r="AWT13" s="49"/>
      <c r="AWU13" s="49"/>
      <c r="AWV13" s="49"/>
      <c r="AWW13" s="49"/>
      <c r="AWX13" s="49"/>
      <c r="AWY13" s="49"/>
      <c r="AWZ13" s="49"/>
      <c r="AXA13" s="49"/>
      <c r="AXB13" s="49"/>
      <c r="AXC13" s="49"/>
      <c r="AXD13" s="49"/>
      <c r="AXE13" s="49"/>
      <c r="AXF13" s="49"/>
      <c r="AXG13" s="49"/>
      <c r="AXH13" s="49"/>
      <c r="AXI13" s="49"/>
      <c r="AXJ13" s="49"/>
      <c r="AXK13" s="49"/>
      <c r="AXL13" s="49"/>
      <c r="AXM13" s="49"/>
      <c r="AXN13" s="49"/>
      <c r="AXO13" s="49"/>
      <c r="AXP13" s="49"/>
      <c r="AXQ13" s="49"/>
      <c r="AXR13" s="49"/>
      <c r="AXS13" s="49"/>
      <c r="AXT13" s="49"/>
      <c r="AXU13" s="49"/>
      <c r="AXV13" s="49"/>
      <c r="AXW13" s="49"/>
      <c r="AXX13" s="49"/>
      <c r="AXY13" s="49"/>
      <c r="AXZ13" s="49"/>
      <c r="AYA13" s="49"/>
      <c r="AYB13" s="49"/>
      <c r="AYC13" s="49"/>
      <c r="AYD13" s="49"/>
      <c r="AYE13" s="49"/>
      <c r="AYF13" s="49"/>
      <c r="AYG13" s="49"/>
      <c r="AYH13" s="49"/>
      <c r="AYI13" s="49"/>
      <c r="AYJ13" s="49"/>
      <c r="AYK13" s="49"/>
      <c r="AYL13" s="49"/>
      <c r="AYM13" s="49"/>
      <c r="AYN13" s="49"/>
      <c r="AYO13" s="49"/>
      <c r="AYP13" s="49"/>
      <c r="AYQ13" s="49"/>
      <c r="AYR13" s="49"/>
      <c r="AYS13" s="49"/>
      <c r="AYT13" s="49"/>
      <c r="AYU13" s="49"/>
      <c r="AYV13" s="49"/>
      <c r="AYW13" s="49"/>
      <c r="AYX13" s="49"/>
      <c r="AYY13" s="49"/>
      <c r="AYZ13" s="49"/>
      <c r="AZA13" s="49"/>
      <c r="AZB13" s="49"/>
      <c r="AZC13" s="49"/>
      <c r="AZD13" s="49"/>
      <c r="AZE13" s="49"/>
      <c r="AZF13" s="49"/>
      <c r="AZG13" s="49"/>
      <c r="AZH13" s="49"/>
      <c r="AZI13" s="49"/>
      <c r="AZJ13" s="49"/>
      <c r="AZK13" s="49"/>
      <c r="AZL13" s="49"/>
      <c r="AZM13" s="49"/>
      <c r="AZN13" s="49"/>
      <c r="AZO13" s="49"/>
      <c r="AZP13" s="49"/>
      <c r="AZQ13" s="49"/>
      <c r="AZR13" s="49"/>
      <c r="AZS13" s="49"/>
      <c r="AZT13" s="49"/>
      <c r="AZU13" s="49"/>
      <c r="AZV13" s="49"/>
      <c r="AZW13" s="49"/>
      <c r="AZX13" s="49"/>
      <c r="AZY13" s="49"/>
      <c r="AZZ13" s="49"/>
      <c r="BAA13" s="49"/>
      <c r="BAB13" s="49"/>
      <c r="BAC13" s="49"/>
      <c r="BAD13" s="49"/>
      <c r="BAE13" s="49"/>
      <c r="BAF13" s="49"/>
      <c r="BAG13" s="49"/>
      <c r="BAH13" s="49"/>
      <c r="BAI13" s="49"/>
      <c r="BAJ13" s="49"/>
      <c r="BAK13" s="49"/>
      <c r="BAL13" s="49"/>
      <c r="BAM13" s="49"/>
      <c r="BAN13" s="49"/>
      <c r="BAO13" s="49"/>
      <c r="BAP13" s="49"/>
      <c r="BAQ13" s="49"/>
      <c r="BAR13" s="49"/>
      <c r="BAS13" s="49"/>
      <c r="BAT13" s="49"/>
      <c r="BAU13" s="49"/>
      <c r="BAV13" s="49"/>
      <c r="BAW13" s="49"/>
      <c r="BAX13" s="49"/>
      <c r="BAY13" s="49"/>
      <c r="BAZ13" s="49"/>
      <c r="BBA13" s="49"/>
      <c r="BBB13" s="49"/>
      <c r="BBC13" s="49"/>
      <c r="BBD13" s="49"/>
      <c r="BBE13" s="49"/>
      <c r="BBF13" s="49"/>
      <c r="BBG13" s="49"/>
      <c r="BBH13" s="49"/>
      <c r="BBI13" s="49"/>
      <c r="BBJ13" s="49"/>
      <c r="BBK13" s="49"/>
      <c r="BBL13" s="49"/>
      <c r="BBM13" s="49"/>
      <c r="BBN13" s="49"/>
      <c r="BBO13" s="49"/>
      <c r="BBP13" s="49"/>
      <c r="BBQ13" s="49"/>
      <c r="BBR13" s="49"/>
      <c r="BBS13" s="49"/>
      <c r="BBT13" s="49"/>
      <c r="BBU13" s="49"/>
      <c r="BBV13" s="49"/>
      <c r="BBW13" s="49"/>
      <c r="BBX13" s="49"/>
      <c r="BBY13" s="49"/>
      <c r="BBZ13" s="49"/>
      <c r="BCA13" s="49"/>
      <c r="BCB13" s="49"/>
      <c r="BCC13" s="49"/>
      <c r="BCD13" s="49"/>
      <c r="BCE13" s="49"/>
      <c r="BCF13" s="49"/>
      <c r="BCG13" s="49"/>
      <c r="BCH13" s="49"/>
      <c r="BCI13" s="49"/>
      <c r="BCJ13" s="49"/>
      <c r="BCK13" s="49"/>
      <c r="BCL13" s="49"/>
      <c r="BCM13" s="49"/>
      <c r="BCN13" s="49"/>
    </row>
    <row r="14" spans="1:1444" s="51" customFormat="1">
      <c r="A14" s="52"/>
      <c r="B14" s="94">
        <v>45757</v>
      </c>
      <c r="C14" s="94" t="s">
        <v>195</v>
      </c>
      <c r="D14" s="95">
        <v>48</v>
      </c>
      <c r="E14" s="95">
        <v>96.34499999997206</v>
      </c>
      <c r="F14" s="95">
        <v>0</v>
      </c>
      <c r="G14" s="95">
        <v>6.1200000000026193</v>
      </c>
      <c r="H14" s="95">
        <v>30</v>
      </c>
      <c r="I14" s="95">
        <v>38</v>
      </c>
      <c r="J14" s="95">
        <v>1027.77</v>
      </c>
      <c r="K14" s="95">
        <v>1357.3052999987572</v>
      </c>
      <c r="L14" s="95">
        <v>0</v>
      </c>
      <c r="M14" s="155">
        <v>0</v>
      </c>
      <c r="N14" s="141">
        <f>'units overall'!O14</f>
        <v>2616.5402999987318</v>
      </c>
      <c r="O14" s="230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B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R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H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X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N14" s="49"/>
      <c r="IO14" s="49"/>
      <c r="IP14" s="49"/>
      <c r="IQ14" s="49"/>
      <c r="IR14" s="49"/>
      <c r="IS14" s="49"/>
      <c r="IT14" s="49"/>
      <c r="IU14" s="49"/>
      <c r="IV14" s="49"/>
      <c r="IW14" s="49"/>
      <c r="IX14" s="49"/>
      <c r="IY14" s="49"/>
      <c r="IZ14" s="49"/>
      <c r="JA14" s="49"/>
      <c r="JB14" s="49"/>
      <c r="JC14" s="49"/>
      <c r="JD14" s="49"/>
      <c r="JE14" s="49"/>
      <c r="JF14" s="49"/>
      <c r="JG14" s="49"/>
      <c r="JH14" s="49"/>
      <c r="JI14" s="49"/>
      <c r="JJ14" s="49"/>
      <c r="JK14" s="49"/>
      <c r="JL14" s="49"/>
      <c r="JM14" s="49"/>
      <c r="JN14" s="49"/>
      <c r="JO14" s="49"/>
      <c r="JP14" s="49"/>
      <c r="JQ14" s="49"/>
      <c r="JR14" s="49"/>
      <c r="JS14" s="49"/>
      <c r="JT14" s="49"/>
      <c r="JU14" s="49"/>
      <c r="JV14" s="49"/>
      <c r="JW14" s="49"/>
      <c r="JX14" s="49"/>
      <c r="JY14" s="49"/>
      <c r="JZ14" s="49"/>
      <c r="KA14" s="49"/>
      <c r="KB14" s="49"/>
      <c r="KC14" s="49"/>
      <c r="KD14" s="49"/>
      <c r="KE14" s="49"/>
      <c r="KF14" s="49"/>
      <c r="KG14" s="49"/>
      <c r="KH14" s="49"/>
      <c r="KI14" s="49"/>
      <c r="KJ14" s="49"/>
      <c r="KK14" s="49"/>
      <c r="KL14" s="49"/>
      <c r="KM14" s="49"/>
      <c r="KN14" s="49"/>
      <c r="KO14" s="49"/>
      <c r="KP14" s="49"/>
      <c r="KQ14" s="49"/>
      <c r="KR14" s="49"/>
      <c r="KS14" s="49"/>
      <c r="KT14" s="49"/>
      <c r="KU14" s="49"/>
      <c r="KV14" s="49"/>
      <c r="KW14" s="49"/>
      <c r="KX14" s="49"/>
      <c r="KY14" s="49"/>
      <c r="KZ14" s="49"/>
      <c r="LA14" s="49"/>
      <c r="LB14" s="49"/>
      <c r="LC14" s="49"/>
      <c r="LD14" s="49"/>
      <c r="LE14" s="49"/>
      <c r="LF14" s="49"/>
      <c r="LG14" s="49"/>
      <c r="LH14" s="49"/>
      <c r="LI14" s="49"/>
      <c r="LJ14" s="49"/>
      <c r="LK14" s="49"/>
      <c r="LL14" s="49"/>
      <c r="LM14" s="49"/>
      <c r="LN14" s="49"/>
      <c r="LO14" s="49"/>
      <c r="LP14" s="49"/>
      <c r="LQ14" s="49"/>
      <c r="LR14" s="49"/>
      <c r="LS14" s="49"/>
      <c r="LT14" s="49"/>
      <c r="LU14" s="49"/>
      <c r="LV14" s="49"/>
      <c r="LW14" s="49"/>
      <c r="LX14" s="49"/>
      <c r="LY14" s="49"/>
      <c r="LZ14" s="49"/>
      <c r="MA14" s="49"/>
      <c r="MB14" s="49"/>
      <c r="MC14" s="49"/>
      <c r="MD14" s="49"/>
      <c r="ME14" s="49"/>
      <c r="MF14" s="49"/>
      <c r="MG14" s="49"/>
      <c r="MH14" s="49"/>
      <c r="MI14" s="49"/>
      <c r="MJ14" s="49"/>
      <c r="MK14" s="49"/>
      <c r="ML14" s="49"/>
      <c r="MM14" s="49"/>
      <c r="MN14" s="49"/>
      <c r="MO14" s="49"/>
      <c r="MP14" s="49"/>
      <c r="MQ14" s="49"/>
      <c r="MR14" s="49"/>
      <c r="MS14" s="49"/>
      <c r="MT14" s="49"/>
      <c r="MU14" s="49"/>
      <c r="MV14" s="49"/>
      <c r="MW14" s="49"/>
      <c r="MX14" s="49"/>
      <c r="MY14" s="49"/>
      <c r="MZ14" s="49"/>
      <c r="NA14" s="49"/>
      <c r="NB14" s="49"/>
      <c r="NC14" s="49"/>
      <c r="ND14" s="49"/>
      <c r="NE14" s="49"/>
      <c r="NF14" s="49"/>
      <c r="NG14" s="49"/>
      <c r="NH14" s="49"/>
      <c r="NI14" s="49"/>
      <c r="NJ14" s="49"/>
      <c r="NK14" s="49"/>
      <c r="NL14" s="49"/>
      <c r="NM14" s="49"/>
      <c r="NN14" s="49"/>
      <c r="NO14" s="49"/>
      <c r="NP14" s="49"/>
      <c r="NQ14" s="49"/>
      <c r="NR14" s="49"/>
      <c r="NS14" s="49"/>
      <c r="NT14" s="49"/>
      <c r="NU14" s="49"/>
      <c r="NV14" s="49"/>
      <c r="NW14" s="49"/>
      <c r="NX14" s="49"/>
      <c r="NY14" s="49"/>
      <c r="NZ14" s="49"/>
      <c r="OA14" s="49"/>
      <c r="OB14" s="49"/>
      <c r="OC14" s="49"/>
      <c r="OD14" s="49"/>
      <c r="OE14" s="49"/>
      <c r="OF14" s="49"/>
      <c r="OG14" s="49"/>
      <c r="OH14" s="49"/>
      <c r="OI14" s="49"/>
      <c r="OJ14" s="49"/>
      <c r="OK14" s="49"/>
      <c r="OL14" s="49"/>
      <c r="OM14" s="49"/>
      <c r="ON14" s="49"/>
      <c r="OO14" s="49"/>
      <c r="OP14" s="49"/>
      <c r="OQ14" s="49"/>
      <c r="OR14" s="49"/>
      <c r="OS14" s="49"/>
      <c r="OT14" s="49"/>
      <c r="OU14" s="49"/>
      <c r="OV14" s="49"/>
      <c r="OW14" s="49"/>
      <c r="OX14" s="49"/>
      <c r="OY14" s="49"/>
      <c r="OZ14" s="49"/>
      <c r="PA14" s="49"/>
      <c r="PB14" s="49"/>
      <c r="PC14" s="49"/>
      <c r="PD14" s="49"/>
      <c r="PE14" s="49"/>
      <c r="PF14" s="49"/>
      <c r="PG14" s="49"/>
      <c r="PH14" s="49"/>
      <c r="PI14" s="49"/>
      <c r="PJ14" s="49"/>
      <c r="PK14" s="49"/>
      <c r="PL14" s="49"/>
      <c r="PM14" s="49"/>
      <c r="PN14" s="49"/>
      <c r="PO14" s="49"/>
      <c r="PP14" s="49"/>
      <c r="PQ14" s="49"/>
      <c r="PR14" s="49"/>
      <c r="PS14" s="49"/>
      <c r="PT14" s="49"/>
      <c r="PU14" s="49"/>
      <c r="PV14" s="49"/>
      <c r="PW14" s="49"/>
      <c r="PX14" s="49"/>
      <c r="PY14" s="49"/>
      <c r="PZ14" s="49"/>
      <c r="QA14" s="49"/>
      <c r="QB14" s="49"/>
      <c r="QC14" s="49"/>
      <c r="QD14" s="49"/>
      <c r="QE14" s="49"/>
      <c r="QF14" s="49"/>
      <c r="QG14" s="49"/>
      <c r="QH14" s="49"/>
      <c r="QI14" s="49"/>
      <c r="QJ14" s="49"/>
      <c r="QK14" s="49"/>
      <c r="QL14" s="49"/>
      <c r="QM14" s="49"/>
      <c r="QN14" s="49"/>
      <c r="QO14" s="49"/>
      <c r="QP14" s="49"/>
      <c r="QQ14" s="49"/>
      <c r="QR14" s="49"/>
      <c r="QS14" s="49"/>
      <c r="QT14" s="49"/>
      <c r="QU14" s="49"/>
      <c r="QV14" s="49"/>
      <c r="QW14" s="49"/>
      <c r="QX14" s="49"/>
      <c r="QY14" s="49"/>
      <c r="QZ14" s="49"/>
      <c r="RA14" s="49"/>
      <c r="RB14" s="49"/>
      <c r="RC14" s="49"/>
      <c r="RD14" s="49"/>
      <c r="RE14" s="49"/>
      <c r="RF14" s="49"/>
      <c r="RG14" s="49"/>
      <c r="RH14" s="49"/>
      <c r="RI14" s="49"/>
      <c r="RJ14" s="49"/>
      <c r="RK14" s="49"/>
      <c r="RL14" s="49"/>
      <c r="RM14" s="49"/>
      <c r="RN14" s="49"/>
      <c r="RO14" s="49"/>
      <c r="RP14" s="49"/>
      <c r="RQ14" s="49"/>
      <c r="RR14" s="49"/>
      <c r="RS14" s="49"/>
      <c r="RT14" s="49"/>
      <c r="RU14" s="49"/>
      <c r="RV14" s="49"/>
      <c r="RW14" s="49"/>
      <c r="RX14" s="49"/>
      <c r="RY14" s="49"/>
      <c r="RZ14" s="49"/>
      <c r="SA14" s="49"/>
      <c r="SB14" s="49"/>
      <c r="SC14" s="49"/>
      <c r="SD14" s="49"/>
      <c r="SE14" s="49"/>
      <c r="SF14" s="49"/>
      <c r="SG14" s="49"/>
      <c r="SH14" s="49"/>
      <c r="SI14" s="49"/>
      <c r="SJ14" s="49"/>
      <c r="SK14" s="49"/>
      <c r="SL14" s="49"/>
      <c r="SM14" s="49"/>
      <c r="SN14" s="49"/>
      <c r="SO14" s="49"/>
      <c r="SP14" s="49"/>
      <c r="SQ14" s="49"/>
      <c r="SR14" s="49"/>
      <c r="SS14" s="49"/>
      <c r="ST14" s="49"/>
      <c r="SU14" s="49"/>
      <c r="SV14" s="49"/>
      <c r="SW14" s="49"/>
      <c r="SX14" s="49"/>
      <c r="SY14" s="49"/>
      <c r="SZ14" s="49"/>
      <c r="TA14" s="49"/>
      <c r="TB14" s="49"/>
      <c r="TC14" s="49"/>
      <c r="TD14" s="49"/>
      <c r="TE14" s="49"/>
      <c r="TF14" s="49"/>
      <c r="TG14" s="49"/>
      <c r="TH14" s="49"/>
      <c r="TI14" s="49"/>
      <c r="TJ14" s="49"/>
      <c r="TK14" s="49"/>
      <c r="TL14" s="49"/>
      <c r="TM14" s="49"/>
      <c r="TN14" s="49"/>
      <c r="TO14" s="49"/>
      <c r="TP14" s="49"/>
      <c r="TQ14" s="49"/>
      <c r="TR14" s="49"/>
      <c r="TS14" s="49"/>
      <c r="TT14" s="49"/>
      <c r="TU14" s="49"/>
      <c r="TV14" s="49"/>
      <c r="TW14" s="49"/>
      <c r="TX14" s="49"/>
      <c r="TY14" s="49"/>
      <c r="TZ14" s="49"/>
      <c r="UA14" s="49"/>
      <c r="UB14" s="49"/>
      <c r="UC14" s="49"/>
      <c r="UD14" s="49"/>
      <c r="UE14" s="49"/>
      <c r="UF14" s="49"/>
      <c r="UG14" s="49"/>
      <c r="UH14" s="49"/>
      <c r="UI14" s="49"/>
      <c r="UJ14" s="49"/>
      <c r="UK14" s="49"/>
      <c r="UL14" s="49"/>
      <c r="UM14" s="49"/>
      <c r="UN14" s="49"/>
      <c r="UO14" s="49"/>
      <c r="UP14" s="49"/>
      <c r="UQ14" s="49"/>
      <c r="UR14" s="49"/>
      <c r="US14" s="49"/>
      <c r="UT14" s="49"/>
      <c r="UU14" s="49"/>
      <c r="UV14" s="49"/>
      <c r="UW14" s="49"/>
      <c r="UX14" s="49"/>
      <c r="UY14" s="49"/>
      <c r="UZ14" s="49"/>
      <c r="VA14" s="49"/>
      <c r="VB14" s="49"/>
      <c r="VC14" s="49"/>
      <c r="VD14" s="49"/>
      <c r="VE14" s="49"/>
      <c r="VF14" s="49"/>
      <c r="VG14" s="49"/>
      <c r="VH14" s="49"/>
      <c r="VI14" s="49"/>
      <c r="VJ14" s="49"/>
      <c r="VK14" s="49"/>
      <c r="VL14" s="49"/>
      <c r="VM14" s="49"/>
      <c r="VN14" s="49"/>
      <c r="VO14" s="49"/>
      <c r="VP14" s="49"/>
      <c r="VQ14" s="49"/>
      <c r="VR14" s="49"/>
      <c r="VS14" s="49"/>
      <c r="VT14" s="49"/>
      <c r="VU14" s="49"/>
      <c r="VV14" s="49"/>
      <c r="VW14" s="49"/>
      <c r="VX14" s="49"/>
      <c r="VY14" s="49"/>
      <c r="VZ14" s="49"/>
      <c r="WA14" s="49"/>
      <c r="WB14" s="49"/>
      <c r="WC14" s="49"/>
      <c r="WD14" s="49"/>
      <c r="WE14" s="49"/>
      <c r="WF14" s="49"/>
      <c r="WG14" s="49"/>
      <c r="WH14" s="49"/>
      <c r="WI14" s="49"/>
      <c r="WJ14" s="49"/>
      <c r="WK14" s="49"/>
      <c r="WL14" s="49"/>
      <c r="WM14" s="49"/>
      <c r="WN14" s="49"/>
      <c r="WO14" s="49"/>
      <c r="WP14" s="49"/>
      <c r="WQ14" s="49"/>
      <c r="WR14" s="49"/>
      <c r="WS14" s="49"/>
      <c r="WT14" s="49"/>
      <c r="WU14" s="49"/>
      <c r="WV14" s="49"/>
      <c r="WW14" s="49"/>
      <c r="WX14" s="49"/>
      <c r="WY14" s="49"/>
      <c r="WZ14" s="49"/>
      <c r="XA14" s="49"/>
      <c r="XB14" s="49"/>
      <c r="XC14" s="49"/>
      <c r="XD14" s="49"/>
      <c r="XE14" s="49"/>
      <c r="XF14" s="49"/>
      <c r="XG14" s="49"/>
      <c r="XH14" s="49"/>
      <c r="XI14" s="49"/>
      <c r="XJ14" s="49"/>
      <c r="XK14" s="49"/>
      <c r="XL14" s="49"/>
      <c r="XM14" s="49"/>
      <c r="XN14" s="49"/>
      <c r="XO14" s="49"/>
      <c r="XP14" s="49"/>
      <c r="XQ14" s="49"/>
      <c r="XR14" s="49"/>
      <c r="XS14" s="49"/>
      <c r="XT14" s="49"/>
      <c r="XU14" s="49"/>
      <c r="XV14" s="49"/>
      <c r="XW14" s="49"/>
      <c r="XX14" s="49"/>
      <c r="XY14" s="49"/>
      <c r="XZ14" s="49"/>
      <c r="YA14" s="49"/>
      <c r="YB14" s="49"/>
      <c r="YC14" s="49"/>
      <c r="YD14" s="49"/>
      <c r="YE14" s="49"/>
      <c r="YF14" s="49"/>
      <c r="YG14" s="49"/>
      <c r="YH14" s="49"/>
      <c r="YI14" s="49"/>
      <c r="YJ14" s="49"/>
      <c r="YK14" s="49"/>
      <c r="YL14" s="49"/>
      <c r="YM14" s="49"/>
      <c r="YN14" s="49"/>
      <c r="YO14" s="49"/>
      <c r="YP14" s="49"/>
      <c r="YQ14" s="49"/>
      <c r="YR14" s="49"/>
      <c r="YS14" s="49"/>
      <c r="YT14" s="49"/>
      <c r="YU14" s="49"/>
      <c r="YV14" s="49"/>
      <c r="YW14" s="49"/>
      <c r="YX14" s="49"/>
      <c r="YY14" s="49"/>
      <c r="YZ14" s="49"/>
      <c r="ZA14" s="49"/>
      <c r="ZB14" s="49"/>
      <c r="ZC14" s="49"/>
      <c r="ZD14" s="49"/>
      <c r="ZE14" s="49"/>
      <c r="ZF14" s="49"/>
      <c r="ZG14" s="49"/>
      <c r="ZH14" s="49"/>
      <c r="ZI14" s="49"/>
      <c r="ZJ14" s="49"/>
      <c r="ZK14" s="49"/>
      <c r="ZL14" s="49"/>
      <c r="ZM14" s="49"/>
      <c r="ZN14" s="49"/>
      <c r="ZO14" s="49"/>
      <c r="ZP14" s="49"/>
      <c r="ZQ14" s="49"/>
      <c r="ZR14" s="49"/>
      <c r="ZS14" s="49"/>
      <c r="ZT14" s="49"/>
      <c r="ZU14" s="49"/>
      <c r="ZV14" s="49"/>
      <c r="ZW14" s="49"/>
      <c r="ZX14" s="49"/>
      <c r="ZY14" s="49"/>
      <c r="ZZ14" s="49"/>
      <c r="AAA14" s="49"/>
      <c r="AAB14" s="49"/>
      <c r="AAC14" s="49"/>
      <c r="AAD14" s="49"/>
      <c r="AAE14" s="49"/>
      <c r="AAF14" s="49"/>
      <c r="AAG14" s="49"/>
      <c r="AAH14" s="49"/>
      <c r="AAI14" s="49"/>
      <c r="AAJ14" s="49"/>
      <c r="AAK14" s="49"/>
      <c r="AAL14" s="49"/>
      <c r="AAM14" s="49"/>
      <c r="AAN14" s="49"/>
      <c r="AAO14" s="49"/>
      <c r="AAP14" s="49"/>
      <c r="AAQ14" s="49"/>
      <c r="AAR14" s="49"/>
      <c r="AAS14" s="49"/>
      <c r="AAT14" s="49"/>
      <c r="AAU14" s="49"/>
      <c r="AAV14" s="49"/>
      <c r="AAW14" s="49"/>
      <c r="AAX14" s="49"/>
      <c r="AAY14" s="49"/>
      <c r="AAZ14" s="49"/>
      <c r="ABA14" s="49"/>
      <c r="ABB14" s="49"/>
      <c r="ABC14" s="49"/>
      <c r="ABD14" s="49"/>
      <c r="ABE14" s="49"/>
      <c r="ABF14" s="49"/>
      <c r="ABG14" s="49"/>
      <c r="ABH14" s="49"/>
      <c r="ABI14" s="49"/>
      <c r="ABJ14" s="49"/>
      <c r="ABK14" s="49"/>
      <c r="ABL14" s="49"/>
      <c r="ABM14" s="49"/>
      <c r="ABN14" s="49"/>
      <c r="ABO14" s="49"/>
      <c r="ABP14" s="49"/>
      <c r="ABQ14" s="49"/>
      <c r="ABR14" s="49"/>
      <c r="ABS14" s="49"/>
      <c r="ABT14" s="49"/>
      <c r="ABU14" s="49"/>
      <c r="ABV14" s="49"/>
      <c r="ABW14" s="49"/>
      <c r="ABX14" s="49"/>
      <c r="ABY14" s="49"/>
      <c r="ABZ14" s="49"/>
      <c r="ACA14" s="49"/>
      <c r="ACB14" s="49"/>
      <c r="ACC14" s="49"/>
      <c r="ACD14" s="49"/>
      <c r="ACE14" s="49"/>
      <c r="ACF14" s="49"/>
      <c r="ACG14" s="49"/>
      <c r="ACH14" s="49"/>
      <c r="ACI14" s="49"/>
      <c r="ACJ14" s="49"/>
      <c r="ACK14" s="49"/>
      <c r="ACL14" s="49"/>
      <c r="ACM14" s="49"/>
      <c r="ACN14" s="49"/>
      <c r="ACO14" s="49"/>
      <c r="ACP14" s="49"/>
      <c r="ACQ14" s="49"/>
      <c r="ACR14" s="49"/>
      <c r="ACS14" s="49"/>
      <c r="ACT14" s="49"/>
      <c r="ACU14" s="49"/>
      <c r="ACV14" s="49"/>
      <c r="ACW14" s="49"/>
      <c r="ACX14" s="49"/>
      <c r="ACY14" s="49"/>
      <c r="ACZ14" s="49"/>
      <c r="ADA14" s="49"/>
      <c r="ADB14" s="49"/>
      <c r="ADC14" s="49"/>
      <c r="ADD14" s="49"/>
      <c r="ADE14" s="49"/>
      <c r="ADF14" s="49"/>
      <c r="ADG14" s="49"/>
      <c r="ADH14" s="49"/>
      <c r="ADI14" s="49"/>
      <c r="ADJ14" s="49"/>
      <c r="ADK14" s="49"/>
      <c r="ADL14" s="49"/>
      <c r="ADM14" s="49"/>
      <c r="ADN14" s="49"/>
      <c r="ADO14" s="49"/>
      <c r="ADP14" s="49"/>
      <c r="ADQ14" s="49"/>
      <c r="ADR14" s="49"/>
      <c r="ADS14" s="49"/>
      <c r="ADT14" s="49"/>
      <c r="ADU14" s="49"/>
      <c r="ADV14" s="49"/>
      <c r="ADW14" s="49"/>
      <c r="ADX14" s="49"/>
      <c r="ADY14" s="49"/>
      <c r="ADZ14" s="49"/>
      <c r="AEA14" s="49"/>
      <c r="AEB14" s="49"/>
      <c r="AEC14" s="49"/>
      <c r="AED14" s="49"/>
      <c r="AEE14" s="49"/>
      <c r="AEF14" s="49"/>
      <c r="AEG14" s="49"/>
      <c r="AEH14" s="49"/>
      <c r="AEI14" s="49"/>
      <c r="AEJ14" s="49"/>
      <c r="AEK14" s="49"/>
      <c r="AEL14" s="49"/>
      <c r="AEM14" s="49"/>
      <c r="AEN14" s="49"/>
      <c r="AEO14" s="49"/>
      <c r="AEP14" s="49"/>
      <c r="AEQ14" s="49"/>
      <c r="AER14" s="49"/>
      <c r="AES14" s="49"/>
      <c r="AET14" s="49"/>
      <c r="AEU14" s="49"/>
      <c r="AEV14" s="49"/>
      <c r="AEW14" s="49"/>
      <c r="AEX14" s="49"/>
      <c r="AEY14" s="49"/>
      <c r="AEZ14" s="49"/>
      <c r="AFA14" s="49"/>
      <c r="AFB14" s="49"/>
      <c r="AFC14" s="49"/>
      <c r="AFD14" s="49"/>
      <c r="AFE14" s="49"/>
      <c r="AFF14" s="49"/>
      <c r="AFG14" s="49"/>
      <c r="AFH14" s="49"/>
      <c r="AFI14" s="49"/>
      <c r="AFJ14" s="49"/>
      <c r="AFK14" s="49"/>
      <c r="AFL14" s="49"/>
      <c r="AFM14" s="49"/>
      <c r="AFN14" s="49"/>
      <c r="AFO14" s="49"/>
      <c r="AFP14" s="49"/>
      <c r="AFQ14" s="49"/>
      <c r="AFR14" s="49"/>
      <c r="AFS14" s="49"/>
      <c r="AFT14" s="49"/>
      <c r="AFU14" s="49"/>
      <c r="AFV14" s="49"/>
      <c r="AFW14" s="49"/>
      <c r="AFX14" s="49"/>
      <c r="AFY14" s="49"/>
      <c r="AFZ14" s="49"/>
      <c r="AGA14" s="49"/>
      <c r="AGB14" s="49"/>
      <c r="AGC14" s="49"/>
      <c r="AGD14" s="49"/>
      <c r="AGE14" s="49"/>
      <c r="AGF14" s="49"/>
      <c r="AGG14" s="49"/>
      <c r="AGH14" s="49"/>
      <c r="AGI14" s="49"/>
      <c r="AGJ14" s="49"/>
      <c r="AGK14" s="49"/>
      <c r="AGL14" s="49"/>
      <c r="AGM14" s="49"/>
      <c r="AGN14" s="49"/>
      <c r="AGO14" s="49"/>
      <c r="AGP14" s="49"/>
      <c r="AGQ14" s="49"/>
      <c r="AGR14" s="49"/>
      <c r="AGS14" s="49"/>
      <c r="AGT14" s="49"/>
      <c r="AGU14" s="49"/>
      <c r="AGV14" s="49"/>
      <c r="AGW14" s="49"/>
      <c r="AGX14" s="49"/>
      <c r="AGY14" s="49"/>
      <c r="AGZ14" s="49"/>
      <c r="AHA14" s="49"/>
      <c r="AHB14" s="49"/>
      <c r="AHC14" s="49"/>
      <c r="AHD14" s="49"/>
      <c r="AHE14" s="49"/>
      <c r="AHF14" s="49"/>
      <c r="AHG14" s="49"/>
      <c r="AHH14" s="49"/>
      <c r="AHI14" s="49"/>
      <c r="AHJ14" s="49"/>
      <c r="AHK14" s="49"/>
      <c r="AHL14" s="49"/>
      <c r="AHM14" s="49"/>
      <c r="AHN14" s="49"/>
      <c r="AHO14" s="49"/>
      <c r="AHP14" s="49"/>
      <c r="AHQ14" s="49"/>
      <c r="AHR14" s="49"/>
      <c r="AHS14" s="49"/>
      <c r="AHT14" s="49"/>
      <c r="AHU14" s="49"/>
      <c r="AHV14" s="49"/>
      <c r="AHW14" s="49"/>
      <c r="AHX14" s="49"/>
      <c r="AHY14" s="49"/>
      <c r="AHZ14" s="49"/>
      <c r="AIA14" s="49"/>
      <c r="AIB14" s="49"/>
      <c r="AIC14" s="49"/>
      <c r="AID14" s="49"/>
      <c r="AIE14" s="49"/>
      <c r="AIF14" s="49"/>
      <c r="AIG14" s="49"/>
      <c r="AIH14" s="49"/>
      <c r="AII14" s="49"/>
      <c r="AIJ14" s="49"/>
      <c r="AIK14" s="49"/>
      <c r="AIL14" s="49"/>
      <c r="AIM14" s="49"/>
      <c r="AIN14" s="49"/>
      <c r="AIO14" s="49"/>
      <c r="AIP14" s="49"/>
      <c r="AIQ14" s="49"/>
      <c r="AIR14" s="49"/>
      <c r="AIS14" s="49"/>
      <c r="AIT14" s="49"/>
      <c r="AIU14" s="49"/>
      <c r="AIV14" s="49"/>
      <c r="AIW14" s="49"/>
      <c r="AIX14" s="49"/>
      <c r="AIY14" s="49"/>
      <c r="AIZ14" s="49"/>
      <c r="AJA14" s="49"/>
      <c r="AJB14" s="49"/>
      <c r="AJC14" s="49"/>
      <c r="AJD14" s="49"/>
      <c r="AJE14" s="49"/>
      <c r="AJF14" s="49"/>
      <c r="AJG14" s="49"/>
      <c r="AJH14" s="49"/>
      <c r="AJI14" s="49"/>
      <c r="AJJ14" s="49"/>
      <c r="AJK14" s="49"/>
      <c r="AJL14" s="49"/>
      <c r="AJM14" s="49"/>
      <c r="AJN14" s="49"/>
      <c r="AJO14" s="49"/>
      <c r="AJP14" s="49"/>
      <c r="AJQ14" s="49"/>
      <c r="AJR14" s="49"/>
      <c r="AJS14" s="49"/>
      <c r="AJT14" s="49"/>
      <c r="AJU14" s="49"/>
      <c r="AJV14" s="49"/>
      <c r="AJW14" s="49"/>
      <c r="AJX14" s="49"/>
      <c r="AJY14" s="49"/>
      <c r="AJZ14" s="49"/>
      <c r="AKA14" s="49"/>
      <c r="AKB14" s="49"/>
      <c r="AKC14" s="49"/>
      <c r="AKD14" s="49"/>
      <c r="AKE14" s="49"/>
      <c r="AKF14" s="49"/>
      <c r="AKG14" s="49"/>
      <c r="AKH14" s="49"/>
      <c r="AKI14" s="49"/>
      <c r="AKJ14" s="49"/>
      <c r="AKK14" s="49"/>
      <c r="AKL14" s="49"/>
      <c r="AKM14" s="49"/>
      <c r="AKN14" s="49"/>
      <c r="AKO14" s="49"/>
      <c r="AKP14" s="49"/>
      <c r="AKQ14" s="49"/>
      <c r="AKR14" s="49"/>
      <c r="AKS14" s="49"/>
      <c r="AKT14" s="49"/>
      <c r="AKU14" s="49"/>
      <c r="AKV14" s="49"/>
      <c r="AKW14" s="49"/>
      <c r="AKX14" s="49"/>
      <c r="AKY14" s="49"/>
      <c r="AKZ14" s="49"/>
      <c r="ALA14" s="49"/>
      <c r="ALB14" s="49"/>
      <c r="ALC14" s="49"/>
      <c r="ALD14" s="49"/>
      <c r="ALE14" s="49"/>
      <c r="ALF14" s="49"/>
      <c r="ALG14" s="49"/>
      <c r="ALH14" s="49"/>
      <c r="ALI14" s="49"/>
      <c r="ALJ14" s="49"/>
      <c r="ALK14" s="49"/>
      <c r="ALL14" s="49"/>
      <c r="ALM14" s="49"/>
      <c r="ALN14" s="49"/>
      <c r="ALO14" s="49"/>
      <c r="ALP14" s="49"/>
      <c r="ALQ14" s="49"/>
      <c r="ALR14" s="49"/>
      <c r="ALS14" s="49"/>
      <c r="ALT14" s="49"/>
      <c r="ALU14" s="49"/>
      <c r="ALV14" s="49"/>
      <c r="ALW14" s="49"/>
      <c r="ALX14" s="49"/>
      <c r="ALY14" s="49"/>
      <c r="ALZ14" s="49"/>
      <c r="AMA14" s="49"/>
      <c r="AMB14" s="49"/>
      <c r="AMC14" s="49"/>
      <c r="AMD14" s="49"/>
      <c r="AME14" s="49"/>
      <c r="AMF14" s="49"/>
      <c r="AMG14" s="49"/>
      <c r="AMH14" s="49"/>
      <c r="AMI14" s="49"/>
      <c r="AMJ14" s="49"/>
      <c r="AMK14" s="49"/>
      <c r="AML14" s="49"/>
      <c r="AMM14" s="49"/>
      <c r="AMN14" s="49"/>
      <c r="AMO14" s="49"/>
      <c r="AMP14" s="49"/>
      <c r="AMQ14" s="49"/>
      <c r="AMR14" s="49"/>
      <c r="AMS14" s="49"/>
      <c r="AMT14" s="49"/>
      <c r="AMU14" s="49"/>
      <c r="AMV14" s="49"/>
      <c r="AMW14" s="49"/>
      <c r="AMX14" s="49"/>
      <c r="AMY14" s="49"/>
      <c r="AMZ14" s="49"/>
      <c r="ANA14" s="49"/>
      <c r="ANB14" s="49"/>
      <c r="ANC14" s="49"/>
      <c r="AND14" s="49"/>
      <c r="ANE14" s="49"/>
      <c r="ANF14" s="49"/>
      <c r="ANG14" s="49"/>
      <c r="ANH14" s="49"/>
      <c r="ANI14" s="49"/>
      <c r="ANJ14" s="49"/>
      <c r="ANK14" s="49"/>
      <c r="ANL14" s="49"/>
      <c r="ANM14" s="49"/>
      <c r="ANN14" s="49"/>
      <c r="ANO14" s="49"/>
      <c r="ANP14" s="49"/>
      <c r="ANQ14" s="49"/>
      <c r="ANR14" s="49"/>
      <c r="ANS14" s="49"/>
      <c r="ANT14" s="49"/>
      <c r="ANU14" s="49"/>
      <c r="ANV14" s="49"/>
      <c r="ANW14" s="49"/>
      <c r="ANX14" s="49"/>
      <c r="ANY14" s="49"/>
      <c r="ANZ14" s="49"/>
      <c r="AOA14" s="49"/>
      <c r="AOB14" s="49"/>
      <c r="AOC14" s="49"/>
      <c r="AOD14" s="49"/>
      <c r="AOE14" s="49"/>
      <c r="AOF14" s="49"/>
      <c r="AOG14" s="49"/>
      <c r="AOH14" s="49"/>
      <c r="AOI14" s="49"/>
      <c r="AOJ14" s="49"/>
      <c r="AOK14" s="49"/>
      <c r="AOL14" s="49"/>
      <c r="AOM14" s="49"/>
      <c r="AON14" s="49"/>
      <c r="AOO14" s="49"/>
      <c r="AOP14" s="49"/>
      <c r="AOQ14" s="49"/>
      <c r="AOR14" s="49"/>
      <c r="AOS14" s="49"/>
      <c r="AOT14" s="49"/>
      <c r="AOU14" s="49"/>
      <c r="AOV14" s="49"/>
      <c r="AOW14" s="49"/>
      <c r="AOX14" s="49"/>
      <c r="AOY14" s="49"/>
      <c r="AOZ14" s="49"/>
      <c r="APA14" s="49"/>
      <c r="APB14" s="49"/>
      <c r="APC14" s="49"/>
      <c r="APD14" s="49"/>
      <c r="APE14" s="49"/>
      <c r="APF14" s="49"/>
      <c r="APG14" s="49"/>
      <c r="APH14" s="49"/>
      <c r="API14" s="49"/>
      <c r="APJ14" s="49"/>
      <c r="APK14" s="49"/>
      <c r="APL14" s="49"/>
      <c r="APM14" s="49"/>
      <c r="APN14" s="49"/>
      <c r="APO14" s="49"/>
      <c r="APP14" s="49"/>
      <c r="APQ14" s="49"/>
      <c r="APR14" s="49"/>
      <c r="APS14" s="49"/>
      <c r="APT14" s="49"/>
      <c r="APU14" s="49"/>
      <c r="APV14" s="49"/>
      <c r="APW14" s="49"/>
      <c r="APX14" s="49"/>
      <c r="APY14" s="49"/>
      <c r="APZ14" s="49"/>
      <c r="AQA14" s="49"/>
      <c r="AQB14" s="49"/>
      <c r="AQC14" s="49"/>
      <c r="AQD14" s="49"/>
      <c r="AQE14" s="49"/>
      <c r="AQF14" s="49"/>
      <c r="AQG14" s="49"/>
      <c r="AQH14" s="49"/>
      <c r="AQI14" s="49"/>
      <c r="AQJ14" s="49"/>
      <c r="AQK14" s="49"/>
      <c r="AQL14" s="49"/>
      <c r="AQM14" s="49"/>
      <c r="AQN14" s="49"/>
      <c r="AQO14" s="49"/>
      <c r="AQP14" s="49"/>
      <c r="AQQ14" s="49"/>
      <c r="AQR14" s="49"/>
      <c r="AQS14" s="49"/>
      <c r="AQT14" s="49"/>
      <c r="AQU14" s="49"/>
      <c r="AQV14" s="49"/>
      <c r="AQW14" s="49"/>
      <c r="AQX14" s="49"/>
      <c r="AQY14" s="49"/>
      <c r="AQZ14" s="49"/>
      <c r="ARA14" s="49"/>
      <c r="ARB14" s="49"/>
      <c r="ARC14" s="49"/>
      <c r="ARD14" s="49"/>
      <c r="ARE14" s="49"/>
      <c r="ARF14" s="49"/>
      <c r="ARG14" s="49"/>
      <c r="ARH14" s="49"/>
      <c r="ARI14" s="49"/>
      <c r="ARJ14" s="49"/>
      <c r="ARK14" s="49"/>
      <c r="ARL14" s="49"/>
      <c r="ARM14" s="49"/>
      <c r="ARN14" s="49"/>
      <c r="ARO14" s="49"/>
      <c r="ARP14" s="49"/>
      <c r="ARQ14" s="49"/>
      <c r="ARR14" s="49"/>
      <c r="ARS14" s="49"/>
      <c r="ART14" s="49"/>
      <c r="ARU14" s="49"/>
      <c r="ARV14" s="49"/>
      <c r="ARW14" s="49"/>
      <c r="ARX14" s="49"/>
      <c r="ARY14" s="49"/>
      <c r="ARZ14" s="49"/>
      <c r="ASA14" s="49"/>
      <c r="ASB14" s="49"/>
      <c r="ASC14" s="49"/>
      <c r="ASD14" s="49"/>
      <c r="ASE14" s="49"/>
      <c r="ASF14" s="49"/>
      <c r="ASG14" s="49"/>
      <c r="ASH14" s="49"/>
      <c r="ASI14" s="49"/>
      <c r="ASJ14" s="49"/>
      <c r="ASK14" s="49"/>
      <c r="ASL14" s="49"/>
      <c r="ASM14" s="49"/>
      <c r="ASN14" s="49"/>
      <c r="ASO14" s="49"/>
      <c r="ASP14" s="49"/>
      <c r="ASQ14" s="49"/>
      <c r="ASR14" s="49"/>
      <c r="ASS14" s="49"/>
      <c r="AST14" s="49"/>
      <c r="ASU14" s="49"/>
      <c r="ASV14" s="49"/>
      <c r="ASW14" s="49"/>
      <c r="ASX14" s="49"/>
      <c r="ASY14" s="49"/>
      <c r="ASZ14" s="49"/>
      <c r="ATA14" s="49"/>
      <c r="ATB14" s="49"/>
      <c r="ATC14" s="49"/>
      <c r="ATD14" s="49"/>
      <c r="ATE14" s="49"/>
      <c r="ATF14" s="49"/>
      <c r="ATG14" s="49"/>
      <c r="ATH14" s="49"/>
      <c r="ATI14" s="49"/>
      <c r="ATJ14" s="49"/>
      <c r="ATK14" s="49"/>
      <c r="ATL14" s="49"/>
      <c r="ATM14" s="49"/>
      <c r="ATN14" s="49"/>
      <c r="ATO14" s="49"/>
      <c r="ATP14" s="49"/>
      <c r="ATQ14" s="49"/>
      <c r="ATR14" s="49"/>
      <c r="ATS14" s="49"/>
      <c r="ATT14" s="49"/>
      <c r="ATU14" s="49"/>
      <c r="ATV14" s="49"/>
      <c r="ATW14" s="49"/>
      <c r="ATX14" s="49"/>
      <c r="ATY14" s="49"/>
      <c r="ATZ14" s="49"/>
      <c r="AUA14" s="49"/>
      <c r="AUB14" s="49"/>
      <c r="AUC14" s="49"/>
      <c r="AUD14" s="49"/>
      <c r="AUE14" s="49"/>
      <c r="AUF14" s="49"/>
      <c r="AUG14" s="49"/>
      <c r="AUH14" s="49"/>
      <c r="AUI14" s="49"/>
      <c r="AUJ14" s="49"/>
      <c r="AUK14" s="49"/>
      <c r="AUL14" s="49"/>
      <c r="AUM14" s="49"/>
      <c r="AUN14" s="49"/>
      <c r="AUO14" s="49"/>
      <c r="AUP14" s="49"/>
      <c r="AUQ14" s="49"/>
      <c r="AUR14" s="49"/>
      <c r="AUS14" s="49"/>
      <c r="AUT14" s="49"/>
      <c r="AUU14" s="49"/>
      <c r="AUV14" s="49"/>
      <c r="AUW14" s="49"/>
      <c r="AUX14" s="49"/>
      <c r="AUY14" s="49"/>
      <c r="AUZ14" s="49"/>
      <c r="AVA14" s="49"/>
      <c r="AVB14" s="49"/>
      <c r="AVC14" s="49"/>
      <c r="AVD14" s="49"/>
      <c r="AVE14" s="49"/>
      <c r="AVF14" s="49"/>
      <c r="AVG14" s="49"/>
      <c r="AVH14" s="49"/>
      <c r="AVI14" s="49"/>
      <c r="AVJ14" s="49"/>
      <c r="AVK14" s="49"/>
      <c r="AVL14" s="49"/>
      <c r="AVM14" s="49"/>
      <c r="AVN14" s="49"/>
      <c r="AVO14" s="49"/>
      <c r="AVP14" s="49"/>
      <c r="AVQ14" s="49"/>
      <c r="AVR14" s="49"/>
      <c r="AVS14" s="49"/>
      <c r="AVT14" s="49"/>
      <c r="AVU14" s="49"/>
      <c r="AVV14" s="49"/>
      <c r="AVW14" s="49"/>
      <c r="AVX14" s="49"/>
      <c r="AVY14" s="49"/>
      <c r="AVZ14" s="49"/>
      <c r="AWA14" s="49"/>
      <c r="AWB14" s="49"/>
      <c r="AWC14" s="49"/>
      <c r="AWD14" s="49"/>
      <c r="AWE14" s="49"/>
      <c r="AWF14" s="49"/>
      <c r="AWG14" s="49"/>
      <c r="AWH14" s="49"/>
      <c r="AWI14" s="49"/>
      <c r="AWJ14" s="49"/>
      <c r="AWK14" s="49"/>
      <c r="AWL14" s="49"/>
      <c r="AWM14" s="49"/>
      <c r="AWN14" s="49"/>
      <c r="AWO14" s="49"/>
      <c r="AWP14" s="49"/>
      <c r="AWQ14" s="49"/>
      <c r="AWR14" s="49"/>
      <c r="AWS14" s="49"/>
      <c r="AWT14" s="49"/>
      <c r="AWU14" s="49"/>
      <c r="AWV14" s="49"/>
      <c r="AWW14" s="49"/>
      <c r="AWX14" s="49"/>
      <c r="AWY14" s="49"/>
      <c r="AWZ14" s="49"/>
      <c r="AXA14" s="49"/>
      <c r="AXB14" s="49"/>
      <c r="AXC14" s="49"/>
      <c r="AXD14" s="49"/>
      <c r="AXE14" s="49"/>
      <c r="AXF14" s="49"/>
      <c r="AXG14" s="49"/>
      <c r="AXH14" s="49"/>
      <c r="AXI14" s="49"/>
      <c r="AXJ14" s="49"/>
      <c r="AXK14" s="49"/>
      <c r="AXL14" s="49"/>
      <c r="AXM14" s="49"/>
      <c r="AXN14" s="49"/>
      <c r="AXO14" s="49"/>
      <c r="AXP14" s="49"/>
      <c r="AXQ14" s="49"/>
      <c r="AXR14" s="49"/>
      <c r="AXS14" s="49"/>
      <c r="AXT14" s="49"/>
      <c r="AXU14" s="49"/>
      <c r="AXV14" s="49"/>
      <c r="AXW14" s="49"/>
      <c r="AXX14" s="49"/>
      <c r="AXY14" s="49"/>
      <c r="AXZ14" s="49"/>
      <c r="AYA14" s="49"/>
      <c r="AYB14" s="49"/>
      <c r="AYC14" s="49"/>
      <c r="AYD14" s="49"/>
      <c r="AYE14" s="49"/>
      <c r="AYF14" s="49"/>
      <c r="AYG14" s="49"/>
      <c r="AYH14" s="49"/>
      <c r="AYI14" s="49"/>
      <c r="AYJ14" s="49"/>
      <c r="AYK14" s="49"/>
      <c r="AYL14" s="49"/>
      <c r="AYM14" s="49"/>
      <c r="AYN14" s="49"/>
      <c r="AYO14" s="49"/>
      <c r="AYP14" s="49"/>
      <c r="AYQ14" s="49"/>
      <c r="AYR14" s="49"/>
      <c r="AYS14" s="49"/>
      <c r="AYT14" s="49"/>
      <c r="AYU14" s="49"/>
      <c r="AYV14" s="49"/>
      <c r="AYW14" s="49"/>
      <c r="AYX14" s="49"/>
      <c r="AYY14" s="49"/>
      <c r="AYZ14" s="49"/>
      <c r="AZA14" s="49"/>
      <c r="AZB14" s="49"/>
      <c r="AZC14" s="49"/>
      <c r="AZD14" s="49"/>
      <c r="AZE14" s="49"/>
      <c r="AZF14" s="49"/>
      <c r="AZG14" s="49"/>
      <c r="AZH14" s="49"/>
      <c r="AZI14" s="49"/>
      <c r="AZJ14" s="49"/>
      <c r="AZK14" s="49"/>
      <c r="AZL14" s="49"/>
      <c r="AZM14" s="49"/>
      <c r="AZN14" s="49"/>
      <c r="AZO14" s="49"/>
      <c r="AZP14" s="49"/>
      <c r="AZQ14" s="49"/>
      <c r="AZR14" s="49"/>
      <c r="AZS14" s="49"/>
      <c r="AZT14" s="49"/>
      <c r="AZU14" s="49"/>
      <c r="AZV14" s="49"/>
      <c r="AZW14" s="49"/>
      <c r="AZX14" s="49"/>
      <c r="AZY14" s="49"/>
      <c r="AZZ14" s="49"/>
      <c r="BAA14" s="49"/>
      <c r="BAB14" s="49"/>
      <c r="BAC14" s="49"/>
      <c r="BAD14" s="49"/>
      <c r="BAE14" s="49"/>
      <c r="BAF14" s="49"/>
      <c r="BAG14" s="49"/>
      <c r="BAH14" s="49"/>
      <c r="BAI14" s="49"/>
      <c r="BAJ14" s="49"/>
      <c r="BAK14" s="49"/>
      <c r="BAL14" s="49"/>
      <c r="BAM14" s="49"/>
      <c r="BAN14" s="49"/>
      <c r="BAO14" s="49"/>
      <c r="BAP14" s="49"/>
      <c r="BAQ14" s="49"/>
      <c r="BAR14" s="49"/>
      <c r="BAS14" s="49"/>
      <c r="BAT14" s="49"/>
      <c r="BAU14" s="49"/>
      <c r="BAV14" s="49"/>
      <c r="BAW14" s="49"/>
      <c r="BAX14" s="49"/>
      <c r="BAY14" s="49"/>
      <c r="BAZ14" s="49"/>
      <c r="BBA14" s="49"/>
      <c r="BBB14" s="49"/>
      <c r="BBC14" s="49"/>
      <c r="BBD14" s="49"/>
      <c r="BBE14" s="49"/>
      <c r="BBF14" s="49"/>
      <c r="BBG14" s="49"/>
      <c r="BBH14" s="49"/>
      <c r="BBI14" s="49"/>
      <c r="BBJ14" s="49"/>
      <c r="BBK14" s="49"/>
      <c r="BBL14" s="49"/>
      <c r="BBM14" s="49"/>
      <c r="BBN14" s="49"/>
      <c r="BBO14" s="49"/>
      <c r="BBP14" s="49"/>
      <c r="BBQ14" s="49"/>
      <c r="BBR14" s="49"/>
      <c r="BBS14" s="49"/>
      <c r="BBT14" s="49"/>
      <c r="BBU14" s="49"/>
      <c r="BBV14" s="49"/>
      <c r="BBW14" s="49"/>
      <c r="BBX14" s="49"/>
      <c r="BBY14" s="49"/>
      <c r="BBZ14" s="49"/>
      <c r="BCA14" s="49"/>
      <c r="BCB14" s="49"/>
      <c r="BCC14" s="49"/>
      <c r="BCD14" s="49"/>
      <c r="BCE14" s="49"/>
      <c r="BCF14" s="49"/>
      <c r="BCG14" s="49"/>
      <c r="BCH14" s="49"/>
      <c r="BCI14" s="49"/>
      <c r="BCJ14" s="49"/>
      <c r="BCK14" s="49"/>
      <c r="BCL14" s="49"/>
      <c r="BCM14" s="49"/>
      <c r="BCN14" s="49"/>
    </row>
    <row r="15" spans="1:1444" s="47" customFormat="1">
      <c r="A15" s="52"/>
      <c r="B15" s="94">
        <v>45758</v>
      </c>
      <c r="C15" s="94" t="s">
        <v>196</v>
      </c>
      <c r="D15" s="95">
        <v>54</v>
      </c>
      <c r="E15" s="95">
        <v>112.80000000001746</v>
      </c>
      <c r="F15" s="95">
        <v>0</v>
      </c>
      <c r="G15" s="95">
        <v>156.88999999999942</v>
      </c>
      <c r="H15" s="95">
        <v>14</v>
      </c>
      <c r="I15" s="95">
        <v>38</v>
      </c>
      <c r="J15" s="95">
        <v>1113.83</v>
      </c>
      <c r="K15" s="95">
        <v>829.01409999957878</v>
      </c>
      <c r="L15" s="95">
        <v>0</v>
      </c>
      <c r="M15" s="155">
        <v>0</v>
      </c>
      <c r="N15" s="141">
        <f>'units overall'!O15</f>
        <v>2331.5340999995956</v>
      </c>
      <c r="O15" s="230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R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H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X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N15" s="49"/>
      <c r="IO15" s="49"/>
      <c r="IP15" s="49"/>
      <c r="IQ15" s="49"/>
      <c r="IR15" s="49"/>
      <c r="IS15" s="49"/>
      <c r="IT15" s="49"/>
      <c r="IU15" s="49"/>
      <c r="IV15" s="49"/>
      <c r="IW15" s="49"/>
      <c r="IX15" s="49"/>
      <c r="IY15" s="49"/>
      <c r="IZ15" s="49"/>
      <c r="JA15" s="49"/>
      <c r="JB15" s="49"/>
      <c r="JC15" s="49"/>
      <c r="JD15" s="49"/>
      <c r="JE15" s="49"/>
      <c r="JF15" s="49"/>
      <c r="JG15" s="49"/>
      <c r="JH15" s="49"/>
      <c r="JI15" s="49"/>
      <c r="JJ15" s="49"/>
      <c r="JK15" s="49"/>
      <c r="JL15" s="49"/>
      <c r="JM15" s="49"/>
      <c r="JN15" s="49"/>
      <c r="JO15" s="49"/>
      <c r="JP15" s="49"/>
      <c r="JQ15" s="49"/>
      <c r="JR15" s="49"/>
      <c r="JS15" s="49"/>
      <c r="JT15" s="49"/>
      <c r="JU15" s="49"/>
      <c r="JV15" s="49"/>
      <c r="JW15" s="49"/>
      <c r="JX15" s="49"/>
      <c r="JY15" s="49"/>
      <c r="JZ15" s="49"/>
      <c r="KA15" s="49"/>
      <c r="KB15" s="49"/>
      <c r="KC15" s="49"/>
      <c r="KD15" s="49"/>
      <c r="KE15" s="49"/>
      <c r="KF15" s="49"/>
      <c r="KG15" s="49"/>
      <c r="KH15" s="49"/>
      <c r="KI15" s="49"/>
      <c r="KJ15" s="49"/>
      <c r="KK15" s="49"/>
      <c r="KL15" s="49"/>
      <c r="KM15" s="49"/>
      <c r="KN15" s="49"/>
      <c r="KO15" s="49"/>
      <c r="KP15" s="49"/>
      <c r="KQ15" s="49"/>
      <c r="KR15" s="49"/>
      <c r="KS15" s="49"/>
      <c r="KT15" s="49"/>
      <c r="KU15" s="49"/>
      <c r="KV15" s="49"/>
      <c r="KW15" s="49"/>
      <c r="KX15" s="49"/>
      <c r="KY15" s="49"/>
      <c r="KZ15" s="49"/>
      <c r="LA15" s="49"/>
      <c r="LB15" s="49"/>
      <c r="LC15" s="49"/>
      <c r="LD15" s="49"/>
      <c r="LE15" s="49"/>
      <c r="LF15" s="49"/>
      <c r="LG15" s="49"/>
      <c r="LH15" s="49"/>
      <c r="LI15" s="49"/>
      <c r="LJ15" s="49"/>
      <c r="LK15" s="49"/>
      <c r="LL15" s="49"/>
      <c r="LM15" s="49"/>
      <c r="LN15" s="49"/>
      <c r="LO15" s="49"/>
      <c r="LP15" s="49"/>
      <c r="LQ15" s="49"/>
      <c r="LR15" s="49"/>
      <c r="LS15" s="49"/>
      <c r="LT15" s="49"/>
      <c r="LU15" s="49"/>
      <c r="LV15" s="49"/>
      <c r="LW15" s="49"/>
      <c r="LX15" s="49"/>
      <c r="LY15" s="49"/>
      <c r="LZ15" s="49"/>
      <c r="MA15" s="49"/>
      <c r="MB15" s="49"/>
      <c r="MC15" s="49"/>
      <c r="MD15" s="49"/>
      <c r="ME15" s="49"/>
      <c r="MF15" s="49"/>
      <c r="MG15" s="49"/>
      <c r="MH15" s="49"/>
      <c r="MI15" s="49"/>
      <c r="MJ15" s="49"/>
      <c r="MK15" s="49"/>
      <c r="ML15" s="49"/>
      <c r="MM15" s="49"/>
      <c r="MN15" s="49"/>
      <c r="MO15" s="49"/>
      <c r="MP15" s="49"/>
      <c r="MQ15" s="49"/>
      <c r="MR15" s="49"/>
      <c r="MS15" s="49"/>
      <c r="MT15" s="49"/>
      <c r="MU15" s="49"/>
      <c r="MV15" s="49"/>
      <c r="MW15" s="49"/>
      <c r="MX15" s="49"/>
      <c r="MY15" s="49"/>
      <c r="MZ15" s="49"/>
      <c r="NA15" s="49"/>
      <c r="NB15" s="49"/>
      <c r="NC15" s="49"/>
      <c r="ND15" s="49"/>
      <c r="NE15" s="49"/>
      <c r="NF15" s="49"/>
      <c r="NG15" s="49"/>
      <c r="NH15" s="49"/>
      <c r="NI15" s="49"/>
      <c r="NJ15" s="49"/>
      <c r="NK15" s="49"/>
      <c r="NL15" s="49"/>
      <c r="NM15" s="49"/>
      <c r="NN15" s="49"/>
      <c r="NO15" s="49"/>
      <c r="NP15" s="49"/>
      <c r="NQ15" s="49"/>
      <c r="NR15" s="49"/>
      <c r="NS15" s="49"/>
      <c r="NT15" s="49"/>
      <c r="NU15" s="49"/>
      <c r="NV15" s="49"/>
      <c r="NW15" s="49"/>
      <c r="NX15" s="49"/>
      <c r="NY15" s="49"/>
      <c r="NZ15" s="49"/>
      <c r="OA15" s="49"/>
      <c r="OB15" s="49"/>
      <c r="OC15" s="49"/>
      <c r="OD15" s="49"/>
      <c r="OE15" s="49"/>
      <c r="OF15" s="49"/>
      <c r="OG15" s="49"/>
      <c r="OH15" s="49"/>
      <c r="OI15" s="49"/>
      <c r="OJ15" s="49"/>
      <c r="OK15" s="49"/>
      <c r="OL15" s="49"/>
      <c r="OM15" s="49"/>
      <c r="ON15" s="49"/>
      <c r="OO15" s="49"/>
      <c r="OP15" s="49"/>
      <c r="OQ15" s="49"/>
      <c r="OR15" s="49"/>
      <c r="OS15" s="49"/>
      <c r="OT15" s="49"/>
      <c r="OU15" s="49"/>
      <c r="OV15" s="49"/>
      <c r="OW15" s="49"/>
      <c r="OX15" s="49"/>
      <c r="OY15" s="49"/>
      <c r="OZ15" s="49"/>
      <c r="PA15" s="49"/>
      <c r="PB15" s="49"/>
      <c r="PC15" s="49"/>
      <c r="PD15" s="49"/>
      <c r="PE15" s="49"/>
      <c r="PF15" s="49"/>
      <c r="PG15" s="49"/>
      <c r="PH15" s="49"/>
      <c r="PI15" s="49"/>
      <c r="PJ15" s="49"/>
      <c r="PK15" s="49"/>
      <c r="PL15" s="49"/>
      <c r="PM15" s="49"/>
      <c r="PN15" s="49"/>
      <c r="PO15" s="49"/>
      <c r="PP15" s="49"/>
      <c r="PQ15" s="49"/>
      <c r="PR15" s="49"/>
      <c r="PS15" s="49"/>
      <c r="PT15" s="49"/>
      <c r="PU15" s="49"/>
      <c r="PV15" s="49"/>
      <c r="PW15" s="49"/>
      <c r="PX15" s="49"/>
      <c r="PY15" s="49"/>
      <c r="PZ15" s="49"/>
      <c r="QA15" s="49"/>
      <c r="QB15" s="49"/>
      <c r="QC15" s="49"/>
      <c r="QD15" s="49"/>
      <c r="QE15" s="49"/>
      <c r="QF15" s="49"/>
      <c r="QG15" s="49"/>
      <c r="QH15" s="49"/>
      <c r="QI15" s="49"/>
      <c r="QJ15" s="49"/>
      <c r="QK15" s="49"/>
      <c r="QL15" s="49"/>
      <c r="QM15" s="49"/>
      <c r="QN15" s="49"/>
      <c r="QO15" s="49"/>
      <c r="QP15" s="49"/>
      <c r="QQ15" s="49"/>
      <c r="QR15" s="49"/>
      <c r="QS15" s="49"/>
      <c r="QT15" s="49"/>
      <c r="QU15" s="49"/>
      <c r="QV15" s="49"/>
      <c r="QW15" s="49"/>
      <c r="QX15" s="49"/>
      <c r="QY15" s="49"/>
      <c r="QZ15" s="49"/>
      <c r="RA15" s="49"/>
      <c r="RB15" s="49"/>
      <c r="RC15" s="49"/>
      <c r="RD15" s="49"/>
      <c r="RE15" s="49"/>
      <c r="RF15" s="49"/>
      <c r="RG15" s="49"/>
      <c r="RH15" s="49"/>
      <c r="RI15" s="49"/>
      <c r="RJ15" s="49"/>
      <c r="RK15" s="49"/>
      <c r="RL15" s="49"/>
      <c r="RM15" s="49"/>
      <c r="RN15" s="49"/>
      <c r="RO15" s="49"/>
      <c r="RP15" s="49"/>
      <c r="RQ15" s="49"/>
      <c r="RR15" s="49"/>
      <c r="RS15" s="49"/>
      <c r="RT15" s="49"/>
      <c r="RU15" s="49"/>
      <c r="RV15" s="49"/>
      <c r="RW15" s="49"/>
      <c r="RX15" s="49"/>
      <c r="RY15" s="49"/>
      <c r="RZ15" s="49"/>
      <c r="SA15" s="49"/>
      <c r="SB15" s="49"/>
      <c r="SC15" s="49"/>
      <c r="SD15" s="49"/>
      <c r="SE15" s="49"/>
      <c r="SF15" s="49"/>
      <c r="SG15" s="49"/>
      <c r="SH15" s="49"/>
      <c r="SI15" s="49"/>
      <c r="SJ15" s="49"/>
      <c r="SK15" s="49"/>
      <c r="SL15" s="49"/>
      <c r="SM15" s="49"/>
      <c r="SN15" s="49"/>
      <c r="SO15" s="49"/>
      <c r="SP15" s="49"/>
      <c r="SQ15" s="49"/>
      <c r="SR15" s="49"/>
      <c r="SS15" s="49"/>
      <c r="ST15" s="49"/>
      <c r="SU15" s="49"/>
      <c r="SV15" s="49"/>
      <c r="SW15" s="49"/>
      <c r="SX15" s="49"/>
      <c r="SY15" s="49"/>
      <c r="SZ15" s="49"/>
      <c r="TA15" s="49"/>
      <c r="TB15" s="49"/>
      <c r="TC15" s="49"/>
      <c r="TD15" s="49"/>
      <c r="TE15" s="49"/>
      <c r="TF15" s="49"/>
      <c r="TG15" s="49"/>
      <c r="TH15" s="49"/>
      <c r="TI15" s="49"/>
      <c r="TJ15" s="49"/>
      <c r="TK15" s="49"/>
      <c r="TL15" s="49"/>
      <c r="TM15" s="49"/>
      <c r="TN15" s="49"/>
      <c r="TO15" s="49"/>
      <c r="TP15" s="49"/>
      <c r="TQ15" s="49"/>
      <c r="TR15" s="49"/>
      <c r="TS15" s="49"/>
      <c r="TT15" s="49"/>
      <c r="TU15" s="49"/>
      <c r="TV15" s="49"/>
      <c r="TW15" s="49"/>
      <c r="TX15" s="49"/>
      <c r="TY15" s="49"/>
      <c r="TZ15" s="49"/>
      <c r="UA15" s="49"/>
      <c r="UB15" s="49"/>
      <c r="UC15" s="49"/>
      <c r="UD15" s="49"/>
      <c r="UE15" s="49"/>
      <c r="UF15" s="49"/>
      <c r="UG15" s="49"/>
      <c r="UH15" s="49"/>
      <c r="UI15" s="49"/>
      <c r="UJ15" s="49"/>
      <c r="UK15" s="49"/>
      <c r="UL15" s="49"/>
      <c r="UM15" s="49"/>
      <c r="UN15" s="49"/>
      <c r="UO15" s="49"/>
      <c r="UP15" s="49"/>
      <c r="UQ15" s="49"/>
      <c r="UR15" s="49"/>
      <c r="US15" s="49"/>
      <c r="UT15" s="49"/>
      <c r="UU15" s="49"/>
      <c r="UV15" s="49"/>
      <c r="UW15" s="49"/>
      <c r="UX15" s="49"/>
      <c r="UY15" s="49"/>
      <c r="UZ15" s="49"/>
      <c r="VA15" s="49"/>
      <c r="VB15" s="49"/>
      <c r="VC15" s="49"/>
      <c r="VD15" s="49"/>
      <c r="VE15" s="49"/>
      <c r="VF15" s="49"/>
      <c r="VG15" s="49"/>
      <c r="VH15" s="49"/>
      <c r="VI15" s="49"/>
      <c r="VJ15" s="49"/>
      <c r="VK15" s="49"/>
      <c r="VL15" s="49"/>
      <c r="VM15" s="49"/>
      <c r="VN15" s="49"/>
      <c r="VO15" s="49"/>
      <c r="VP15" s="49"/>
      <c r="VQ15" s="49"/>
      <c r="VR15" s="49"/>
      <c r="VS15" s="49"/>
      <c r="VT15" s="49"/>
      <c r="VU15" s="49"/>
      <c r="VV15" s="49"/>
      <c r="VW15" s="49"/>
      <c r="VX15" s="49"/>
      <c r="VY15" s="49"/>
      <c r="VZ15" s="49"/>
      <c r="WA15" s="49"/>
      <c r="WB15" s="49"/>
      <c r="WC15" s="49"/>
      <c r="WD15" s="49"/>
      <c r="WE15" s="49"/>
      <c r="WF15" s="49"/>
      <c r="WG15" s="49"/>
      <c r="WH15" s="49"/>
      <c r="WI15" s="49"/>
      <c r="WJ15" s="49"/>
      <c r="WK15" s="49"/>
      <c r="WL15" s="49"/>
      <c r="WM15" s="49"/>
      <c r="WN15" s="49"/>
      <c r="WO15" s="49"/>
      <c r="WP15" s="49"/>
      <c r="WQ15" s="49"/>
      <c r="WR15" s="49"/>
      <c r="WS15" s="49"/>
      <c r="WT15" s="49"/>
      <c r="WU15" s="49"/>
      <c r="WV15" s="49"/>
      <c r="WW15" s="49"/>
      <c r="WX15" s="49"/>
      <c r="WY15" s="49"/>
      <c r="WZ15" s="49"/>
      <c r="XA15" s="49"/>
      <c r="XB15" s="49"/>
      <c r="XC15" s="49"/>
      <c r="XD15" s="49"/>
      <c r="XE15" s="49"/>
      <c r="XF15" s="49"/>
      <c r="XG15" s="49"/>
      <c r="XH15" s="49"/>
      <c r="XI15" s="49"/>
      <c r="XJ15" s="49"/>
      <c r="XK15" s="49"/>
      <c r="XL15" s="49"/>
      <c r="XM15" s="49"/>
      <c r="XN15" s="49"/>
      <c r="XO15" s="49"/>
      <c r="XP15" s="49"/>
      <c r="XQ15" s="49"/>
      <c r="XR15" s="49"/>
      <c r="XS15" s="49"/>
      <c r="XT15" s="49"/>
      <c r="XU15" s="49"/>
      <c r="XV15" s="49"/>
      <c r="XW15" s="49"/>
      <c r="XX15" s="49"/>
      <c r="XY15" s="49"/>
      <c r="XZ15" s="49"/>
      <c r="YA15" s="49"/>
      <c r="YB15" s="49"/>
      <c r="YC15" s="49"/>
      <c r="YD15" s="49"/>
      <c r="YE15" s="49"/>
      <c r="YF15" s="49"/>
      <c r="YG15" s="49"/>
      <c r="YH15" s="49"/>
      <c r="YI15" s="49"/>
      <c r="YJ15" s="49"/>
      <c r="YK15" s="49"/>
      <c r="YL15" s="49"/>
      <c r="YM15" s="49"/>
      <c r="YN15" s="49"/>
      <c r="YO15" s="49"/>
      <c r="YP15" s="49"/>
      <c r="YQ15" s="49"/>
      <c r="YR15" s="49"/>
      <c r="YS15" s="49"/>
      <c r="YT15" s="49"/>
      <c r="YU15" s="49"/>
      <c r="YV15" s="49"/>
      <c r="YW15" s="49"/>
      <c r="YX15" s="49"/>
      <c r="YY15" s="49"/>
      <c r="YZ15" s="49"/>
      <c r="ZA15" s="49"/>
      <c r="ZB15" s="49"/>
      <c r="ZC15" s="49"/>
      <c r="ZD15" s="49"/>
      <c r="ZE15" s="49"/>
      <c r="ZF15" s="49"/>
      <c r="ZG15" s="49"/>
      <c r="ZH15" s="49"/>
      <c r="ZI15" s="49"/>
      <c r="ZJ15" s="49"/>
      <c r="ZK15" s="49"/>
      <c r="ZL15" s="49"/>
      <c r="ZM15" s="49"/>
      <c r="ZN15" s="49"/>
      <c r="ZO15" s="49"/>
      <c r="ZP15" s="49"/>
      <c r="ZQ15" s="49"/>
      <c r="ZR15" s="49"/>
      <c r="ZS15" s="49"/>
      <c r="ZT15" s="49"/>
      <c r="ZU15" s="49"/>
      <c r="ZV15" s="49"/>
      <c r="ZW15" s="49"/>
      <c r="ZX15" s="49"/>
      <c r="ZY15" s="49"/>
      <c r="ZZ15" s="49"/>
      <c r="AAA15" s="49"/>
      <c r="AAB15" s="49"/>
      <c r="AAC15" s="49"/>
      <c r="AAD15" s="49"/>
      <c r="AAE15" s="49"/>
      <c r="AAF15" s="49"/>
      <c r="AAG15" s="49"/>
      <c r="AAH15" s="49"/>
      <c r="AAI15" s="49"/>
      <c r="AAJ15" s="49"/>
      <c r="AAK15" s="49"/>
      <c r="AAL15" s="49"/>
      <c r="AAM15" s="49"/>
      <c r="AAN15" s="49"/>
      <c r="AAO15" s="49"/>
      <c r="AAP15" s="49"/>
      <c r="AAQ15" s="49"/>
      <c r="AAR15" s="49"/>
      <c r="AAS15" s="49"/>
      <c r="AAT15" s="49"/>
      <c r="AAU15" s="49"/>
      <c r="AAV15" s="49"/>
      <c r="AAW15" s="49"/>
      <c r="AAX15" s="49"/>
      <c r="AAY15" s="49"/>
      <c r="AAZ15" s="49"/>
      <c r="ABA15" s="49"/>
      <c r="ABB15" s="49"/>
      <c r="ABC15" s="49"/>
      <c r="ABD15" s="49"/>
      <c r="ABE15" s="49"/>
      <c r="ABF15" s="49"/>
      <c r="ABG15" s="49"/>
      <c r="ABH15" s="49"/>
      <c r="ABI15" s="49"/>
      <c r="ABJ15" s="49"/>
      <c r="ABK15" s="49"/>
      <c r="ABL15" s="49"/>
      <c r="ABM15" s="49"/>
      <c r="ABN15" s="49"/>
      <c r="ABO15" s="49"/>
      <c r="ABP15" s="49"/>
      <c r="ABQ15" s="49"/>
      <c r="ABR15" s="49"/>
      <c r="ABS15" s="49"/>
      <c r="ABT15" s="49"/>
      <c r="ABU15" s="49"/>
      <c r="ABV15" s="49"/>
      <c r="ABW15" s="49"/>
      <c r="ABX15" s="49"/>
      <c r="ABY15" s="49"/>
      <c r="ABZ15" s="49"/>
      <c r="ACA15" s="49"/>
      <c r="ACB15" s="49"/>
      <c r="ACC15" s="49"/>
      <c r="ACD15" s="49"/>
      <c r="ACE15" s="49"/>
      <c r="ACF15" s="49"/>
      <c r="ACG15" s="49"/>
      <c r="ACH15" s="49"/>
      <c r="ACI15" s="49"/>
      <c r="ACJ15" s="49"/>
      <c r="ACK15" s="49"/>
      <c r="ACL15" s="49"/>
      <c r="ACM15" s="49"/>
      <c r="ACN15" s="49"/>
      <c r="ACO15" s="49"/>
      <c r="ACP15" s="49"/>
      <c r="ACQ15" s="49"/>
      <c r="ACR15" s="49"/>
      <c r="ACS15" s="49"/>
      <c r="ACT15" s="49"/>
      <c r="ACU15" s="49"/>
      <c r="ACV15" s="49"/>
      <c r="ACW15" s="49"/>
      <c r="ACX15" s="49"/>
      <c r="ACY15" s="49"/>
      <c r="ACZ15" s="49"/>
      <c r="ADA15" s="49"/>
      <c r="ADB15" s="49"/>
      <c r="ADC15" s="49"/>
      <c r="ADD15" s="49"/>
      <c r="ADE15" s="49"/>
      <c r="ADF15" s="49"/>
      <c r="ADG15" s="49"/>
      <c r="ADH15" s="49"/>
      <c r="ADI15" s="49"/>
      <c r="ADJ15" s="49"/>
      <c r="ADK15" s="49"/>
      <c r="ADL15" s="49"/>
      <c r="ADM15" s="49"/>
      <c r="ADN15" s="49"/>
      <c r="ADO15" s="49"/>
      <c r="ADP15" s="49"/>
      <c r="ADQ15" s="49"/>
      <c r="ADR15" s="49"/>
      <c r="ADS15" s="49"/>
      <c r="ADT15" s="49"/>
      <c r="ADU15" s="49"/>
      <c r="ADV15" s="49"/>
      <c r="ADW15" s="49"/>
      <c r="ADX15" s="49"/>
      <c r="ADY15" s="49"/>
      <c r="ADZ15" s="49"/>
      <c r="AEA15" s="49"/>
      <c r="AEB15" s="49"/>
      <c r="AEC15" s="49"/>
      <c r="AED15" s="49"/>
      <c r="AEE15" s="49"/>
      <c r="AEF15" s="49"/>
      <c r="AEG15" s="49"/>
      <c r="AEH15" s="49"/>
      <c r="AEI15" s="49"/>
      <c r="AEJ15" s="49"/>
      <c r="AEK15" s="49"/>
      <c r="AEL15" s="49"/>
      <c r="AEM15" s="49"/>
      <c r="AEN15" s="49"/>
      <c r="AEO15" s="49"/>
      <c r="AEP15" s="49"/>
      <c r="AEQ15" s="49"/>
      <c r="AER15" s="49"/>
      <c r="AES15" s="49"/>
      <c r="AET15" s="49"/>
      <c r="AEU15" s="49"/>
      <c r="AEV15" s="49"/>
      <c r="AEW15" s="49"/>
      <c r="AEX15" s="49"/>
      <c r="AEY15" s="49"/>
      <c r="AEZ15" s="49"/>
      <c r="AFA15" s="49"/>
      <c r="AFB15" s="49"/>
      <c r="AFC15" s="49"/>
      <c r="AFD15" s="49"/>
      <c r="AFE15" s="49"/>
      <c r="AFF15" s="49"/>
      <c r="AFG15" s="49"/>
      <c r="AFH15" s="49"/>
      <c r="AFI15" s="49"/>
      <c r="AFJ15" s="49"/>
      <c r="AFK15" s="49"/>
      <c r="AFL15" s="49"/>
      <c r="AFM15" s="49"/>
      <c r="AFN15" s="49"/>
      <c r="AFO15" s="49"/>
      <c r="AFP15" s="49"/>
      <c r="AFQ15" s="49"/>
      <c r="AFR15" s="49"/>
      <c r="AFS15" s="49"/>
      <c r="AFT15" s="49"/>
      <c r="AFU15" s="49"/>
      <c r="AFV15" s="49"/>
      <c r="AFW15" s="49"/>
      <c r="AFX15" s="49"/>
      <c r="AFY15" s="49"/>
      <c r="AFZ15" s="49"/>
      <c r="AGA15" s="49"/>
      <c r="AGB15" s="49"/>
      <c r="AGC15" s="49"/>
      <c r="AGD15" s="49"/>
      <c r="AGE15" s="49"/>
      <c r="AGF15" s="49"/>
      <c r="AGG15" s="49"/>
      <c r="AGH15" s="49"/>
      <c r="AGI15" s="49"/>
      <c r="AGJ15" s="49"/>
      <c r="AGK15" s="49"/>
      <c r="AGL15" s="49"/>
      <c r="AGM15" s="49"/>
      <c r="AGN15" s="49"/>
      <c r="AGO15" s="49"/>
      <c r="AGP15" s="49"/>
      <c r="AGQ15" s="49"/>
      <c r="AGR15" s="49"/>
      <c r="AGS15" s="49"/>
      <c r="AGT15" s="49"/>
      <c r="AGU15" s="49"/>
      <c r="AGV15" s="49"/>
      <c r="AGW15" s="49"/>
      <c r="AGX15" s="49"/>
      <c r="AGY15" s="49"/>
      <c r="AGZ15" s="49"/>
      <c r="AHA15" s="49"/>
      <c r="AHB15" s="49"/>
      <c r="AHC15" s="49"/>
      <c r="AHD15" s="49"/>
      <c r="AHE15" s="49"/>
      <c r="AHF15" s="49"/>
      <c r="AHG15" s="49"/>
      <c r="AHH15" s="49"/>
      <c r="AHI15" s="49"/>
      <c r="AHJ15" s="49"/>
      <c r="AHK15" s="49"/>
      <c r="AHL15" s="49"/>
      <c r="AHM15" s="49"/>
      <c r="AHN15" s="49"/>
      <c r="AHO15" s="49"/>
      <c r="AHP15" s="49"/>
      <c r="AHQ15" s="49"/>
      <c r="AHR15" s="49"/>
      <c r="AHS15" s="49"/>
      <c r="AHT15" s="49"/>
      <c r="AHU15" s="49"/>
      <c r="AHV15" s="49"/>
      <c r="AHW15" s="49"/>
      <c r="AHX15" s="49"/>
      <c r="AHY15" s="49"/>
      <c r="AHZ15" s="49"/>
      <c r="AIA15" s="49"/>
      <c r="AIB15" s="49"/>
      <c r="AIC15" s="49"/>
      <c r="AID15" s="49"/>
      <c r="AIE15" s="49"/>
      <c r="AIF15" s="49"/>
      <c r="AIG15" s="49"/>
      <c r="AIH15" s="49"/>
      <c r="AII15" s="49"/>
      <c r="AIJ15" s="49"/>
      <c r="AIK15" s="49"/>
      <c r="AIL15" s="49"/>
      <c r="AIM15" s="49"/>
      <c r="AIN15" s="49"/>
      <c r="AIO15" s="49"/>
      <c r="AIP15" s="49"/>
      <c r="AIQ15" s="49"/>
      <c r="AIR15" s="49"/>
      <c r="AIS15" s="49"/>
      <c r="AIT15" s="49"/>
      <c r="AIU15" s="49"/>
      <c r="AIV15" s="49"/>
      <c r="AIW15" s="49"/>
      <c r="AIX15" s="49"/>
      <c r="AIY15" s="49"/>
      <c r="AIZ15" s="49"/>
      <c r="AJA15" s="49"/>
      <c r="AJB15" s="49"/>
      <c r="AJC15" s="49"/>
      <c r="AJD15" s="49"/>
      <c r="AJE15" s="49"/>
      <c r="AJF15" s="49"/>
      <c r="AJG15" s="49"/>
      <c r="AJH15" s="49"/>
      <c r="AJI15" s="49"/>
      <c r="AJJ15" s="49"/>
      <c r="AJK15" s="49"/>
      <c r="AJL15" s="49"/>
      <c r="AJM15" s="49"/>
      <c r="AJN15" s="49"/>
      <c r="AJO15" s="49"/>
      <c r="AJP15" s="49"/>
      <c r="AJQ15" s="49"/>
      <c r="AJR15" s="49"/>
      <c r="AJS15" s="49"/>
      <c r="AJT15" s="49"/>
      <c r="AJU15" s="49"/>
      <c r="AJV15" s="49"/>
      <c r="AJW15" s="49"/>
      <c r="AJX15" s="49"/>
      <c r="AJY15" s="49"/>
      <c r="AJZ15" s="49"/>
      <c r="AKA15" s="49"/>
      <c r="AKB15" s="49"/>
      <c r="AKC15" s="49"/>
      <c r="AKD15" s="49"/>
      <c r="AKE15" s="49"/>
      <c r="AKF15" s="49"/>
      <c r="AKG15" s="49"/>
      <c r="AKH15" s="49"/>
      <c r="AKI15" s="49"/>
      <c r="AKJ15" s="49"/>
      <c r="AKK15" s="49"/>
      <c r="AKL15" s="49"/>
      <c r="AKM15" s="49"/>
      <c r="AKN15" s="49"/>
      <c r="AKO15" s="49"/>
      <c r="AKP15" s="49"/>
      <c r="AKQ15" s="49"/>
      <c r="AKR15" s="49"/>
      <c r="AKS15" s="49"/>
      <c r="AKT15" s="49"/>
      <c r="AKU15" s="49"/>
      <c r="AKV15" s="49"/>
      <c r="AKW15" s="49"/>
      <c r="AKX15" s="49"/>
      <c r="AKY15" s="49"/>
      <c r="AKZ15" s="49"/>
      <c r="ALA15" s="49"/>
      <c r="ALB15" s="49"/>
      <c r="ALC15" s="49"/>
      <c r="ALD15" s="49"/>
      <c r="ALE15" s="49"/>
      <c r="ALF15" s="49"/>
      <c r="ALG15" s="49"/>
      <c r="ALH15" s="49"/>
      <c r="ALI15" s="49"/>
      <c r="ALJ15" s="49"/>
      <c r="ALK15" s="49"/>
      <c r="ALL15" s="49"/>
      <c r="ALM15" s="49"/>
      <c r="ALN15" s="49"/>
      <c r="ALO15" s="49"/>
      <c r="ALP15" s="49"/>
      <c r="ALQ15" s="49"/>
      <c r="ALR15" s="49"/>
      <c r="ALS15" s="49"/>
      <c r="ALT15" s="49"/>
      <c r="ALU15" s="49"/>
      <c r="ALV15" s="49"/>
      <c r="ALW15" s="49"/>
      <c r="ALX15" s="49"/>
      <c r="ALY15" s="49"/>
      <c r="ALZ15" s="49"/>
      <c r="AMA15" s="49"/>
      <c r="AMB15" s="49"/>
      <c r="AMC15" s="49"/>
      <c r="AMD15" s="49"/>
      <c r="AME15" s="49"/>
      <c r="AMF15" s="49"/>
      <c r="AMG15" s="49"/>
      <c r="AMH15" s="49"/>
      <c r="AMI15" s="49"/>
      <c r="AMJ15" s="49"/>
      <c r="AMK15" s="49"/>
      <c r="AML15" s="49"/>
      <c r="AMM15" s="49"/>
      <c r="AMN15" s="49"/>
      <c r="AMO15" s="49"/>
      <c r="AMP15" s="49"/>
      <c r="AMQ15" s="49"/>
      <c r="AMR15" s="49"/>
      <c r="AMS15" s="49"/>
      <c r="AMT15" s="49"/>
      <c r="AMU15" s="49"/>
      <c r="AMV15" s="49"/>
      <c r="AMW15" s="49"/>
      <c r="AMX15" s="49"/>
      <c r="AMY15" s="49"/>
      <c r="AMZ15" s="49"/>
      <c r="ANA15" s="49"/>
      <c r="ANB15" s="49"/>
      <c r="ANC15" s="49"/>
      <c r="AND15" s="49"/>
      <c r="ANE15" s="49"/>
      <c r="ANF15" s="49"/>
      <c r="ANG15" s="49"/>
      <c r="ANH15" s="49"/>
      <c r="ANI15" s="49"/>
      <c r="ANJ15" s="49"/>
      <c r="ANK15" s="49"/>
      <c r="ANL15" s="49"/>
      <c r="ANM15" s="49"/>
      <c r="ANN15" s="49"/>
      <c r="ANO15" s="49"/>
      <c r="ANP15" s="49"/>
      <c r="ANQ15" s="49"/>
      <c r="ANR15" s="49"/>
      <c r="ANS15" s="49"/>
      <c r="ANT15" s="49"/>
      <c r="ANU15" s="49"/>
      <c r="ANV15" s="49"/>
      <c r="ANW15" s="49"/>
      <c r="ANX15" s="49"/>
      <c r="ANY15" s="49"/>
      <c r="ANZ15" s="49"/>
      <c r="AOA15" s="49"/>
      <c r="AOB15" s="49"/>
      <c r="AOC15" s="49"/>
      <c r="AOD15" s="49"/>
      <c r="AOE15" s="49"/>
      <c r="AOF15" s="49"/>
      <c r="AOG15" s="49"/>
      <c r="AOH15" s="49"/>
      <c r="AOI15" s="49"/>
      <c r="AOJ15" s="49"/>
      <c r="AOK15" s="49"/>
      <c r="AOL15" s="49"/>
      <c r="AOM15" s="49"/>
      <c r="AON15" s="49"/>
      <c r="AOO15" s="49"/>
      <c r="AOP15" s="49"/>
      <c r="AOQ15" s="49"/>
      <c r="AOR15" s="49"/>
      <c r="AOS15" s="49"/>
      <c r="AOT15" s="49"/>
      <c r="AOU15" s="49"/>
      <c r="AOV15" s="49"/>
      <c r="AOW15" s="49"/>
      <c r="AOX15" s="49"/>
      <c r="AOY15" s="49"/>
      <c r="AOZ15" s="49"/>
      <c r="APA15" s="49"/>
      <c r="APB15" s="49"/>
      <c r="APC15" s="49"/>
      <c r="APD15" s="49"/>
      <c r="APE15" s="49"/>
      <c r="APF15" s="49"/>
      <c r="APG15" s="49"/>
      <c r="APH15" s="49"/>
      <c r="API15" s="49"/>
      <c r="APJ15" s="49"/>
      <c r="APK15" s="49"/>
      <c r="APL15" s="49"/>
      <c r="APM15" s="49"/>
      <c r="APN15" s="49"/>
      <c r="APO15" s="49"/>
      <c r="APP15" s="49"/>
      <c r="APQ15" s="49"/>
      <c r="APR15" s="49"/>
      <c r="APS15" s="49"/>
      <c r="APT15" s="49"/>
      <c r="APU15" s="49"/>
      <c r="APV15" s="49"/>
      <c r="APW15" s="49"/>
      <c r="APX15" s="49"/>
      <c r="APY15" s="49"/>
      <c r="APZ15" s="49"/>
      <c r="AQA15" s="49"/>
      <c r="AQB15" s="49"/>
      <c r="AQC15" s="49"/>
      <c r="AQD15" s="49"/>
      <c r="AQE15" s="49"/>
      <c r="AQF15" s="49"/>
      <c r="AQG15" s="49"/>
      <c r="AQH15" s="49"/>
      <c r="AQI15" s="49"/>
      <c r="AQJ15" s="49"/>
      <c r="AQK15" s="49"/>
      <c r="AQL15" s="49"/>
      <c r="AQM15" s="49"/>
      <c r="AQN15" s="49"/>
      <c r="AQO15" s="49"/>
      <c r="AQP15" s="49"/>
      <c r="AQQ15" s="49"/>
      <c r="AQR15" s="49"/>
      <c r="AQS15" s="49"/>
      <c r="AQT15" s="49"/>
      <c r="AQU15" s="49"/>
      <c r="AQV15" s="49"/>
      <c r="AQW15" s="49"/>
      <c r="AQX15" s="49"/>
      <c r="AQY15" s="49"/>
      <c r="AQZ15" s="49"/>
      <c r="ARA15" s="49"/>
      <c r="ARB15" s="49"/>
      <c r="ARC15" s="49"/>
      <c r="ARD15" s="49"/>
      <c r="ARE15" s="49"/>
      <c r="ARF15" s="49"/>
      <c r="ARG15" s="49"/>
      <c r="ARH15" s="49"/>
      <c r="ARI15" s="49"/>
      <c r="ARJ15" s="49"/>
      <c r="ARK15" s="49"/>
      <c r="ARL15" s="49"/>
      <c r="ARM15" s="49"/>
      <c r="ARN15" s="49"/>
      <c r="ARO15" s="49"/>
      <c r="ARP15" s="49"/>
      <c r="ARQ15" s="49"/>
      <c r="ARR15" s="49"/>
      <c r="ARS15" s="49"/>
      <c r="ART15" s="49"/>
      <c r="ARU15" s="49"/>
      <c r="ARV15" s="49"/>
      <c r="ARW15" s="49"/>
      <c r="ARX15" s="49"/>
      <c r="ARY15" s="49"/>
      <c r="ARZ15" s="49"/>
      <c r="ASA15" s="49"/>
      <c r="ASB15" s="49"/>
      <c r="ASC15" s="49"/>
      <c r="ASD15" s="49"/>
      <c r="ASE15" s="49"/>
      <c r="ASF15" s="49"/>
      <c r="ASG15" s="49"/>
      <c r="ASH15" s="49"/>
      <c r="ASI15" s="49"/>
      <c r="ASJ15" s="49"/>
      <c r="ASK15" s="49"/>
      <c r="ASL15" s="49"/>
      <c r="ASM15" s="49"/>
      <c r="ASN15" s="49"/>
      <c r="ASO15" s="49"/>
      <c r="ASP15" s="49"/>
      <c r="ASQ15" s="49"/>
      <c r="ASR15" s="49"/>
      <c r="ASS15" s="49"/>
      <c r="AST15" s="49"/>
      <c r="ASU15" s="49"/>
      <c r="ASV15" s="49"/>
      <c r="ASW15" s="49"/>
      <c r="ASX15" s="49"/>
      <c r="ASY15" s="49"/>
      <c r="ASZ15" s="49"/>
      <c r="ATA15" s="49"/>
      <c r="ATB15" s="49"/>
      <c r="ATC15" s="49"/>
      <c r="ATD15" s="49"/>
      <c r="ATE15" s="49"/>
      <c r="ATF15" s="49"/>
      <c r="ATG15" s="49"/>
      <c r="ATH15" s="49"/>
      <c r="ATI15" s="49"/>
      <c r="ATJ15" s="49"/>
      <c r="ATK15" s="49"/>
      <c r="ATL15" s="49"/>
      <c r="ATM15" s="49"/>
      <c r="ATN15" s="49"/>
      <c r="ATO15" s="49"/>
      <c r="ATP15" s="49"/>
      <c r="ATQ15" s="49"/>
      <c r="ATR15" s="49"/>
      <c r="ATS15" s="49"/>
      <c r="ATT15" s="49"/>
      <c r="ATU15" s="49"/>
      <c r="ATV15" s="49"/>
      <c r="ATW15" s="49"/>
      <c r="ATX15" s="49"/>
      <c r="ATY15" s="49"/>
      <c r="ATZ15" s="49"/>
      <c r="AUA15" s="49"/>
      <c r="AUB15" s="49"/>
      <c r="AUC15" s="49"/>
      <c r="AUD15" s="49"/>
      <c r="AUE15" s="49"/>
      <c r="AUF15" s="49"/>
      <c r="AUG15" s="49"/>
      <c r="AUH15" s="49"/>
      <c r="AUI15" s="49"/>
      <c r="AUJ15" s="49"/>
      <c r="AUK15" s="49"/>
      <c r="AUL15" s="49"/>
      <c r="AUM15" s="49"/>
      <c r="AUN15" s="49"/>
      <c r="AUO15" s="49"/>
      <c r="AUP15" s="49"/>
      <c r="AUQ15" s="49"/>
      <c r="AUR15" s="49"/>
      <c r="AUS15" s="49"/>
      <c r="AUT15" s="49"/>
      <c r="AUU15" s="49"/>
      <c r="AUV15" s="49"/>
      <c r="AUW15" s="49"/>
      <c r="AUX15" s="49"/>
      <c r="AUY15" s="49"/>
      <c r="AUZ15" s="49"/>
      <c r="AVA15" s="49"/>
      <c r="AVB15" s="49"/>
      <c r="AVC15" s="49"/>
      <c r="AVD15" s="49"/>
      <c r="AVE15" s="49"/>
      <c r="AVF15" s="49"/>
      <c r="AVG15" s="49"/>
      <c r="AVH15" s="49"/>
      <c r="AVI15" s="49"/>
      <c r="AVJ15" s="49"/>
      <c r="AVK15" s="49"/>
      <c r="AVL15" s="49"/>
      <c r="AVM15" s="49"/>
      <c r="AVN15" s="49"/>
      <c r="AVO15" s="49"/>
      <c r="AVP15" s="49"/>
      <c r="AVQ15" s="49"/>
      <c r="AVR15" s="49"/>
      <c r="AVS15" s="49"/>
      <c r="AVT15" s="49"/>
      <c r="AVU15" s="49"/>
      <c r="AVV15" s="49"/>
      <c r="AVW15" s="49"/>
      <c r="AVX15" s="49"/>
      <c r="AVY15" s="49"/>
      <c r="AVZ15" s="49"/>
      <c r="AWA15" s="49"/>
      <c r="AWB15" s="49"/>
      <c r="AWC15" s="49"/>
      <c r="AWD15" s="49"/>
      <c r="AWE15" s="49"/>
      <c r="AWF15" s="49"/>
      <c r="AWG15" s="49"/>
      <c r="AWH15" s="49"/>
      <c r="AWI15" s="49"/>
      <c r="AWJ15" s="49"/>
      <c r="AWK15" s="49"/>
      <c r="AWL15" s="49"/>
      <c r="AWM15" s="49"/>
      <c r="AWN15" s="49"/>
      <c r="AWO15" s="49"/>
      <c r="AWP15" s="49"/>
      <c r="AWQ15" s="49"/>
      <c r="AWR15" s="49"/>
      <c r="AWS15" s="49"/>
      <c r="AWT15" s="49"/>
      <c r="AWU15" s="49"/>
      <c r="AWV15" s="49"/>
      <c r="AWW15" s="49"/>
      <c r="AWX15" s="49"/>
      <c r="AWY15" s="49"/>
      <c r="AWZ15" s="49"/>
      <c r="AXA15" s="49"/>
      <c r="AXB15" s="49"/>
      <c r="AXC15" s="49"/>
      <c r="AXD15" s="49"/>
      <c r="AXE15" s="49"/>
      <c r="AXF15" s="49"/>
      <c r="AXG15" s="49"/>
      <c r="AXH15" s="49"/>
      <c r="AXI15" s="49"/>
      <c r="AXJ15" s="49"/>
      <c r="AXK15" s="49"/>
      <c r="AXL15" s="49"/>
      <c r="AXM15" s="49"/>
      <c r="AXN15" s="49"/>
      <c r="AXO15" s="49"/>
      <c r="AXP15" s="49"/>
      <c r="AXQ15" s="49"/>
      <c r="AXR15" s="49"/>
      <c r="AXS15" s="49"/>
      <c r="AXT15" s="49"/>
      <c r="AXU15" s="49"/>
      <c r="AXV15" s="49"/>
      <c r="AXW15" s="49"/>
      <c r="AXX15" s="49"/>
      <c r="AXY15" s="49"/>
      <c r="AXZ15" s="49"/>
      <c r="AYA15" s="49"/>
      <c r="AYB15" s="49"/>
      <c r="AYC15" s="49"/>
      <c r="AYD15" s="49"/>
      <c r="AYE15" s="49"/>
      <c r="AYF15" s="49"/>
      <c r="AYG15" s="49"/>
      <c r="AYH15" s="49"/>
      <c r="AYI15" s="49"/>
      <c r="AYJ15" s="49"/>
      <c r="AYK15" s="49"/>
      <c r="AYL15" s="49"/>
      <c r="AYM15" s="49"/>
      <c r="AYN15" s="49"/>
      <c r="AYO15" s="49"/>
      <c r="AYP15" s="49"/>
      <c r="AYQ15" s="49"/>
      <c r="AYR15" s="49"/>
      <c r="AYS15" s="49"/>
      <c r="AYT15" s="49"/>
      <c r="AYU15" s="49"/>
      <c r="AYV15" s="49"/>
      <c r="AYW15" s="49"/>
      <c r="AYX15" s="49"/>
      <c r="AYY15" s="49"/>
      <c r="AYZ15" s="49"/>
      <c r="AZA15" s="49"/>
      <c r="AZB15" s="49"/>
      <c r="AZC15" s="49"/>
      <c r="AZD15" s="49"/>
      <c r="AZE15" s="49"/>
      <c r="AZF15" s="49"/>
      <c r="AZG15" s="49"/>
      <c r="AZH15" s="49"/>
      <c r="AZI15" s="49"/>
      <c r="AZJ15" s="49"/>
      <c r="AZK15" s="49"/>
      <c r="AZL15" s="49"/>
      <c r="AZM15" s="49"/>
      <c r="AZN15" s="49"/>
      <c r="AZO15" s="49"/>
      <c r="AZP15" s="49"/>
      <c r="AZQ15" s="49"/>
      <c r="AZR15" s="49"/>
      <c r="AZS15" s="49"/>
      <c r="AZT15" s="49"/>
      <c r="AZU15" s="49"/>
      <c r="AZV15" s="49"/>
      <c r="AZW15" s="49"/>
      <c r="AZX15" s="49"/>
      <c r="AZY15" s="49"/>
      <c r="AZZ15" s="49"/>
      <c r="BAA15" s="49"/>
      <c r="BAB15" s="49"/>
      <c r="BAC15" s="49"/>
      <c r="BAD15" s="49"/>
      <c r="BAE15" s="49"/>
      <c r="BAF15" s="49"/>
      <c r="BAG15" s="49"/>
      <c r="BAH15" s="49"/>
      <c r="BAI15" s="49"/>
      <c r="BAJ15" s="49"/>
      <c r="BAK15" s="49"/>
      <c r="BAL15" s="49"/>
      <c r="BAM15" s="49"/>
      <c r="BAN15" s="49"/>
      <c r="BAO15" s="49"/>
      <c r="BAP15" s="49"/>
      <c r="BAQ15" s="49"/>
      <c r="BAR15" s="49"/>
      <c r="BAS15" s="49"/>
      <c r="BAT15" s="49"/>
      <c r="BAU15" s="49"/>
      <c r="BAV15" s="49"/>
      <c r="BAW15" s="49"/>
      <c r="BAX15" s="49"/>
      <c r="BAY15" s="49"/>
      <c r="BAZ15" s="49"/>
      <c r="BBA15" s="49"/>
      <c r="BBB15" s="49"/>
      <c r="BBC15" s="49"/>
      <c r="BBD15" s="49"/>
      <c r="BBE15" s="49"/>
      <c r="BBF15" s="49"/>
      <c r="BBG15" s="49"/>
      <c r="BBH15" s="49"/>
      <c r="BBI15" s="49"/>
      <c r="BBJ15" s="49"/>
      <c r="BBK15" s="49"/>
      <c r="BBL15" s="49"/>
      <c r="BBM15" s="49"/>
      <c r="BBN15" s="49"/>
      <c r="BBO15" s="49"/>
      <c r="BBP15" s="49"/>
      <c r="BBQ15" s="49"/>
      <c r="BBR15" s="49"/>
      <c r="BBS15" s="49"/>
      <c r="BBT15" s="49"/>
      <c r="BBU15" s="49"/>
      <c r="BBV15" s="49"/>
      <c r="BBW15" s="49"/>
      <c r="BBX15" s="49"/>
      <c r="BBY15" s="49"/>
      <c r="BBZ15" s="49"/>
      <c r="BCA15" s="49"/>
      <c r="BCB15" s="49"/>
      <c r="BCC15" s="49"/>
      <c r="BCD15" s="49"/>
      <c r="BCE15" s="49"/>
      <c r="BCF15" s="49"/>
      <c r="BCG15" s="49"/>
      <c r="BCH15" s="49"/>
      <c r="BCI15" s="49"/>
      <c r="BCJ15" s="49"/>
      <c r="BCK15" s="49"/>
      <c r="BCL15" s="49"/>
      <c r="BCM15" s="49"/>
      <c r="BCN15" s="49"/>
    </row>
    <row r="16" spans="1:1444" s="51" customFormat="1">
      <c r="A16" s="52"/>
      <c r="B16" s="94">
        <v>45759</v>
      </c>
      <c r="C16" s="94" t="s">
        <v>197</v>
      </c>
      <c r="D16" s="95">
        <v>56</v>
      </c>
      <c r="E16" s="95">
        <v>111.97500000003492</v>
      </c>
      <c r="F16" s="95">
        <v>0</v>
      </c>
      <c r="G16" s="95">
        <v>89.869999999995343</v>
      </c>
      <c r="H16" s="95">
        <v>33</v>
      </c>
      <c r="I16" s="95">
        <v>38</v>
      </c>
      <c r="J16" s="95">
        <v>1100.5500000000006</v>
      </c>
      <c r="K16" s="95">
        <v>949.45790000074385</v>
      </c>
      <c r="L16" s="95">
        <v>0</v>
      </c>
      <c r="M16" s="155">
        <v>0</v>
      </c>
      <c r="N16" s="141">
        <f>'units overall'!O16</f>
        <v>2391.8529000007748</v>
      </c>
      <c r="O16" s="230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V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L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B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R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H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X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N16" s="49"/>
      <c r="IO16" s="49"/>
      <c r="IP16" s="49"/>
      <c r="IQ16" s="49"/>
      <c r="IR16" s="49"/>
      <c r="IS16" s="49"/>
      <c r="IT16" s="49"/>
      <c r="IU16" s="49"/>
      <c r="IV16" s="49"/>
      <c r="IW16" s="49"/>
      <c r="IX16" s="49"/>
      <c r="IY16" s="49"/>
      <c r="IZ16" s="49"/>
      <c r="JA16" s="49"/>
      <c r="JB16" s="49"/>
      <c r="JC16" s="49"/>
      <c r="JD16" s="49"/>
      <c r="JE16" s="49"/>
      <c r="JF16" s="49"/>
      <c r="JG16" s="49"/>
      <c r="JH16" s="49"/>
      <c r="JI16" s="49"/>
      <c r="JJ16" s="49"/>
      <c r="JK16" s="49"/>
      <c r="JL16" s="49"/>
      <c r="JM16" s="49"/>
      <c r="JN16" s="49"/>
      <c r="JO16" s="49"/>
      <c r="JP16" s="49"/>
      <c r="JQ16" s="49"/>
      <c r="JR16" s="49"/>
      <c r="JS16" s="49"/>
      <c r="JT16" s="49"/>
      <c r="JU16" s="49"/>
      <c r="JV16" s="49"/>
      <c r="JW16" s="49"/>
      <c r="JX16" s="49"/>
      <c r="JY16" s="49"/>
      <c r="JZ16" s="49"/>
      <c r="KA16" s="49"/>
      <c r="KB16" s="49"/>
      <c r="KC16" s="49"/>
      <c r="KD16" s="49"/>
      <c r="KE16" s="49"/>
      <c r="KF16" s="49"/>
      <c r="KG16" s="49"/>
      <c r="KH16" s="49"/>
      <c r="KI16" s="49"/>
      <c r="KJ16" s="49"/>
      <c r="KK16" s="49"/>
      <c r="KL16" s="49"/>
      <c r="KM16" s="49"/>
      <c r="KN16" s="49"/>
      <c r="KO16" s="49"/>
      <c r="KP16" s="49"/>
      <c r="KQ16" s="49"/>
      <c r="KR16" s="49"/>
      <c r="KS16" s="49"/>
      <c r="KT16" s="49"/>
      <c r="KU16" s="49"/>
      <c r="KV16" s="49"/>
      <c r="KW16" s="49"/>
      <c r="KX16" s="49"/>
      <c r="KY16" s="49"/>
      <c r="KZ16" s="49"/>
      <c r="LA16" s="49"/>
      <c r="LB16" s="49"/>
      <c r="LC16" s="49"/>
      <c r="LD16" s="49"/>
      <c r="LE16" s="49"/>
      <c r="LF16" s="49"/>
      <c r="LG16" s="49"/>
      <c r="LH16" s="49"/>
      <c r="LI16" s="49"/>
      <c r="LJ16" s="49"/>
      <c r="LK16" s="49"/>
      <c r="LL16" s="49"/>
      <c r="LM16" s="49"/>
      <c r="LN16" s="49"/>
      <c r="LO16" s="49"/>
      <c r="LP16" s="49"/>
      <c r="LQ16" s="49"/>
      <c r="LR16" s="49"/>
      <c r="LS16" s="49"/>
      <c r="LT16" s="49"/>
      <c r="LU16" s="49"/>
      <c r="LV16" s="49"/>
      <c r="LW16" s="49"/>
      <c r="LX16" s="49"/>
      <c r="LY16" s="49"/>
      <c r="LZ16" s="49"/>
      <c r="MA16" s="49"/>
      <c r="MB16" s="49"/>
      <c r="MC16" s="49"/>
      <c r="MD16" s="49"/>
      <c r="ME16" s="49"/>
      <c r="MF16" s="49"/>
      <c r="MG16" s="49"/>
      <c r="MH16" s="49"/>
      <c r="MI16" s="49"/>
      <c r="MJ16" s="49"/>
      <c r="MK16" s="49"/>
      <c r="ML16" s="49"/>
      <c r="MM16" s="49"/>
      <c r="MN16" s="49"/>
      <c r="MO16" s="49"/>
      <c r="MP16" s="49"/>
      <c r="MQ16" s="49"/>
      <c r="MR16" s="49"/>
      <c r="MS16" s="49"/>
      <c r="MT16" s="49"/>
      <c r="MU16" s="49"/>
      <c r="MV16" s="49"/>
      <c r="MW16" s="49"/>
      <c r="MX16" s="49"/>
      <c r="MY16" s="49"/>
      <c r="MZ16" s="49"/>
      <c r="NA16" s="49"/>
      <c r="NB16" s="49"/>
      <c r="NC16" s="49"/>
      <c r="ND16" s="49"/>
      <c r="NE16" s="49"/>
      <c r="NF16" s="49"/>
      <c r="NG16" s="49"/>
      <c r="NH16" s="49"/>
      <c r="NI16" s="49"/>
      <c r="NJ16" s="49"/>
      <c r="NK16" s="49"/>
      <c r="NL16" s="49"/>
      <c r="NM16" s="49"/>
      <c r="NN16" s="49"/>
      <c r="NO16" s="49"/>
      <c r="NP16" s="49"/>
      <c r="NQ16" s="49"/>
      <c r="NR16" s="49"/>
      <c r="NS16" s="49"/>
      <c r="NT16" s="49"/>
      <c r="NU16" s="49"/>
      <c r="NV16" s="49"/>
      <c r="NW16" s="49"/>
      <c r="NX16" s="49"/>
      <c r="NY16" s="49"/>
      <c r="NZ16" s="49"/>
      <c r="OA16" s="49"/>
      <c r="OB16" s="49"/>
      <c r="OC16" s="49"/>
      <c r="OD16" s="49"/>
      <c r="OE16" s="49"/>
      <c r="OF16" s="49"/>
      <c r="OG16" s="49"/>
      <c r="OH16" s="49"/>
      <c r="OI16" s="49"/>
      <c r="OJ16" s="49"/>
      <c r="OK16" s="49"/>
      <c r="OL16" s="49"/>
      <c r="OM16" s="49"/>
      <c r="ON16" s="49"/>
      <c r="OO16" s="49"/>
      <c r="OP16" s="49"/>
      <c r="OQ16" s="49"/>
      <c r="OR16" s="49"/>
      <c r="OS16" s="49"/>
      <c r="OT16" s="49"/>
      <c r="OU16" s="49"/>
      <c r="OV16" s="49"/>
      <c r="OW16" s="49"/>
      <c r="OX16" s="49"/>
      <c r="OY16" s="49"/>
      <c r="OZ16" s="49"/>
      <c r="PA16" s="49"/>
      <c r="PB16" s="49"/>
      <c r="PC16" s="49"/>
      <c r="PD16" s="49"/>
      <c r="PE16" s="49"/>
      <c r="PF16" s="49"/>
      <c r="PG16" s="49"/>
      <c r="PH16" s="49"/>
      <c r="PI16" s="49"/>
      <c r="PJ16" s="49"/>
      <c r="PK16" s="49"/>
      <c r="PL16" s="49"/>
      <c r="PM16" s="49"/>
      <c r="PN16" s="49"/>
      <c r="PO16" s="49"/>
      <c r="PP16" s="49"/>
      <c r="PQ16" s="49"/>
      <c r="PR16" s="49"/>
      <c r="PS16" s="49"/>
      <c r="PT16" s="49"/>
      <c r="PU16" s="49"/>
      <c r="PV16" s="49"/>
      <c r="PW16" s="49"/>
      <c r="PX16" s="49"/>
      <c r="PY16" s="49"/>
      <c r="PZ16" s="49"/>
      <c r="QA16" s="49"/>
      <c r="QB16" s="49"/>
      <c r="QC16" s="49"/>
      <c r="QD16" s="49"/>
      <c r="QE16" s="49"/>
      <c r="QF16" s="49"/>
      <c r="QG16" s="49"/>
      <c r="QH16" s="49"/>
      <c r="QI16" s="49"/>
      <c r="QJ16" s="49"/>
      <c r="QK16" s="49"/>
      <c r="QL16" s="49"/>
      <c r="QM16" s="49"/>
      <c r="QN16" s="49"/>
      <c r="QO16" s="49"/>
      <c r="QP16" s="49"/>
      <c r="QQ16" s="49"/>
      <c r="QR16" s="49"/>
      <c r="QS16" s="49"/>
      <c r="QT16" s="49"/>
      <c r="QU16" s="49"/>
      <c r="QV16" s="49"/>
      <c r="QW16" s="49"/>
      <c r="QX16" s="49"/>
      <c r="QY16" s="49"/>
      <c r="QZ16" s="49"/>
      <c r="RA16" s="49"/>
      <c r="RB16" s="49"/>
      <c r="RC16" s="49"/>
      <c r="RD16" s="49"/>
      <c r="RE16" s="49"/>
      <c r="RF16" s="49"/>
      <c r="RG16" s="49"/>
      <c r="RH16" s="49"/>
      <c r="RI16" s="49"/>
      <c r="RJ16" s="49"/>
      <c r="RK16" s="49"/>
      <c r="RL16" s="49"/>
      <c r="RM16" s="49"/>
      <c r="RN16" s="49"/>
      <c r="RO16" s="49"/>
      <c r="RP16" s="49"/>
      <c r="RQ16" s="49"/>
      <c r="RR16" s="49"/>
      <c r="RS16" s="49"/>
      <c r="RT16" s="49"/>
      <c r="RU16" s="49"/>
      <c r="RV16" s="49"/>
      <c r="RW16" s="49"/>
      <c r="RX16" s="49"/>
      <c r="RY16" s="49"/>
      <c r="RZ16" s="49"/>
      <c r="SA16" s="49"/>
      <c r="SB16" s="49"/>
      <c r="SC16" s="49"/>
      <c r="SD16" s="49"/>
      <c r="SE16" s="49"/>
      <c r="SF16" s="49"/>
      <c r="SG16" s="49"/>
      <c r="SH16" s="49"/>
      <c r="SI16" s="49"/>
      <c r="SJ16" s="49"/>
      <c r="SK16" s="49"/>
      <c r="SL16" s="49"/>
      <c r="SM16" s="49"/>
      <c r="SN16" s="49"/>
      <c r="SO16" s="49"/>
      <c r="SP16" s="49"/>
      <c r="SQ16" s="49"/>
      <c r="SR16" s="49"/>
      <c r="SS16" s="49"/>
      <c r="ST16" s="49"/>
      <c r="SU16" s="49"/>
      <c r="SV16" s="49"/>
      <c r="SW16" s="49"/>
      <c r="SX16" s="49"/>
      <c r="SY16" s="49"/>
      <c r="SZ16" s="49"/>
      <c r="TA16" s="49"/>
      <c r="TB16" s="49"/>
      <c r="TC16" s="49"/>
      <c r="TD16" s="49"/>
      <c r="TE16" s="49"/>
      <c r="TF16" s="49"/>
      <c r="TG16" s="49"/>
      <c r="TH16" s="49"/>
      <c r="TI16" s="49"/>
      <c r="TJ16" s="49"/>
      <c r="TK16" s="49"/>
      <c r="TL16" s="49"/>
      <c r="TM16" s="49"/>
      <c r="TN16" s="49"/>
      <c r="TO16" s="49"/>
      <c r="TP16" s="49"/>
      <c r="TQ16" s="49"/>
      <c r="TR16" s="49"/>
      <c r="TS16" s="49"/>
      <c r="TT16" s="49"/>
      <c r="TU16" s="49"/>
      <c r="TV16" s="49"/>
      <c r="TW16" s="49"/>
      <c r="TX16" s="49"/>
      <c r="TY16" s="49"/>
      <c r="TZ16" s="49"/>
      <c r="UA16" s="49"/>
      <c r="UB16" s="49"/>
      <c r="UC16" s="49"/>
      <c r="UD16" s="49"/>
      <c r="UE16" s="49"/>
      <c r="UF16" s="49"/>
      <c r="UG16" s="49"/>
      <c r="UH16" s="49"/>
      <c r="UI16" s="49"/>
      <c r="UJ16" s="49"/>
      <c r="UK16" s="49"/>
      <c r="UL16" s="49"/>
      <c r="UM16" s="49"/>
      <c r="UN16" s="49"/>
      <c r="UO16" s="49"/>
      <c r="UP16" s="49"/>
      <c r="UQ16" s="49"/>
      <c r="UR16" s="49"/>
      <c r="US16" s="49"/>
      <c r="UT16" s="49"/>
      <c r="UU16" s="49"/>
      <c r="UV16" s="49"/>
      <c r="UW16" s="49"/>
      <c r="UX16" s="49"/>
      <c r="UY16" s="49"/>
      <c r="UZ16" s="49"/>
      <c r="VA16" s="49"/>
      <c r="VB16" s="49"/>
      <c r="VC16" s="49"/>
      <c r="VD16" s="49"/>
      <c r="VE16" s="49"/>
      <c r="VF16" s="49"/>
      <c r="VG16" s="49"/>
      <c r="VH16" s="49"/>
      <c r="VI16" s="49"/>
      <c r="VJ16" s="49"/>
      <c r="VK16" s="49"/>
      <c r="VL16" s="49"/>
      <c r="VM16" s="49"/>
      <c r="VN16" s="49"/>
      <c r="VO16" s="49"/>
      <c r="VP16" s="49"/>
      <c r="VQ16" s="49"/>
      <c r="VR16" s="49"/>
      <c r="VS16" s="49"/>
      <c r="VT16" s="49"/>
      <c r="VU16" s="49"/>
      <c r="VV16" s="49"/>
      <c r="VW16" s="49"/>
      <c r="VX16" s="49"/>
      <c r="VY16" s="49"/>
      <c r="VZ16" s="49"/>
      <c r="WA16" s="49"/>
      <c r="WB16" s="49"/>
      <c r="WC16" s="49"/>
      <c r="WD16" s="49"/>
      <c r="WE16" s="49"/>
      <c r="WF16" s="49"/>
      <c r="WG16" s="49"/>
      <c r="WH16" s="49"/>
      <c r="WI16" s="49"/>
      <c r="WJ16" s="49"/>
      <c r="WK16" s="49"/>
      <c r="WL16" s="49"/>
      <c r="WM16" s="49"/>
      <c r="WN16" s="49"/>
      <c r="WO16" s="49"/>
      <c r="WP16" s="49"/>
      <c r="WQ16" s="49"/>
      <c r="WR16" s="49"/>
      <c r="WS16" s="49"/>
      <c r="WT16" s="49"/>
      <c r="WU16" s="49"/>
      <c r="WV16" s="49"/>
      <c r="WW16" s="49"/>
      <c r="WX16" s="49"/>
      <c r="WY16" s="49"/>
      <c r="WZ16" s="49"/>
      <c r="XA16" s="49"/>
      <c r="XB16" s="49"/>
      <c r="XC16" s="49"/>
      <c r="XD16" s="49"/>
      <c r="XE16" s="49"/>
      <c r="XF16" s="49"/>
      <c r="XG16" s="49"/>
      <c r="XH16" s="49"/>
      <c r="XI16" s="49"/>
      <c r="XJ16" s="49"/>
      <c r="XK16" s="49"/>
      <c r="XL16" s="49"/>
      <c r="XM16" s="49"/>
      <c r="XN16" s="49"/>
      <c r="XO16" s="49"/>
      <c r="XP16" s="49"/>
      <c r="XQ16" s="49"/>
      <c r="XR16" s="49"/>
      <c r="XS16" s="49"/>
      <c r="XT16" s="49"/>
      <c r="XU16" s="49"/>
      <c r="XV16" s="49"/>
      <c r="XW16" s="49"/>
      <c r="XX16" s="49"/>
      <c r="XY16" s="49"/>
      <c r="XZ16" s="49"/>
      <c r="YA16" s="49"/>
      <c r="YB16" s="49"/>
      <c r="YC16" s="49"/>
      <c r="YD16" s="49"/>
      <c r="YE16" s="49"/>
      <c r="YF16" s="49"/>
      <c r="YG16" s="49"/>
      <c r="YH16" s="49"/>
      <c r="YI16" s="49"/>
      <c r="YJ16" s="49"/>
      <c r="YK16" s="49"/>
      <c r="YL16" s="49"/>
      <c r="YM16" s="49"/>
      <c r="YN16" s="49"/>
      <c r="YO16" s="49"/>
      <c r="YP16" s="49"/>
      <c r="YQ16" s="49"/>
      <c r="YR16" s="49"/>
      <c r="YS16" s="49"/>
      <c r="YT16" s="49"/>
      <c r="YU16" s="49"/>
      <c r="YV16" s="49"/>
      <c r="YW16" s="49"/>
      <c r="YX16" s="49"/>
      <c r="YY16" s="49"/>
      <c r="YZ16" s="49"/>
      <c r="ZA16" s="49"/>
      <c r="ZB16" s="49"/>
      <c r="ZC16" s="49"/>
      <c r="ZD16" s="49"/>
      <c r="ZE16" s="49"/>
      <c r="ZF16" s="49"/>
      <c r="ZG16" s="49"/>
      <c r="ZH16" s="49"/>
      <c r="ZI16" s="49"/>
      <c r="ZJ16" s="49"/>
      <c r="ZK16" s="49"/>
      <c r="ZL16" s="49"/>
      <c r="ZM16" s="49"/>
      <c r="ZN16" s="49"/>
      <c r="ZO16" s="49"/>
      <c r="ZP16" s="49"/>
      <c r="ZQ16" s="49"/>
      <c r="ZR16" s="49"/>
      <c r="ZS16" s="49"/>
      <c r="ZT16" s="49"/>
      <c r="ZU16" s="49"/>
      <c r="ZV16" s="49"/>
      <c r="ZW16" s="49"/>
      <c r="ZX16" s="49"/>
      <c r="ZY16" s="49"/>
      <c r="ZZ16" s="49"/>
      <c r="AAA16" s="49"/>
      <c r="AAB16" s="49"/>
      <c r="AAC16" s="49"/>
      <c r="AAD16" s="49"/>
      <c r="AAE16" s="49"/>
      <c r="AAF16" s="49"/>
      <c r="AAG16" s="49"/>
      <c r="AAH16" s="49"/>
      <c r="AAI16" s="49"/>
      <c r="AAJ16" s="49"/>
      <c r="AAK16" s="49"/>
      <c r="AAL16" s="49"/>
      <c r="AAM16" s="49"/>
      <c r="AAN16" s="49"/>
      <c r="AAO16" s="49"/>
      <c r="AAP16" s="49"/>
      <c r="AAQ16" s="49"/>
      <c r="AAR16" s="49"/>
      <c r="AAS16" s="49"/>
      <c r="AAT16" s="49"/>
      <c r="AAU16" s="49"/>
      <c r="AAV16" s="49"/>
      <c r="AAW16" s="49"/>
      <c r="AAX16" s="49"/>
      <c r="AAY16" s="49"/>
      <c r="AAZ16" s="49"/>
      <c r="ABA16" s="49"/>
      <c r="ABB16" s="49"/>
      <c r="ABC16" s="49"/>
      <c r="ABD16" s="49"/>
      <c r="ABE16" s="49"/>
      <c r="ABF16" s="49"/>
      <c r="ABG16" s="49"/>
      <c r="ABH16" s="49"/>
      <c r="ABI16" s="49"/>
      <c r="ABJ16" s="49"/>
      <c r="ABK16" s="49"/>
      <c r="ABL16" s="49"/>
      <c r="ABM16" s="49"/>
      <c r="ABN16" s="49"/>
      <c r="ABO16" s="49"/>
      <c r="ABP16" s="49"/>
      <c r="ABQ16" s="49"/>
      <c r="ABR16" s="49"/>
      <c r="ABS16" s="49"/>
      <c r="ABT16" s="49"/>
      <c r="ABU16" s="49"/>
      <c r="ABV16" s="49"/>
      <c r="ABW16" s="49"/>
      <c r="ABX16" s="49"/>
      <c r="ABY16" s="49"/>
      <c r="ABZ16" s="49"/>
      <c r="ACA16" s="49"/>
      <c r="ACB16" s="49"/>
      <c r="ACC16" s="49"/>
      <c r="ACD16" s="49"/>
      <c r="ACE16" s="49"/>
      <c r="ACF16" s="49"/>
      <c r="ACG16" s="49"/>
      <c r="ACH16" s="49"/>
      <c r="ACI16" s="49"/>
      <c r="ACJ16" s="49"/>
      <c r="ACK16" s="49"/>
      <c r="ACL16" s="49"/>
      <c r="ACM16" s="49"/>
      <c r="ACN16" s="49"/>
      <c r="ACO16" s="49"/>
      <c r="ACP16" s="49"/>
      <c r="ACQ16" s="49"/>
      <c r="ACR16" s="49"/>
      <c r="ACS16" s="49"/>
      <c r="ACT16" s="49"/>
      <c r="ACU16" s="49"/>
      <c r="ACV16" s="49"/>
      <c r="ACW16" s="49"/>
      <c r="ACX16" s="49"/>
      <c r="ACY16" s="49"/>
      <c r="ACZ16" s="49"/>
      <c r="ADA16" s="49"/>
      <c r="ADB16" s="49"/>
      <c r="ADC16" s="49"/>
      <c r="ADD16" s="49"/>
      <c r="ADE16" s="49"/>
      <c r="ADF16" s="49"/>
      <c r="ADG16" s="49"/>
      <c r="ADH16" s="49"/>
      <c r="ADI16" s="49"/>
      <c r="ADJ16" s="49"/>
      <c r="ADK16" s="49"/>
      <c r="ADL16" s="49"/>
      <c r="ADM16" s="49"/>
      <c r="ADN16" s="49"/>
      <c r="ADO16" s="49"/>
      <c r="ADP16" s="49"/>
      <c r="ADQ16" s="49"/>
      <c r="ADR16" s="49"/>
      <c r="ADS16" s="49"/>
      <c r="ADT16" s="49"/>
      <c r="ADU16" s="49"/>
      <c r="ADV16" s="49"/>
      <c r="ADW16" s="49"/>
      <c r="ADX16" s="49"/>
      <c r="ADY16" s="49"/>
      <c r="ADZ16" s="49"/>
      <c r="AEA16" s="49"/>
      <c r="AEB16" s="49"/>
      <c r="AEC16" s="49"/>
      <c r="AED16" s="49"/>
      <c r="AEE16" s="49"/>
      <c r="AEF16" s="49"/>
      <c r="AEG16" s="49"/>
      <c r="AEH16" s="49"/>
      <c r="AEI16" s="49"/>
      <c r="AEJ16" s="49"/>
      <c r="AEK16" s="49"/>
      <c r="AEL16" s="49"/>
      <c r="AEM16" s="49"/>
      <c r="AEN16" s="49"/>
      <c r="AEO16" s="49"/>
      <c r="AEP16" s="49"/>
      <c r="AEQ16" s="49"/>
      <c r="AER16" s="49"/>
      <c r="AES16" s="49"/>
      <c r="AET16" s="49"/>
      <c r="AEU16" s="49"/>
      <c r="AEV16" s="49"/>
      <c r="AEW16" s="49"/>
      <c r="AEX16" s="49"/>
      <c r="AEY16" s="49"/>
      <c r="AEZ16" s="49"/>
      <c r="AFA16" s="49"/>
      <c r="AFB16" s="49"/>
      <c r="AFC16" s="49"/>
      <c r="AFD16" s="49"/>
      <c r="AFE16" s="49"/>
      <c r="AFF16" s="49"/>
      <c r="AFG16" s="49"/>
      <c r="AFH16" s="49"/>
      <c r="AFI16" s="49"/>
      <c r="AFJ16" s="49"/>
      <c r="AFK16" s="49"/>
      <c r="AFL16" s="49"/>
      <c r="AFM16" s="49"/>
      <c r="AFN16" s="49"/>
      <c r="AFO16" s="49"/>
      <c r="AFP16" s="49"/>
      <c r="AFQ16" s="49"/>
      <c r="AFR16" s="49"/>
      <c r="AFS16" s="49"/>
      <c r="AFT16" s="49"/>
      <c r="AFU16" s="49"/>
      <c r="AFV16" s="49"/>
      <c r="AFW16" s="49"/>
      <c r="AFX16" s="49"/>
      <c r="AFY16" s="49"/>
      <c r="AFZ16" s="49"/>
      <c r="AGA16" s="49"/>
      <c r="AGB16" s="49"/>
      <c r="AGC16" s="49"/>
      <c r="AGD16" s="49"/>
      <c r="AGE16" s="49"/>
      <c r="AGF16" s="49"/>
      <c r="AGG16" s="49"/>
      <c r="AGH16" s="49"/>
      <c r="AGI16" s="49"/>
      <c r="AGJ16" s="49"/>
      <c r="AGK16" s="49"/>
      <c r="AGL16" s="49"/>
      <c r="AGM16" s="49"/>
      <c r="AGN16" s="49"/>
      <c r="AGO16" s="49"/>
      <c r="AGP16" s="49"/>
      <c r="AGQ16" s="49"/>
      <c r="AGR16" s="49"/>
      <c r="AGS16" s="49"/>
      <c r="AGT16" s="49"/>
      <c r="AGU16" s="49"/>
      <c r="AGV16" s="49"/>
      <c r="AGW16" s="49"/>
      <c r="AGX16" s="49"/>
      <c r="AGY16" s="49"/>
      <c r="AGZ16" s="49"/>
      <c r="AHA16" s="49"/>
      <c r="AHB16" s="49"/>
      <c r="AHC16" s="49"/>
      <c r="AHD16" s="49"/>
      <c r="AHE16" s="49"/>
      <c r="AHF16" s="49"/>
      <c r="AHG16" s="49"/>
      <c r="AHH16" s="49"/>
      <c r="AHI16" s="49"/>
      <c r="AHJ16" s="49"/>
      <c r="AHK16" s="49"/>
      <c r="AHL16" s="49"/>
      <c r="AHM16" s="49"/>
      <c r="AHN16" s="49"/>
      <c r="AHO16" s="49"/>
      <c r="AHP16" s="49"/>
      <c r="AHQ16" s="49"/>
      <c r="AHR16" s="49"/>
      <c r="AHS16" s="49"/>
      <c r="AHT16" s="49"/>
      <c r="AHU16" s="49"/>
      <c r="AHV16" s="49"/>
      <c r="AHW16" s="49"/>
      <c r="AHX16" s="49"/>
      <c r="AHY16" s="49"/>
      <c r="AHZ16" s="49"/>
      <c r="AIA16" s="49"/>
      <c r="AIB16" s="49"/>
      <c r="AIC16" s="49"/>
      <c r="AID16" s="49"/>
      <c r="AIE16" s="49"/>
      <c r="AIF16" s="49"/>
      <c r="AIG16" s="49"/>
      <c r="AIH16" s="49"/>
      <c r="AII16" s="49"/>
      <c r="AIJ16" s="49"/>
      <c r="AIK16" s="49"/>
      <c r="AIL16" s="49"/>
      <c r="AIM16" s="49"/>
      <c r="AIN16" s="49"/>
      <c r="AIO16" s="49"/>
      <c r="AIP16" s="49"/>
      <c r="AIQ16" s="49"/>
      <c r="AIR16" s="49"/>
      <c r="AIS16" s="49"/>
      <c r="AIT16" s="49"/>
      <c r="AIU16" s="49"/>
      <c r="AIV16" s="49"/>
      <c r="AIW16" s="49"/>
      <c r="AIX16" s="49"/>
      <c r="AIY16" s="49"/>
      <c r="AIZ16" s="49"/>
      <c r="AJA16" s="49"/>
      <c r="AJB16" s="49"/>
      <c r="AJC16" s="49"/>
      <c r="AJD16" s="49"/>
      <c r="AJE16" s="49"/>
      <c r="AJF16" s="49"/>
      <c r="AJG16" s="49"/>
      <c r="AJH16" s="49"/>
      <c r="AJI16" s="49"/>
      <c r="AJJ16" s="49"/>
      <c r="AJK16" s="49"/>
      <c r="AJL16" s="49"/>
      <c r="AJM16" s="49"/>
      <c r="AJN16" s="49"/>
      <c r="AJO16" s="49"/>
      <c r="AJP16" s="49"/>
      <c r="AJQ16" s="49"/>
      <c r="AJR16" s="49"/>
      <c r="AJS16" s="49"/>
      <c r="AJT16" s="49"/>
      <c r="AJU16" s="49"/>
      <c r="AJV16" s="49"/>
      <c r="AJW16" s="49"/>
      <c r="AJX16" s="49"/>
      <c r="AJY16" s="49"/>
      <c r="AJZ16" s="49"/>
      <c r="AKA16" s="49"/>
      <c r="AKB16" s="49"/>
      <c r="AKC16" s="49"/>
      <c r="AKD16" s="49"/>
      <c r="AKE16" s="49"/>
      <c r="AKF16" s="49"/>
      <c r="AKG16" s="49"/>
      <c r="AKH16" s="49"/>
      <c r="AKI16" s="49"/>
      <c r="AKJ16" s="49"/>
      <c r="AKK16" s="49"/>
      <c r="AKL16" s="49"/>
      <c r="AKM16" s="49"/>
      <c r="AKN16" s="49"/>
      <c r="AKO16" s="49"/>
      <c r="AKP16" s="49"/>
      <c r="AKQ16" s="49"/>
      <c r="AKR16" s="49"/>
      <c r="AKS16" s="49"/>
      <c r="AKT16" s="49"/>
      <c r="AKU16" s="49"/>
      <c r="AKV16" s="49"/>
      <c r="AKW16" s="49"/>
      <c r="AKX16" s="49"/>
      <c r="AKY16" s="49"/>
      <c r="AKZ16" s="49"/>
      <c r="ALA16" s="49"/>
      <c r="ALB16" s="49"/>
      <c r="ALC16" s="49"/>
      <c r="ALD16" s="49"/>
      <c r="ALE16" s="49"/>
      <c r="ALF16" s="49"/>
      <c r="ALG16" s="49"/>
      <c r="ALH16" s="49"/>
      <c r="ALI16" s="49"/>
      <c r="ALJ16" s="49"/>
      <c r="ALK16" s="49"/>
      <c r="ALL16" s="49"/>
      <c r="ALM16" s="49"/>
      <c r="ALN16" s="49"/>
      <c r="ALO16" s="49"/>
      <c r="ALP16" s="49"/>
      <c r="ALQ16" s="49"/>
      <c r="ALR16" s="49"/>
      <c r="ALS16" s="49"/>
      <c r="ALT16" s="49"/>
      <c r="ALU16" s="49"/>
      <c r="ALV16" s="49"/>
      <c r="ALW16" s="49"/>
      <c r="ALX16" s="49"/>
      <c r="ALY16" s="49"/>
      <c r="ALZ16" s="49"/>
      <c r="AMA16" s="49"/>
      <c r="AMB16" s="49"/>
      <c r="AMC16" s="49"/>
      <c r="AMD16" s="49"/>
      <c r="AME16" s="49"/>
      <c r="AMF16" s="49"/>
      <c r="AMG16" s="49"/>
      <c r="AMH16" s="49"/>
      <c r="AMI16" s="49"/>
      <c r="AMJ16" s="49"/>
      <c r="AMK16" s="49"/>
      <c r="AML16" s="49"/>
      <c r="AMM16" s="49"/>
      <c r="AMN16" s="49"/>
      <c r="AMO16" s="49"/>
      <c r="AMP16" s="49"/>
      <c r="AMQ16" s="49"/>
      <c r="AMR16" s="49"/>
      <c r="AMS16" s="49"/>
      <c r="AMT16" s="49"/>
      <c r="AMU16" s="49"/>
      <c r="AMV16" s="49"/>
      <c r="AMW16" s="49"/>
      <c r="AMX16" s="49"/>
      <c r="AMY16" s="49"/>
      <c r="AMZ16" s="49"/>
      <c r="ANA16" s="49"/>
      <c r="ANB16" s="49"/>
      <c r="ANC16" s="49"/>
      <c r="AND16" s="49"/>
      <c r="ANE16" s="49"/>
      <c r="ANF16" s="49"/>
      <c r="ANG16" s="49"/>
      <c r="ANH16" s="49"/>
      <c r="ANI16" s="49"/>
      <c r="ANJ16" s="49"/>
      <c r="ANK16" s="49"/>
      <c r="ANL16" s="49"/>
      <c r="ANM16" s="49"/>
      <c r="ANN16" s="49"/>
      <c r="ANO16" s="49"/>
      <c r="ANP16" s="49"/>
      <c r="ANQ16" s="49"/>
      <c r="ANR16" s="49"/>
      <c r="ANS16" s="49"/>
      <c r="ANT16" s="49"/>
      <c r="ANU16" s="49"/>
      <c r="ANV16" s="49"/>
      <c r="ANW16" s="49"/>
      <c r="ANX16" s="49"/>
      <c r="ANY16" s="49"/>
      <c r="ANZ16" s="49"/>
      <c r="AOA16" s="49"/>
      <c r="AOB16" s="49"/>
      <c r="AOC16" s="49"/>
      <c r="AOD16" s="49"/>
      <c r="AOE16" s="49"/>
      <c r="AOF16" s="49"/>
      <c r="AOG16" s="49"/>
      <c r="AOH16" s="49"/>
      <c r="AOI16" s="49"/>
      <c r="AOJ16" s="49"/>
      <c r="AOK16" s="49"/>
      <c r="AOL16" s="49"/>
      <c r="AOM16" s="49"/>
      <c r="AON16" s="49"/>
      <c r="AOO16" s="49"/>
      <c r="AOP16" s="49"/>
      <c r="AOQ16" s="49"/>
      <c r="AOR16" s="49"/>
      <c r="AOS16" s="49"/>
      <c r="AOT16" s="49"/>
      <c r="AOU16" s="49"/>
      <c r="AOV16" s="49"/>
      <c r="AOW16" s="49"/>
      <c r="AOX16" s="49"/>
      <c r="AOY16" s="49"/>
      <c r="AOZ16" s="49"/>
      <c r="APA16" s="49"/>
      <c r="APB16" s="49"/>
      <c r="APC16" s="49"/>
      <c r="APD16" s="49"/>
      <c r="APE16" s="49"/>
      <c r="APF16" s="49"/>
      <c r="APG16" s="49"/>
      <c r="APH16" s="49"/>
      <c r="API16" s="49"/>
      <c r="APJ16" s="49"/>
      <c r="APK16" s="49"/>
      <c r="APL16" s="49"/>
      <c r="APM16" s="49"/>
      <c r="APN16" s="49"/>
      <c r="APO16" s="49"/>
      <c r="APP16" s="49"/>
      <c r="APQ16" s="49"/>
      <c r="APR16" s="49"/>
      <c r="APS16" s="49"/>
      <c r="APT16" s="49"/>
      <c r="APU16" s="49"/>
      <c r="APV16" s="49"/>
      <c r="APW16" s="49"/>
      <c r="APX16" s="49"/>
      <c r="APY16" s="49"/>
      <c r="APZ16" s="49"/>
      <c r="AQA16" s="49"/>
      <c r="AQB16" s="49"/>
      <c r="AQC16" s="49"/>
      <c r="AQD16" s="49"/>
      <c r="AQE16" s="49"/>
      <c r="AQF16" s="49"/>
      <c r="AQG16" s="49"/>
      <c r="AQH16" s="49"/>
      <c r="AQI16" s="49"/>
      <c r="AQJ16" s="49"/>
      <c r="AQK16" s="49"/>
      <c r="AQL16" s="49"/>
      <c r="AQM16" s="49"/>
      <c r="AQN16" s="49"/>
      <c r="AQO16" s="49"/>
      <c r="AQP16" s="49"/>
      <c r="AQQ16" s="49"/>
      <c r="AQR16" s="49"/>
      <c r="AQS16" s="49"/>
      <c r="AQT16" s="49"/>
      <c r="AQU16" s="49"/>
      <c r="AQV16" s="49"/>
      <c r="AQW16" s="49"/>
      <c r="AQX16" s="49"/>
      <c r="AQY16" s="49"/>
      <c r="AQZ16" s="49"/>
      <c r="ARA16" s="49"/>
      <c r="ARB16" s="49"/>
      <c r="ARC16" s="49"/>
      <c r="ARD16" s="49"/>
      <c r="ARE16" s="49"/>
      <c r="ARF16" s="49"/>
      <c r="ARG16" s="49"/>
      <c r="ARH16" s="49"/>
      <c r="ARI16" s="49"/>
      <c r="ARJ16" s="49"/>
      <c r="ARK16" s="49"/>
      <c r="ARL16" s="49"/>
      <c r="ARM16" s="49"/>
      <c r="ARN16" s="49"/>
      <c r="ARO16" s="49"/>
      <c r="ARP16" s="49"/>
      <c r="ARQ16" s="49"/>
      <c r="ARR16" s="49"/>
      <c r="ARS16" s="49"/>
      <c r="ART16" s="49"/>
      <c r="ARU16" s="49"/>
      <c r="ARV16" s="49"/>
      <c r="ARW16" s="49"/>
      <c r="ARX16" s="49"/>
      <c r="ARY16" s="49"/>
      <c r="ARZ16" s="49"/>
      <c r="ASA16" s="49"/>
      <c r="ASB16" s="49"/>
      <c r="ASC16" s="49"/>
      <c r="ASD16" s="49"/>
      <c r="ASE16" s="49"/>
      <c r="ASF16" s="49"/>
      <c r="ASG16" s="49"/>
      <c r="ASH16" s="49"/>
      <c r="ASI16" s="49"/>
      <c r="ASJ16" s="49"/>
      <c r="ASK16" s="49"/>
      <c r="ASL16" s="49"/>
      <c r="ASM16" s="49"/>
      <c r="ASN16" s="49"/>
      <c r="ASO16" s="49"/>
      <c r="ASP16" s="49"/>
      <c r="ASQ16" s="49"/>
      <c r="ASR16" s="49"/>
      <c r="ASS16" s="49"/>
      <c r="AST16" s="49"/>
      <c r="ASU16" s="49"/>
      <c r="ASV16" s="49"/>
      <c r="ASW16" s="49"/>
      <c r="ASX16" s="49"/>
      <c r="ASY16" s="49"/>
      <c r="ASZ16" s="49"/>
      <c r="ATA16" s="49"/>
      <c r="ATB16" s="49"/>
      <c r="ATC16" s="49"/>
      <c r="ATD16" s="49"/>
      <c r="ATE16" s="49"/>
      <c r="ATF16" s="49"/>
      <c r="ATG16" s="49"/>
      <c r="ATH16" s="49"/>
      <c r="ATI16" s="49"/>
      <c r="ATJ16" s="49"/>
      <c r="ATK16" s="49"/>
      <c r="ATL16" s="49"/>
      <c r="ATM16" s="49"/>
      <c r="ATN16" s="49"/>
      <c r="ATO16" s="49"/>
      <c r="ATP16" s="49"/>
      <c r="ATQ16" s="49"/>
      <c r="ATR16" s="49"/>
      <c r="ATS16" s="49"/>
      <c r="ATT16" s="49"/>
      <c r="ATU16" s="49"/>
      <c r="ATV16" s="49"/>
      <c r="ATW16" s="49"/>
      <c r="ATX16" s="49"/>
      <c r="ATY16" s="49"/>
      <c r="ATZ16" s="49"/>
      <c r="AUA16" s="49"/>
      <c r="AUB16" s="49"/>
      <c r="AUC16" s="49"/>
      <c r="AUD16" s="49"/>
      <c r="AUE16" s="49"/>
      <c r="AUF16" s="49"/>
      <c r="AUG16" s="49"/>
      <c r="AUH16" s="49"/>
      <c r="AUI16" s="49"/>
      <c r="AUJ16" s="49"/>
      <c r="AUK16" s="49"/>
      <c r="AUL16" s="49"/>
      <c r="AUM16" s="49"/>
      <c r="AUN16" s="49"/>
      <c r="AUO16" s="49"/>
      <c r="AUP16" s="49"/>
      <c r="AUQ16" s="49"/>
      <c r="AUR16" s="49"/>
      <c r="AUS16" s="49"/>
      <c r="AUT16" s="49"/>
      <c r="AUU16" s="49"/>
      <c r="AUV16" s="49"/>
      <c r="AUW16" s="49"/>
      <c r="AUX16" s="49"/>
      <c r="AUY16" s="49"/>
      <c r="AUZ16" s="49"/>
      <c r="AVA16" s="49"/>
      <c r="AVB16" s="49"/>
      <c r="AVC16" s="49"/>
      <c r="AVD16" s="49"/>
      <c r="AVE16" s="49"/>
      <c r="AVF16" s="49"/>
      <c r="AVG16" s="49"/>
      <c r="AVH16" s="49"/>
      <c r="AVI16" s="49"/>
      <c r="AVJ16" s="49"/>
      <c r="AVK16" s="49"/>
      <c r="AVL16" s="49"/>
      <c r="AVM16" s="49"/>
      <c r="AVN16" s="49"/>
      <c r="AVO16" s="49"/>
      <c r="AVP16" s="49"/>
      <c r="AVQ16" s="49"/>
      <c r="AVR16" s="49"/>
      <c r="AVS16" s="49"/>
      <c r="AVT16" s="49"/>
      <c r="AVU16" s="49"/>
      <c r="AVV16" s="49"/>
      <c r="AVW16" s="49"/>
      <c r="AVX16" s="49"/>
      <c r="AVY16" s="49"/>
      <c r="AVZ16" s="49"/>
      <c r="AWA16" s="49"/>
      <c r="AWB16" s="49"/>
      <c r="AWC16" s="49"/>
      <c r="AWD16" s="49"/>
      <c r="AWE16" s="49"/>
      <c r="AWF16" s="49"/>
      <c r="AWG16" s="49"/>
      <c r="AWH16" s="49"/>
      <c r="AWI16" s="49"/>
      <c r="AWJ16" s="49"/>
      <c r="AWK16" s="49"/>
      <c r="AWL16" s="49"/>
      <c r="AWM16" s="49"/>
      <c r="AWN16" s="49"/>
      <c r="AWO16" s="49"/>
      <c r="AWP16" s="49"/>
      <c r="AWQ16" s="49"/>
      <c r="AWR16" s="49"/>
      <c r="AWS16" s="49"/>
      <c r="AWT16" s="49"/>
      <c r="AWU16" s="49"/>
      <c r="AWV16" s="49"/>
      <c r="AWW16" s="49"/>
      <c r="AWX16" s="49"/>
      <c r="AWY16" s="49"/>
      <c r="AWZ16" s="49"/>
      <c r="AXA16" s="49"/>
      <c r="AXB16" s="49"/>
      <c r="AXC16" s="49"/>
      <c r="AXD16" s="49"/>
      <c r="AXE16" s="49"/>
      <c r="AXF16" s="49"/>
      <c r="AXG16" s="49"/>
      <c r="AXH16" s="49"/>
      <c r="AXI16" s="49"/>
      <c r="AXJ16" s="49"/>
      <c r="AXK16" s="49"/>
      <c r="AXL16" s="49"/>
      <c r="AXM16" s="49"/>
      <c r="AXN16" s="49"/>
      <c r="AXO16" s="49"/>
      <c r="AXP16" s="49"/>
      <c r="AXQ16" s="49"/>
      <c r="AXR16" s="49"/>
      <c r="AXS16" s="49"/>
      <c r="AXT16" s="49"/>
      <c r="AXU16" s="49"/>
      <c r="AXV16" s="49"/>
      <c r="AXW16" s="49"/>
      <c r="AXX16" s="49"/>
      <c r="AXY16" s="49"/>
      <c r="AXZ16" s="49"/>
      <c r="AYA16" s="49"/>
      <c r="AYB16" s="49"/>
      <c r="AYC16" s="49"/>
      <c r="AYD16" s="49"/>
      <c r="AYE16" s="49"/>
      <c r="AYF16" s="49"/>
      <c r="AYG16" s="49"/>
      <c r="AYH16" s="49"/>
      <c r="AYI16" s="49"/>
      <c r="AYJ16" s="49"/>
      <c r="AYK16" s="49"/>
      <c r="AYL16" s="49"/>
      <c r="AYM16" s="49"/>
      <c r="AYN16" s="49"/>
      <c r="AYO16" s="49"/>
      <c r="AYP16" s="49"/>
      <c r="AYQ16" s="49"/>
      <c r="AYR16" s="49"/>
      <c r="AYS16" s="49"/>
      <c r="AYT16" s="49"/>
      <c r="AYU16" s="49"/>
      <c r="AYV16" s="49"/>
      <c r="AYW16" s="49"/>
      <c r="AYX16" s="49"/>
      <c r="AYY16" s="49"/>
      <c r="AYZ16" s="49"/>
      <c r="AZA16" s="49"/>
      <c r="AZB16" s="49"/>
      <c r="AZC16" s="49"/>
      <c r="AZD16" s="49"/>
      <c r="AZE16" s="49"/>
      <c r="AZF16" s="49"/>
      <c r="AZG16" s="49"/>
      <c r="AZH16" s="49"/>
      <c r="AZI16" s="49"/>
      <c r="AZJ16" s="49"/>
      <c r="AZK16" s="49"/>
      <c r="AZL16" s="49"/>
      <c r="AZM16" s="49"/>
      <c r="AZN16" s="49"/>
      <c r="AZO16" s="49"/>
      <c r="AZP16" s="49"/>
      <c r="AZQ16" s="49"/>
      <c r="AZR16" s="49"/>
      <c r="AZS16" s="49"/>
      <c r="AZT16" s="49"/>
      <c r="AZU16" s="49"/>
      <c r="AZV16" s="49"/>
      <c r="AZW16" s="49"/>
      <c r="AZX16" s="49"/>
      <c r="AZY16" s="49"/>
      <c r="AZZ16" s="49"/>
      <c r="BAA16" s="49"/>
      <c r="BAB16" s="49"/>
      <c r="BAC16" s="49"/>
      <c r="BAD16" s="49"/>
      <c r="BAE16" s="49"/>
      <c r="BAF16" s="49"/>
      <c r="BAG16" s="49"/>
      <c r="BAH16" s="49"/>
      <c r="BAI16" s="49"/>
      <c r="BAJ16" s="49"/>
      <c r="BAK16" s="49"/>
      <c r="BAL16" s="49"/>
      <c r="BAM16" s="49"/>
      <c r="BAN16" s="49"/>
      <c r="BAO16" s="49"/>
      <c r="BAP16" s="49"/>
      <c r="BAQ16" s="49"/>
      <c r="BAR16" s="49"/>
      <c r="BAS16" s="49"/>
      <c r="BAT16" s="49"/>
      <c r="BAU16" s="49"/>
      <c r="BAV16" s="49"/>
      <c r="BAW16" s="49"/>
      <c r="BAX16" s="49"/>
      <c r="BAY16" s="49"/>
      <c r="BAZ16" s="49"/>
      <c r="BBA16" s="49"/>
      <c r="BBB16" s="49"/>
      <c r="BBC16" s="49"/>
      <c r="BBD16" s="49"/>
      <c r="BBE16" s="49"/>
      <c r="BBF16" s="49"/>
      <c r="BBG16" s="49"/>
      <c r="BBH16" s="49"/>
      <c r="BBI16" s="49"/>
      <c r="BBJ16" s="49"/>
      <c r="BBK16" s="49"/>
      <c r="BBL16" s="49"/>
      <c r="BBM16" s="49"/>
      <c r="BBN16" s="49"/>
      <c r="BBO16" s="49"/>
      <c r="BBP16" s="49"/>
      <c r="BBQ16" s="49"/>
      <c r="BBR16" s="49"/>
      <c r="BBS16" s="49"/>
      <c r="BBT16" s="49"/>
      <c r="BBU16" s="49"/>
      <c r="BBV16" s="49"/>
      <c r="BBW16" s="49"/>
      <c r="BBX16" s="49"/>
      <c r="BBY16" s="49"/>
      <c r="BBZ16" s="49"/>
      <c r="BCA16" s="49"/>
      <c r="BCB16" s="49"/>
      <c r="BCC16" s="49"/>
      <c r="BCD16" s="49"/>
      <c r="BCE16" s="49"/>
      <c r="BCF16" s="49"/>
      <c r="BCG16" s="49"/>
      <c r="BCH16" s="49"/>
      <c r="BCI16" s="49"/>
      <c r="BCJ16" s="49"/>
      <c r="BCK16" s="49"/>
      <c r="BCL16" s="49"/>
      <c r="BCM16" s="49"/>
      <c r="BCN16" s="49"/>
    </row>
    <row r="17" spans="1:1444" s="47" customFormat="1">
      <c r="A17" s="52"/>
      <c r="B17" s="190">
        <v>45760</v>
      </c>
      <c r="C17" s="190" t="s">
        <v>198</v>
      </c>
      <c r="D17" s="191">
        <v>20</v>
      </c>
      <c r="E17" s="191">
        <v>32.504999999975553</v>
      </c>
      <c r="F17" s="191">
        <v>0</v>
      </c>
      <c r="G17" s="191">
        <v>4.5500000000029104</v>
      </c>
      <c r="H17" s="191">
        <v>32</v>
      </c>
      <c r="I17" s="191">
        <v>38</v>
      </c>
      <c r="J17" s="191">
        <v>833.92000000000007</v>
      </c>
      <c r="K17" s="191">
        <v>867.03559999951244</v>
      </c>
      <c r="L17" s="191">
        <v>0</v>
      </c>
      <c r="M17" s="257">
        <v>0</v>
      </c>
      <c r="N17" s="189">
        <f>'units overall'!O17</f>
        <v>1841.010599999491</v>
      </c>
      <c r="O17" s="230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B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R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H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X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N17" s="49"/>
      <c r="IO17" s="49"/>
      <c r="IP17" s="49"/>
      <c r="IQ17" s="49"/>
      <c r="IR17" s="49"/>
      <c r="IS17" s="49"/>
      <c r="IT17" s="49"/>
      <c r="IU17" s="49"/>
      <c r="IV17" s="49"/>
      <c r="IW17" s="49"/>
      <c r="IX17" s="49"/>
      <c r="IY17" s="49"/>
      <c r="IZ17" s="49"/>
      <c r="JA17" s="49"/>
      <c r="JB17" s="49"/>
      <c r="JC17" s="49"/>
      <c r="JD17" s="49"/>
      <c r="JE17" s="49"/>
      <c r="JF17" s="49"/>
      <c r="JG17" s="49"/>
      <c r="JH17" s="49"/>
      <c r="JI17" s="49"/>
      <c r="JJ17" s="49"/>
      <c r="JK17" s="49"/>
      <c r="JL17" s="49"/>
      <c r="JM17" s="49"/>
      <c r="JN17" s="49"/>
      <c r="JO17" s="49"/>
      <c r="JP17" s="49"/>
      <c r="JQ17" s="49"/>
      <c r="JR17" s="49"/>
      <c r="JS17" s="49"/>
      <c r="JT17" s="49"/>
      <c r="JU17" s="49"/>
      <c r="JV17" s="49"/>
      <c r="JW17" s="49"/>
      <c r="JX17" s="49"/>
      <c r="JY17" s="49"/>
      <c r="JZ17" s="49"/>
      <c r="KA17" s="49"/>
      <c r="KB17" s="49"/>
      <c r="KC17" s="49"/>
      <c r="KD17" s="49"/>
      <c r="KE17" s="49"/>
      <c r="KF17" s="49"/>
      <c r="KG17" s="49"/>
      <c r="KH17" s="49"/>
      <c r="KI17" s="49"/>
      <c r="KJ17" s="49"/>
      <c r="KK17" s="49"/>
      <c r="KL17" s="49"/>
      <c r="KM17" s="49"/>
      <c r="KN17" s="49"/>
      <c r="KO17" s="49"/>
      <c r="KP17" s="49"/>
      <c r="KQ17" s="49"/>
      <c r="KR17" s="49"/>
      <c r="KS17" s="49"/>
      <c r="KT17" s="49"/>
      <c r="KU17" s="49"/>
      <c r="KV17" s="49"/>
      <c r="KW17" s="49"/>
      <c r="KX17" s="49"/>
      <c r="KY17" s="49"/>
      <c r="KZ17" s="49"/>
      <c r="LA17" s="49"/>
      <c r="LB17" s="49"/>
      <c r="LC17" s="49"/>
      <c r="LD17" s="49"/>
      <c r="LE17" s="49"/>
      <c r="LF17" s="49"/>
      <c r="LG17" s="49"/>
      <c r="LH17" s="49"/>
      <c r="LI17" s="49"/>
      <c r="LJ17" s="49"/>
      <c r="LK17" s="49"/>
      <c r="LL17" s="49"/>
      <c r="LM17" s="49"/>
      <c r="LN17" s="49"/>
      <c r="LO17" s="49"/>
      <c r="LP17" s="49"/>
      <c r="LQ17" s="49"/>
      <c r="LR17" s="49"/>
      <c r="LS17" s="49"/>
      <c r="LT17" s="49"/>
      <c r="LU17" s="49"/>
      <c r="LV17" s="49"/>
      <c r="LW17" s="49"/>
      <c r="LX17" s="49"/>
      <c r="LY17" s="49"/>
      <c r="LZ17" s="49"/>
      <c r="MA17" s="49"/>
      <c r="MB17" s="49"/>
      <c r="MC17" s="49"/>
      <c r="MD17" s="49"/>
      <c r="ME17" s="49"/>
      <c r="MF17" s="49"/>
      <c r="MG17" s="49"/>
      <c r="MH17" s="49"/>
      <c r="MI17" s="49"/>
      <c r="MJ17" s="49"/>
      <c r="MK17" s="49"/>
      <c r="ML17" s="49"/>
      <c r="MM17" s="49"/>
      <c r="MN17" s="49"/>
      <c r="MO17" s="49"/>
      <c r="MP17" s="49"/>
      <c r="MQ17" s="49"/>
      <c r="MR17" s="49"/>
      <c r="MS17" s="49"/>
      <c r="MT17" s="49"/>
      <c r="MU17" s="49"/>
      <c r="MV17" s="49"/>
      <c r="MW17" s="49"/>
      <c r="MX17" s="49"/>
      <c r="MY17" s="49"/>
      <c r="MZ17" s="49"/>
      <c r="NA17" s="49"/>
      <c r="NB17" s="49"/>
      <c r="NC17" s="49"/>
      <c r="ND17" s="49"/>
      <c r="NE17" s="49"/>
      <c r="NF17" s="49"/>
      <c r="NG17" s="49"/>
      <c r="NH17" s="49"/>
      <c r="NI17" s="49"/>
      <c r="NJ17" s="49"/>
      <c r="NK17" s="49"/>
      <c r="NL17" s="49"/>
      <c r="NM17" s="49"/>
      <c r="NN17" s="49"/>
      <c r="NO17" s="49"/>
      <c r="NP17" s="49"/>
      <c r="NQ17" s="49"/>
      <c r="NR17" s="49"/>
      <c r="NS17" s="49"/>
      <c r="NT17" s="49"/>
      <c r="NU17" s="49"/>
      <c r="NV17" s="49"/>
      <c r="NW17" s="49"/>
      <c r="NX17" s="49"/>
      <c r="NY17" s="49"/>
      <c r="NZ17" s="49"/>
      <c r="OA17" s="49"/>
      <c r="OB17" s="49"/>
      <c r="OC17" s="49"/>
      <c r="OD17" s="49"/>
      <c r="OE17" s="49"/>
      <c r="OF17" s="49"/>
      <c r="OG17" s="49"/>
      <c r="OH17" s="49"/>
      <c r="OI17" s="49"/>
      <c r="OJ17" s="49"/>
      <c r="OK17" s="49"/>
      <c r="OL17" s="49"/>
      <c r="OM17" s="49"/>
      <c r="ON17" s="49"/>
      <c r="OO17" s="49"/>
      <c r="OP17" s="49"/>
      <c r="OQ17" s="49"/>
      <c r="OR17" s="49"/>
      <c r="OS17" s="49"/>
      <c r="OT17" s="49"/>
      <c r="OU17" s="49"/>
      <c r="OV17" s="49"/>
      <c r="OW17" s="49"/>
      <c r="OX17" s="49"/>
      <c r="OY17" s="49"/>
      <c r="OZ17" s="49"/>
      <c r="PA17" s="49"/>
      <c r="PB17" s="49"/>
      <c r="PC17" s="49"/>
      <c r="PD17" s="49"/>
      <c r="PE17" s="49"/>
      <c r="PF17" s="49"/>
      <c r="PG17" s="49"/>
      <c r="PH17" s="49"/>
      <c r="PI17" s="49"/>
      <c r="PJ17" s="49"/>
      <c r="PK17" s="49"/>
      <c r="PL17" s="49"/>
      <c r="PM17" s="49"/>
      <c r="PN17" s="49"/>
      <c r="PO17" s="49"/>
      <c r="PP17" s="49"/>
      <c r="PQ17" s="49"/>
      <c r="PR17" s="49"/>
      <c r="PS17" s="49"/>
      <c r="PT17" s="49"/>
      <c r="PU17" s="49"/>
      <c r="PV17" s="49"/>
      <c r="PW17" s="49"/>
      <c r="PX17" s="49"/>
      <c r="PY17" s="49"/>
      <c r="PZ17" s="49"/>
      <c r="QA17" s="49"/>
      <c r="QB17" s="49"/>
      <c r="QC17" s="49"/>
      <c r="QD17" s="49"/>
      <c r="QE17" s="49"/>
      <c r="QF17" s="49"/>
      <c r="QG17" s="49"/>
      <c r="QH17" s="49"/>
      <c r="QI17" s="49"/>
      <c r="QJ17" s="49"/>
      <c r="QK17" s="49"/>
      <c r="QL17" s="49"/>
      <c r="QM17" s="49"/>
      <c r="QN17" s="49"/>
      <c r="QO17" s="49"/>
      <c r="QP17" s="49"/>
      <c r="QQ17" s="49"/>
      <c r="QR17" s="49"/>
      <c r="QS17" s="49"/>
      <c r="QT17" s="49"/>
      <c r="QU17" s="49"/>
      <c r="QV17" s="49"/>
      <c r="QW17" s="49"/>
      <c r="QX17" s="49"/>
      <c r="QY17" s="49"/>
      <c r="QZ17" s="49"/>
      <c r="RA17" s="49"/>
      <c r="RB17" s="49"/>
      <c r="RC17" s="49"/>
      <c r="RD17" s="49"/>
      <c r="RE17" s="49"/>
      <c r="RF17" s="49"/>
      <c r="RG17" s="49"/>
      <c r="RH17" s="49"/>
      <c r="RI17" s="49"/>
      <c r="RJ17" s="49"/>
      <c r="RK17" s="49"/>
      <c r="RL17" s="49"/>
      <c r="RM17" s="49"/>
      <c r="RN17" s="49"/>
      <c r="RO17" s="49"/>
      <c r="RP17" s="49"/>
      <c r="RQ17" s="49"/>
      <c r="RR17" s="49"/>
      <c r="RS17" s="49"/>
      <c r="RT17" s="49"/>
      <c r="RU17" s="49"/>
      <c r="RV17" s="49"/>
      <c r="RW17" s="49"/>
      <c r="RX17" s="49"/>
      <c r="RY17" s="49"/>
      <c r="RZ17" s="49"/>
      <c r="SA17" s="49"/>
      <c r="SB17" s="49"/>
      <c r="SC17" s="49"/>
      <c r="SD17" s="49"/>
      <c r="SE17" s="49"/>
      <c r="SF17" s="49"/>
      <c r="SG17" s="49"/>
      <c r="SH17" s="49"/>
      <c r="SI17" s="49"/>
      <c r="SJ17" s="49"/>
      <c r="SK17" s="49"/>
      <c r="SL17" s="49"/>
      <c r="SM17" s="49"/>
      <c r="SN17" s="49"/>
      <c r="SO17" s="49"/>
      <c r="SP17" s="49"/>
      <c r="SQ17" s="49"/>
      <c r="SR17" s="49"/>
      <c r="SS17" s="49"/>
      <c r="ST17" s="49"/>
      <c r="SU17" s="49"/>
      <c r="SV17" s="49"/>
      <c r="SW17" s="49"/>
      <c r="SX17" s="49"/>
      <c r="SY17" s="49"/>
      <c r="SZ17" s="49"/>
      <c r="TA17" s="49"/>
      <c r="TB17" s="49"/>
      <c r="TC17" s="49"/>
      <c r="TD17" s="49"/>
      <c r="TE17" s="49"/>
      <c r="TF17" s="49"/>
      <c r="TG17" s="49"/>
      <c r="TH17" s="49"/>
      <c r="TI17" s="49"/>
      <c r="TJ17" s="49"/>
      <c r="TK17" s="49"/>
      <c r="TL17" s="49"/>
      <c r="TM17" s="49"/>
      <c r="TN17" s="49"/>
      <c r="TO17" s="49"/>
      <c r="TP17" s="49"/>
      <c r="TQ17" s="49"/>
      <c r="TR17" s="49"/>
      <c r="TS17" s="49"/>
      <c r="TT17" s="49"/>
      <c r="TU17" s="49"/>
      <c r="TV17" s="49"/>
      <c r="TW17" s="49"/>
      <c r="TX17" s="49"/>
      <c r="TY17" s="49"/>
      <c r="TZ17" s="49"/>
      <c r="UA17" s="49"/>
      <c r="UB17" s="49"/>
      <c r="UC17" s="49"/>
      <c r="UD17" s="49"/>
      <c r="UE17" s="49"/>
      <c r="UF17" s="49"/>
      <c r="UG17" s="49"/>
      <c r="UH17" s="49"/>
      <c r="UI17" s="49"/>
      <c r="UJ17" s="49"/>
      <c r="UK17" s="49"/>
      <c r="UL17" s="49"/>
      <c r="UM17" s="49"/>
      <c r="UN17" s="49"/>
      <c r="UO17" s="49"/>
      <c r="UP17" s="49"/>
      <c r="UQ17" s="49"/>
      <c r="UR17" s="49"/>
      <c r="US17" s="49"/>
      <c r="UT17" s="49"/>
      <c r="UU17" s="49"/>
      <c r="UV17" s="49"/>
      <c r="UW17" s="49"/>
      <c r="UX17" s="49"/>
      <c r="UY17" s="49"/>
      <c r="UZ17" s="49"/>
      <c r="VA17" s="49"/>
      <c r="VB17" s="49"/>
      <c r="VC17" s="49"/>
      <c r="VD17" s="49"/>
      <c r="VE17" s="49"/>
      <c r="VF17" s="49"/>
      <c r="VG17" s="49"/>
      <c r="VH17" s="49"/>
      <c r="VI17" s="49"/>
      <c r="VJ17" s="49"/>
      <c r="VK17" s="49"/>
      <c r="VL17" s="49"/>
      <c r="VM17" s="49"/>
      <c r="VN17" s="49"/>
      <c r="VO17" s="49"/>
      <c r="VP17" s="49"/>
      <c r="VQ17" s="49"/>
      <c r="VR17" s="49"/>
      <c r="VS17" s="49"/>
      <c r="VT17" s="49"/>
      <c r="VU17" s="49"/>
      <c r="VV17" s="49"/>
      <c r="VW17" s="49"/>
      <c r="VX17" s="49"/>
      <c r="VY17" s="49"/>
      <c r="VZ17" s="49"/>
      <c r="WA17" s="49"/>
      <c r="WB17" s="49"/>
      <c r="WC17" s="49"/>
      <c r="WD17" s="49"/>
      <c r="WE17" s="49"/>
      <c r="WF17" s="49"/>
      <c r="WG17" s="49"/>
      <c r="WH17" s="49"/>
      <c r="WI17" s="49"/>
      <c r="WJ17" s="49"/>
      <c r="WK17" s="49"/>
      <c r="WL17" s="49"/>
      <c r="WM17" s="49"/>
      <c r="WN17" s="49"/>
      <c r="WO17" s="49"/>
      <c r="WP17" s="49"/>
      <c r="WQ17" s="49"/>
      <c r="WR17" s="49"/>
      <c r="WS17" s="49"/>
      <c r="WT17" s="49"/>
      <c r="WU17" s="49"/>
      <c r="WV17" s="49"/>
      <c r="WW17" s="49"/>
      <c r="WX17" s="49"/>
      <c r="WY17" s="49"/>
      <c r="WZ17" s="49"/>
      <c r="XA17" s="49"/>
      <c r="XB17" s="49"/>
      <c r="XC17" s="49"/>
      <c r="XD17" s="49"/>
      <c r="XE17" s="49"/>
      <c r="XF17" s="49"/>
      <c r="XG17" s="49"/>
      <c r="XH17" s="49"/>
      <c r="XI17" s="49"/>
      <c r="XJ17" s="49"/>
      <c r="XK17" s="49"/>
      <c r="XL17" s="49"/>
      <c r="XM17" s="49"/>
      <c r="XN17" s="49"/>
      <c r="XO17" s="49"/>
      <c r="XP17" s="49"/>
      <c r="XQ17" s="49"/>
      <c r="XR17" s="49"/>
      <c r="XS17" s="49"/>
      <c r="XT17" s="49"/>
      <c r="XU17" s="49"/>
      <c r="XV17" s="49"/>
      <c r="XW17" s="49"/>
      <c r="XX17" s="49"/>
      <c r="XY17" s="49"/>
      <c r="XZ17" s="49"/>
      <c r="YA17" s="49"/>
      <c r="YB17" s="49"/>
      <c r="YC17" s="49"/>
      <c r="YD17" s="49"/>
      <c r="YE17" s="49"/>
      <c r="YF17" s="49"/>
      <c r="YG17" s="49"/>
      <c r="YH17" s="49"/>
      <c r="YI17" s="49"/>
      <c r="YJ17" s="49"/>
      <c r="YK17" s="49"/>
      <c r="YL17" s="49"/>
      <c r="YM17" s="49"/>
      <c r="YN17" s="49"/>
      <c r="YO17" s="49"/>
      <c r="YP17" s="49"/>
      <c r="YQ17" s="49"/>
      <c r="YR17" s="49"/>
      <c r="YS17" s="49"/>
      <c r="YT17" s="49"/>
      <c r="YU17" s="49"/>
      <c r="YV17" s="49"/>
      <c r="YW17" s="49"/>
      <c r="YX17" s="49"/>
      <c r="YY17" s="49"/>
      <c r="YZ17" s="49"/>
      <c r="ZA17" s="49"/>
      <c r="ZB17" s="49"/>
      <c r="ZC17" s="49"/>
      <c r="ZD17" s="49"/>
      <c r="ZE17" s="49"/>
      <c r="ZF17" s="49"/>
      <c r="ZG17" s="49"/>
      <c r="ZH17" s="49"/>
      <c r="ZI17" s="49"/>
      <c r="ZJ17" s="49"/>
      <c r="ZK17" s="49"/>
      <c r="ZL17" s="49"/>
      <c r="ZM17" s="49"/>
      <c r="ZN17" s="49"/>
      <c r="ZO17" s="49"/>
      <c r="ZP17" s="49"/>
      <c r="ZQ17" s="49"/>
      <c r="ZR17" s="49"/>
      <c r="ZS17" s="49"/>
      <c r="ZT17" s="49"/>
      <c r="ZU17" s="49"/>
      <c r="ZV17" s="49"/>
      <c r="ZW17" s="49"/>
      <c r="ZX17" s="49"/>
      <c r="ZY17" s="49"/>
      <c r="ZZ17" s="49"/>
      <c r="AAA17" s="49"/>
      <c r="AAB17" s="49"/>
      <c r="AAC17" s="49"/>
      <c r="AAD17" s="49"/>
      <c r="AAE17" s="49"/>
      <c r="AAF17" s="49"/>
      <c r="AAG17" s="49"/>
      <c r="AAH17" s="49"/>
      <c r="AAI17" s="49"/>
      <c r="AAJ17" s="49"/>
      <c r="AAK17" s="49"/>
      <c r="AAL17" s="49"/>
      <c r="AAM17" s="49"/>
      <c r="AAN17" s="49"/>
      <c r="AAO17" s="49"/>
      <c r="AAP17" s="49"/>
      <c r="AAQ17" s="49"/>
      <c r="AAR17" s="49"/>
      <c r="AAS17" s="49"/>
      <c r="AAT17" s="49"/>
      <c r="AAU17" s="49"/>
      <c r="AAV17" s="49"/>
      <c r="AAW17" s="49"/>
      <c r="AAX17" s="49"/>
      <c r="AAY17" s="49"/>
      <c r="AAZ17" s="49"/>
      <c r="ABA17" s="49"/>
      <c r="ABB17" s="49"/>
      <c r="ABC17" s="49"/>
      <c r="ABD17" s="49"/>
      <c r="ABE17" s="49"/>
      <c r="ABF17" s="49"/>
      <c r="ABG17" s="49"/>
      <c r="ABH17" s="49"/>
      <c r="ABI17" s="49"/>
      <c r="ABJ17" s="49"/>
      <c r="ABK17" s="49"/>
      <c r="ABL17" s="49"/>
      <c r="ABM17" s="49"/>
      <c r="ABN17" s="49"/>
      <c r="ABO17" s="49"/>
      <c r="ABP17" s="49"/>
      <c r="ABQ17" s="49"/>
      <c r="ABR17" s="49"/>
      <c r="ABS17" s="49"/>
      <c r="ABT17" s="49"/>
      <c r="ABU17" s="49"/>
      <c r="ABV17" s="49"/>
      <c r="ABW17" s="49"/>
      <c r="ABX17" s="49"/>
      <c r="ABY17" s="49"/>
      <c r="ABZ17" s="49"/>
      <c r="ACA17" s="49"/>
      <c r="ACB17" s="49"/>
      <c r="ACC17" s="49"/>
      <c r="ACD17" s="49"/>
      <c r="ACE17" s="49"/>
      <c r="ACF17" s="49"/>
      <c r="ACG17" s="49"/>
      <c r="ACH17" s="49"/>
      <c r="ACI17" s="49"/>
      <c r="ACJ17" s="49"/>
      <c r="ACK17" s="49"/>
      <c r="ACL17" s="49"/>
      <c r="ACM17" s="49"/>
      <c r="ACN17" s="49"/>
      <c r="ACO17" s="49"/>
      <c r="ACP17" s="49"/>
      <c r="ACQ17" s="49"/>
      <c r="ACR17" s="49"/>
      <c r="ACS17" s="49"/>
      <c r="ACT17" s="49"/>
      <c r="ACU17" s="49"/>
      <c r="ACV17" s="49"/>
      <c r="ACW17" s="49"/>
      <c r="ACX17" s="49"/>
      <c r="ACY17" s="49"/>
      <c r="ACZ17" s="49"/>
      <c r="ADA17" s="49"/>
      <c r="ADB17" s="49"/>
      <c r="ADC17" s="49"/>
      <c r="ADD17" s="49"/>
      <c r="ADE17" s="49"/>
      <c r="ADF17" s="49"/>
      <c r="ADG17" s="49"/>
      <c r="ADH17" s="49"/>
      <c r="ADI17" s="49"/>
      <c r="ADJ17" s="49"/>
      <c r="ADK17" s="49"/>
      <c r="ADL17" s="49"/>
      <c r="ADM17" s="49"/>
      <c r="ADN17" s="49"/>
      <c r="ADO17" s="49"/>
      <c r="ADP17" s="49"/>
      <c r="ADQ17" s="49"/>
      <c r="ADR17" s="49"/>
      <c r="ADS17" s="49"/>
      <c r="ADT17" s="49"/>
      <c r="ADU17" s="49"/>
      <c r="ADV17" s="49"/>
      <c r="ADW17" s="49"/>
      <c r="ADX17" s="49"/>
      <c r="ADY17" s="49"/>
      <c r="ADZ17" s="49"/>
      <c r="AEA17" s="49"/>
      <c r="AEB17" s="49"/>
      <c r="AEC17" s="49"/>
      <c r="AED17" s="49"/>
      <c r="AEE17" s="49"/>
      <c r="AEF17" s="49"/>
      <c r="AEG17" s="49"/>
      <c r="AEH17" s="49"/>
      <c r="AEI17" s="49"/>
      <c r="AEJ17" s="49"/>
      <c r="AEK17" s="49"/>
      <c r="AEL17" s="49"/>
      <c r="AEM17" s="49"/>
      <c r="AEN17" s="49"/>
      <c r="AEO17" s="49"/>
      <c r="AEP17" s="49"/>
      <c r="AEQ17" s="49"/>
      <c r="AER17" s="49"/>
      <c r="AES17" s="49"/>
      <c r="AET17" s="49"/>
      <c r="AEU17" s="49"/>
      <c r="AEV17" s="49"/>
      <c r="AEW17" s="49"/>
      <c r="AEX17" s="49"/>
      <c r="AEY17" s="49"/>
      <c r="AEZ17" s="49"/>
      <c r="AFA17" s="49"/>
      <c r="AFB17" s="49"/>
      <c r="AFC17" s="49"/>
      <c r="AFD17" s="49"/>
      <c r="AFE17" s="49"/>
      <c r="AFF17" s="49"/>
      <c r="AFG17" s="49"/>
      <c r="AFH17" s="49"/>
      <c r="AFI17" s="49"/>
      <c r="AFJ17" s="49"/>
      <c r="AFK17" s="49"/>
      <c r="AFL17" s="49"/>
      <c r="AFM17" s="49"/>
      <c r="AFN17" s="49"/>
      <c r="AFO17" s="49"/>
      <c r="AFP17" s="49"/>
      <c r="AFQ17" s="49"/>
      <c r="AFR17" s="49"/>
      <c r="AFS17" s="49"/>
      <c r="AFT17" s="49"/>
      <c r="AFU17" s="49"/>
      <c r="AFV17" s="49"/>
      <c r="AFW17" s="49"/>
      <c r="AFX17" s="49"/>
      <c r="AFY17" s="49"/>
      <c r="AFZ17" s="49"/>
      <c r="AGA17" s="49"/>
      <c r="AGB17" s="49"/>
      <c r="AGC17" s="49"/>
      <c r="AGD17" s="49"/>
      <c r="AGE17" s="49"/>
      <c r="AGF17" s="49"/>
      <c r="AGG17" s="49"/>
      <c r="AGH17" s="49"/>
      <c r="AGI17" s="49"/>
      <c r="AGJ17" s="49"/>
      <c r="AGK17" s="49"/>
      <c r="AGL17" s="49"/>
      <c r="AGM17" s="49"/>
      <c r="AGN17" s="49"/>
      <c r="AGO17" s="49"/>
      <c r="AGP17" s="49"/>
      <c r="AGQ17" s="49"/>
      <c r="AGR17" s="49"/>
      <c r="AGS17" s="49"/>
      <c r="AGT17" s="49"/>
      <c r="AGU17" s="49"/>
      <c r="AGV17" s="49"/>
      <c r="AGW17" s="49"/>
      <c r="AGX17" s="49"/>
      <c r="AGY17" s="49"/>
      <c r="AGZ17" s="49"/>
      <c r="AHA17" s="49"/>
      <c r="AHB17" s="49"/>
      <c r="AHC17" s="49"/>
      <c r="AHD17" s="49"/>
      <c r="AHE17" s="49"/>
      <c r="AHF17" s="49"/>
      <c r="AHG17" s="49"/>
      <c r="AHH17" s="49"/>
      <c r="AHI17" s="49"/>
      <c r="AHJ17" s="49"/>
      <c r="AHK17" s="49"/>
      <c r="AHL17" s="49"/>
      <c r="AHM17" s="49"/>
      <c r="AHN17" s="49"/>
      <c r="AHO17" s="49"/>
      <c r="AHP17" s="49"/>
      <c r="AHQ17" s="49"/>
      <c r="AHR17" s="49"/>
      <c r="AHS17" s="49"/>
      <c r="AHT17" s="49"/>
      <c r="AHU17" s="49"/>
      <c r="AHV17" s="49"/>
      <c r="AHW17" s="49"/>
      <c r="AHX17" s="49"/>
      <c r="AHY17" s="49"/>
      <c r="AHZ17" s="49"/>
      <c r="AIA17" s="49"/>
      <c r="AIB17" s="49"/>
      <c r="AIC17" s="49"/>
      <c r="AID17" s="49"/>
      <c r="AIE17" s="49"/>
      <c r="AIF17" s="49"/>
      <c r="AIG17" s="49"/>
      <c r="AIH17" s="49"/>
      <c r="AII17" s="49"/>
      <c r="AIJ17" s="49"/>
      <c r="AIK17" s="49"/>
      <c r="AIL17" s="49"/>
      <c r="AIM17" s="49"/>
      <c r="AIN17" s="49"/>
      <c r="AIO17" s="49"/>
      <c r="AIP17" s="49"/>
      <c r="AIQ17" s="49"/>
      <c r="AIR17" s="49"/>
      <c r="AIS17" s="49"/>
      <c r="AIT17" s="49"/>
      <c r="AIU17" s="49"/>
      <c r="AIV17" s="49"/>
      <c r="AIW17" s="49"/>
      <c r="AIX17" s="49"/>
      <c r="AIY17" s="49"/>
      <c r="AIZ17" s="49"/>
      <c r="AJA17" s="49"/>
      <c r="AJB17" s="49"/>
      <c r="AJC17" s="49"/>
      <c r="AJD17" s="49"/>
      <c r="AJE17" s="49"/>
      <c r="AJF17" s="49"/>
      <c r="AJG17" s="49"/>
      <c r="AJH17" s="49"/>
      <c r="AJI17" s="49"/>
      <c r="AJJ17" s="49"/>
      <c r="AJK17" s="49"/>
      <c r="AJL17" s="49"/>
      <c r="AJM17" s="49"/>
      <c r="AJN17" s="49"/>
      <c r="AJO17" s="49"/>
      <c r="AJP17" s="49"/>
      <c r="AJQ17" s="49"/>
      <c r="AJR17" s="49"/>
      <c r="AJS17" s="49"/>
      <c r="AJT17" s="49"/>
      <c r="AJU17" s="49"/>
      <c r="AJV17" s="49"/>
      <c r="AJW17" s="49"/>
      <c r="AJX17" s="49"/>
      <c r="AJY17" s="49"/>
      <c r="AJZ17" s="49"/>
      <c r="AKA17" s="49"/>
      <c r="AKB17" s="49"/>
      <c r="AKC17" s="49"/>
      <c r="AKD17" s="49"/>
      <c r="AKE17" s="49"/>
      <c r="AKF17" s="49"/>
      <c r="AKG17" s="49"/>
      <c r="AKH17" s="49"/>
      <c r="AKI17" s="49"/>
      <c r="AKJ17" s="49"/>
      <c r="AKK17" s="49"/>
      <c r="AKL17" s="49"/>
      <c r="AKM17" s="49"/>
      <c r="AKN17" s="49"/>
      <c r="AKO17" s="49"/>
      <c r="AKP17" s="49"/>
      <c r="AKQ17" s="49"/>
      <c r="AKR17" s="49"/>
      <c r="AKS17" s="49"/>
      <c r="AKT17" s="49"/>
      <c r="AKU17" s="49"/>
      <c r="AKV17" s="49"/>
      <c r="AKW17" s="49"/>
      <c r="AKX17" s="49"/>
      <c r="AKY17" s="49"/>
      <c r="AKZ17" s="49"/>
      <c r="ALA17" s="49"/>
      <c r="ALB17" s="49"/>
      <c r="ALC17" s="49"/>
      <c r="ALD17" s="49"/>
      <c r="ALE17" s="49"/>
      <c r="ALF17" s="49"/>
      <c r="ALG17" s="49"/>
      <c r="ALH17" s="49"/>
      <c r="ALI17" s="49"/>
      <c r="ALJ17" s="49"/>
      <c r="ALK17" s="49"/>
      <c r="ALL17" s="49"/>
      <c r="ALM17" s="49"/>
      <c r="ALN17" s="49"/>
      <c r="ALO17" s="49"/>
      <c r="ALP17" s="49"/>
      <c r="ALQ17" s="49"/>
      <c r="ALR17" s="49"/>
      <c r="ALS17" s="49"/>
      <c r="ALT17" s="49"/>
      <c r="ALU17" s="49"/>
      <c r="ALV17" s="49"/>
      <c r="ALW17" s="49"/>
      <c r="ALX17" s="49"/>
      <c r="ALY17" s="49"/>
      <c r="ALZ17" s="49"/>
      <c r="AMA17" s="49"/>
      <c r="AMB17" s="49"/>
      <c r="AMC17" s="49"/>
      <c r="AMD17" s="49"/>
      <c r="AME17" s="49"/>
      <c r="AMF17" s="49"/>
      <c r="AMG17" s="49"/>
      <c r="AMH17" s="49"/>
      <c r="AMI17" s="49"/>
      <c r="AMJ17" s="49"/>
      <c r="AMK17" s="49"/>
      <c r="AML17" s="49"/>
      <c r="AMM17" s="49"/>
      <c r="AMN17" s="49"/>
      <c r="AMO17" s="49"/>
      <c r="AMP17" s="49"/>
      <c r="AMQ17" s="49"/>
      <c r="AMR17" s="49"/>
      <c r="AMS17" s="49"/>
      <c r="AMT17" s="49"/>
      <c r="AMU17" s="49"/>
      <c r="AMV17" s="49"/>
      <c r="AMW17" s="49"/>
      <c r="AMX17" s="49"/>
      <c r="AMY17" s="49"/>
      <c r="AMZ17" s="49"/>
      <c r="ANA17" s="49"/>
      <c r="ANB17" s="49"/>
      <c r="ANC17" s="49"/>
      <c r="AND17" s="49"/>
      <c r="ANE17" s="49"/>
      <c r="ANF17" s="49"/>
      <c r="ANG17" s="49"/>
      <c r="ANH17" s="49"/>
      <c r="ANI17" s="49"/>
      <c r="ANJ17" s="49"/>
      <c r="ANK17" s="49"/>
      <c r="ANL17" s="49"/>
      <c r="ANM17" s="49"/>
      <c r="ANN17" s="49"/>
      <c r="ANO17" s="49"/>
      <c r="ANP17" s="49"/>
      <c r="ANQ17" s="49"/>
      <c r="ANR17" s="49"/>
      <c r="ANS17" s="49"/>
      <c r="ANT17" s="49"/>
      <c r="ANU17" s="49"/>
      <c r="ANV17" s="49"/>
      <c r="ANW17" s="49"/>
      <c r="ANX17" s="49"/>
      <c r="ANY17" s="49"/>
      <c r="ANZ17" s="49"/>
      <c r="AOA17" s="49"/>
      <c r="AOB17" s="49"/>
      <c r="AOC17" s="49"/>
      <c r="AOD17" s="49"/>
      <c r="AOE17" s="49"/>
      <c r="AOF17" s="49"/>
      <c r="AOG17" s="49"/>
      <c r="AOH17" s="49"/>
      <c r="AOI17" s="49"/>
      <c r="AOJ17" s="49"/>
      <c r="AOK17" s="49"/>
      <c r="AOL17" s="49"/>
      <c r="AOM17" s="49"/>
      <c r="AON17" s="49"/>
      <c r="AOO17" s="49"/>
      <c r="AOP17" s="49"/>
      <c r="AOQ17" s="49"/>
      <c r="AOR17" s="49"/>
      <c r="AOS17" s="49"/>
      <c r="AOT17" s="49"/>
      <c r="AOU17" s="49"/>
      <c r="AOV17" s="49"/>
      <c r="AOW17" s="49"/>
      <c r="AOX17" s="49"/>
      <c r="AOY17" s="49"/>
      <c r="AOZ17" s="49"/>
      <c r="APA17" s="49"/>
      <c r="APB17" s="49"/>
      <c r="APC17" s="49"/>
      <c r="APD17" s="49"/>
      <c r="APE17" s="49"/>
      <c r="APF17" s="49"/>
      <c r="APG17" s="49"/>
      <c r="APH17" s="49"/>
      <c r="API17" s="49"/>
      <c r="APJ17" s="49"/>
      <c r="APK17" s="49"/>
      <c r="APL17" s="49"/>
      <c r="APM17" s="49"/>
      <c r="APN17" s="49"/>
      <c r="APO17" s="49"/>
      <c r="APP17" s="49"/>
      <c r="APQ17" s="49"/>
      <c r="APR17" s="49"/>
      <c r="APS17" s="49"/>
      <c r="APT17" s="49"/>
      <c r="APU17" s="49"/>
      <c r="APV17" s="49"/>
      <c r="APW17" s="49"/>
      <c r="APX17" s="49"/>
      <c r="APY17" s="49"/>
      <c r="APZ17" s="49"/>
      <c r="AQA17" s="49"/>
      <c r="AQB17" s="49"/>
      <c r="AQC17" s="49"/>
      <c r="AQD17" s="49"/>
      <c r="AQE17" s="49"/>
      <c r="AQF17" s="49"/>
      <c r="AQG17" s="49"/>
      <c r="AQH17" s="49"/>
      <c r="AQI17" s="49"/>
      <c r="AQJ17" s="49"/>
      <c r="AQK17" s="49"/>
      <c r="AQL17" s="49"/>
      <c r="AQM17" s="49"/>
      <c r="AQN17" s="49"/>
      <c r="AQO17" s="49"/>
      <c r="AQP17" s="49"/>
      <c r="AQQ17" s="49"/>
      <c r="AQR17" s="49"/>
      <c r="AQS17" s="49"/>
      <c r="AQT17" s="49"/>
      <c r="AQU17" s="49"/>
      <c r="AQV17" s="49"/>
      <c r="AQW17" s="49"/>
      <c r="AQX17" s="49"/>
      <c r="AQY17" s="49"/>
      <c r="AQZ17" s="49"/>
      <c r="ARA17" s="49"/>
      <c r="ARB17" s="49"/>
      <c r="ARC17" s="49"/>
      <c r="ARD17" s="49"/>
      <c r="ARE17" s="49"/>
      <c r="ARF17" s="49"/>
      <c r="ARG17" s="49"/>
      <c r="ARH17" s="49"/>
      <c r="ARI17" s="49"/>
      <c r="ARJ17" s="49"/>
      <c r="ARK17" s="49"/>
      <c r="ARL17" s="49"/>
      <c r="ARM17" s="49"/>
      <c r="ARN17" s="49"/>
      <c r="ARO17" s="49"/>
      <c r="ARP17" s="49"/>
      <c r="ARQ17" s="49"/>
      <c r="ARR17" s="49"/>
      <c r="ARS17" s="49"/>
      <c r="ART17" s="49"/>
      <c r="ARU17" s="49"/>
      <c r="ARV17" s="49"/>
      <c r="ARW17" s="49"/>
      <c r="ARX17" s="49"/>
      <c r="ARY17" s="49"/>
      <c r="ARZ17" s="49"/>
      <c r="ASA17" s="49"/>
      <c r="ASB17" s="49"/>
      <c r="ASC17" s="49"/>
      <c r="ASD17" s="49"/>
      <c r="ASE17" s="49"/>
      <c r="ASF17" s="49"/>
      <c r="ASG17" s="49"/>
      <c r="ASH17" s="49"/>
      <c r="ASI17" s="49"/>
      <c r="ASJ17" s="49"/>
      <c r="ASK17" s="49"/>
      <c r="ASL17" s="49"/>
      <c r="ASM17" s="49"/>
      <c r="ASN17" s="49"/>
      <c r="ASO17" s="49"/>
      <c r="ASP17" s="49"/>
      <c r="ASQ17" s="49"/>
      <c r="ASR17" s="49"/>
      <c r="ASS17" s="49"/>
      <c r="AST17" s="49"/>
      <c r="ASU17" s="49"/>
      <c r="ASV17" s="49"/>
      <c r="ASW17" s="49"/>
      <c r="ASX17" s="49"/>
      <c r="ASY17" s="49"/>
      <c r="ASZ17" s="49"/>
      <c r="ATA17" s="49"/>
      <c r="ATB17" s="49"/>
      <c r="ATC17" s="49"/>
      <c r="ATD17" s="49"/>
      <c r="ATE17" s="49"/>
      <c r="ATF17" s="49"/>
      <c r="ATG17" s="49"/>
      <c r="ATH17" s="49"/>
      <c r="ATI17" s="49"/>
      <c r="ATJ17" s="49"/>
      <c r="ATK17" s="49"/>
      <c r="ATL17" s="49"/>
      <c r="ATM17" s="49"/>
      <c r="ATN17" s="49"/>
      <c r="ATO17" s="49"/>
      <c r="ATP17" s="49"/>
      <c r="ATQ17" s="49"/>
      <c r="ATR17" s="49"/>
      <c r="ATS17" s="49"/>
      <c r="ATT17" s="49"/>
      <c r="ATU17" s="49"/>
      <c r="ATV17" s="49"/>
      <c r="ATW17" s="49"/>
      <c r="ATX17" s="49"/>
      <c r="ATY17" s="49"/>
      <c r="ATZ17" s="49"/>
      <c r="AUA17" s="49"/>
      <c r="AUB17" s="49"/>
      <c r="AUC17" s="49"/>
      <c r="AUD17" s="49"/>
      <c r="AUE17" s="49"/>
      <c r="AUF17" s="49"/>
      <c r="AUG17" s="49"/>
      <c r="AUH17" s="49"/>
      <c r="AUI17" s="49"/>
      <c r="AUJ17" s="49"/>
      <c r="AUK17" s="49"/>
      <c r="AUL17" s="49"/>
      <c r="AUM17" s="49"/>
      <c r="AUN17" s="49"/>
      <c r="AUO17" s="49"/>
      <c r="AUP17" s="49"/>
      <c r="AUQ17" s="49"/>
      <c r="AUR17" s="49"/>
      <c r="AUS17" s="49"/>
      <c r="AUT17" s="49"/>
      <c r="AUU17" s="49"/>
      <c r="AUV17" s="49"/>
      <c r="AUW17" s="49"/>
      <c r="AUX17" s="49"/>
      <c r="AUY17" s="49"/>
      <c r="AUZ17" s="49"/>
      <c r="AVA17" s="49"/>
      <c r="AVB17" s="49"/>
      <c r="AVC17" s="49"/>
      <c r="AVD17" s="49"/>
      <c r="AVE17" s="49"/>
      <c r="AVF17" s="49"/>
      <c r="AVG17" s="49"/>
      <c r="AVH17" s="49"/>
      <c r="AVI17" s="49"/>
      <c r="AVJ17" s="49"/>
      <c r="AVK17" s="49"/>
      <c r="AVL17" s="49"/>
      <c r="AVM17" s="49"/>
      <c r="AVN17" s="49"/>
      <c r="AVO17" s="49"/>
      <c r="AVP17" s="49"/>
      <c r="AVQ17" s="49"/>
      <c r="AVR17" s="49"/>
      <c r="AVS17" s="49"/>
      <c r="AVT17" s="49"/>
      <c r="AVU17" s="49"/>
      <c r="AVV17" s="49"/>
      <c r="AVW17" s="49"/>
      <c r="AVX17" s="49"/>
      <c r="AVY17" s="49"/>
      <c r="AVZ17" s="49"/>
      <c r="AWA17" s="49"/>
      <c r="AWB17" s="49"/>
      <c r="AWC17" s="49"/>
      <c r="AWD17" s="49"/>
      <c r="AWE17" s="49"/>
      <c r="AWF17" s="49"/>
      <c r="AWG17" s="49"/>
      <c r="AWH17" s="49"/>
      <c r="AWI17" s="49"/>
      <c r="AWJ17" s="49"/>
      <c r="AWK17" s="49"/>
      <c r="AWL17" s="49"/>
      <c r="AWM17" s="49"/>
      <c r="AWN17" s="49"/>
      <c r="AWO17" s="49"/>
      <c r="AWP17" s="49"/>
      <c r="AWQ17" s="49"/>
      <c r="AWR17" s="49"/>
      <c r="AWS17" s="49"/>
      <c r="AWT17" s="49"/>
      <c r="AWU17" s="49"/>
      <c r="AWV17" s="49"/>
      <c r="AWW17" s="49"/>
      <c r="AWX17" s="49"/>
      <c r="AWY17" s="49"/>
      <c r="AWZ17" s="49"/>
      <c r="AXA17" s="49"/>
      <c r="AXB17" s="49"/>
      <c r="AXC17" s="49"/>
      <c r="AXD17" s="49"/>
      <c r="AXE17" s="49"/>
      <c r="AXF17" s="49"/>
      <c r="AXG17" s="49"/>
      <c r="AXH17" s="49"/>
      <c r="AXI17" s="49"/>
      <c r="AXJ17" s="49"/>
      <c r="AXK17" s="49"/>
      <c r="AXL17" s="49"/>
      <c r="AXM17" s="49"/>
      <c r="AXN17" s="49"/>
      <c r="AXO17" s="49"/>
      <c r="AXP17" s="49"/>
      <c r="AXQ17" s="49"/>
      <c r="AXR17" s="49"/>
      <c r="AXS17" s="49"/>
      <c r="AXT17" s="49"/>
      <c r="AXU17" s="49"/>
      <c r="AXV17" s="49"/>
      <c r="AXW17" s="49"/>
      <c r="AXX17" s="49"/>
      <c r="AXY17" s="49"/>
      <c r="AXZ17" s="49"/>
      <c r="AYA17" s="49"/>
      <c r="AYB17" s="49"/>
      <c r="AYC17" s="49"/>
      <c r="AYD17" s="49"/>
      <c r="AYE17" s="49"/>
      <c r="AYF17" s="49"/>
      <c r="AYG17" s="49"/>
      <c r="AYH17" s="49"/>
      <c r="AYI17" s="49"/>
      <c r="AYJ17" s="49"/>
      <c r="AYK17" s="49"/>
      <c r="AYL17" s="49"/>
      <c r="AYM17" s="49"/>
      <c r="AYN17" s="49"/>
      <c r="AYO17" s="49"/>
      <c r="AYP17" s="49"/>
      <c r="AYQ17" s="49"/>
      <c r="AYR17" s="49"/>
      <c r="AYS17" s="49"/>
      <c r="AYT17" s="49"/>
      <c r="AYU17" s="49"/>
      <c r="AYV17" s="49"/>
      <c r="AYW17" s="49"/>
      <c r="AYX17" s="49"/>
      <c r="AYY17" s="49"/>
      <c r="AYZ17" s="49"/>
      <c r="AZA17" s="49"/>
      <c r="AZB17" s="49"/>
      <c r="AZC17" s="49"/>
      <c r="AZD17" s="49"/>
      <c r="AZE17" s="49"/>
      <c r="AZF17" s="49"/>
      <c r="AZG17" s="49"/>
      <c r="AZH17" s="49"/>
      <c r="AZI17" s="49"/>
      <c r="AZJ17" s="49"/>
      <c r="AZK17" s="49"/>
      <c r="AZL17" s="49"/>
      <c r="AZM17" s="49"/>
      <c r="AZN17" s="49"/>
      <c r="AZO17" s="49"/>
      <c r="AZP17" s="49"/>
      <c r="AZQ17" s="49"/>
      <c r="AZR17" s="49"/>
      <c r="AZS17" s="49"/>
      <c r="AZT17" s="49"/>
      <c r="AZU17" s="49"/>
      <c r="AZV17" s="49"/>
      <c r="AZW17" s="49"/>
      <c r="AZX17" s="49"/>
      <c r="AZY17" s="49"/>
      <c r="AZZ17" s="49"/>
      <c r="BAA17" s="49"/>
      <c r="BAB17" s="49"/>
      <c r="BAC17" s="49"/>
      <c r="BAD17" s="49"/>
      <c r="BAE17" s="49"/>
      <c r="BAF17" s="49"/>
      <c r="BAG17" s="49"/>
      <c r="BAH17" s="49"/>
      <c r="BAI17" s="49"/>
      <c r="BAJ17" s="49"/>
      <c r="BAK17" s="49"/>
      <c r="BAL17" s="49"/>
      <c r="BAM17" s="49"/>
      <c r="BAN17" s="49"/>
      <c r="BAO17" s="49"/>
      <c r="BAP17" s="49"/>
      <c r="BAQ17" s="49"/>
      <c r="BAR17" s="49"/>
      <c r="BAS17" s="49"/>
      <c r="BAT17" s="49"/>
      <c r="BAU17" s="49"/>
      <c r="BAV17" s="49"/>
      <c r="BAW17" s="49"/>
      <c r="BAX17" s="49"/>
      <c r="BAY17" s="49"/>
      <c r="BAZ17" s="49"/>
      <c r="BBA17" s="49"/>
      <c r="BBB17" s="49"/>
      <c r="BBC17" s="49"/>
      <c r="BBD17" s="49"/>
      <c r="BBE17" s="49"/>
      <c r="BBF17" s="49"/>
      <c r="BBG17" s="49"/>
      <c r="BBH17" s="49"/>
      <c r="BBI17" s="49"/>
      <c r="BBJ17" s="49"/>
      <c r="BBK17" s="49"/>
      <c r="BBL17" s="49"/>
      <c r="BBM17" s="49"/>
      <c r="BBN17" s="49"/>
      <c r="BBO17" s="49"/>
      <c r="BBP17" s="49"/>
      <c r="BBQ17" s="49"/>
      <c r="BBR17" s="49"/>
      <c r="BBS17" s="49"/>
      <c r="BBT17" s="49"/>
      <c r="BBU17" s="49"/>
      <c r="BBV17" s="49"/>
      <c r="BBW17" s="49"/>
      <c r="BBX17" s="49"/>
      <c r="BBY17" s="49"/>
      <c r="BBZ17" s="49"/>
      <c r="BCA17" s="49"/>
      <c r="BCB17" s="49"/>
      <c r="BCC17" s="49"/>
      <c r="BCD17" s="49"/>
      <c r="BCE17" s="49"/>
      <c r="BCF17" s="49"/>
      <c r="BCG17" s="49"/>
      <c r="BCH17" s="49"/>
      <c r="BCI17" s="49"/>
      <c r="BCJ17" s="49"/>
      <c r="BCK17" s="49"/>
      <c r="BCL17" s="49"/>
      <c r="BCM17" s="49"/>
      <c r="BCN17" s="49"/>
    </row>
    <row r="18" spans="1:1444" s="47" customFormat="1">
      <c r="A18" s="52"/>
      <c r="B18" s="94">
        <v>45761</v>
      </c>
      <c r="C18" s="94" t="s">
        <v>192</v>
      </c>
      <c r="D18" s="95">
        <v>16</v>
      </c>
      <c r="E18" s="95">
        <v>32.205000000045402</v>
      </c>
      <c r="F18" s="95">
        <v>0</v>
      </c>
      <c r="G18" s="95">
        <v>0</v>
      </c>
      <c r="H18" s="95">
        <v>7</v>
      </c>
      <c r="I18" s="95">
        <v>38</v>
      </c>
      <c r="J18" s="95">
        <v>593.91999999999996</v>
      </c>
      <c r="K18" s="95">
        <v>928.62019999989354</v>
      </c>
      <c r="L18" s="95">
        <v>0</v>
      </c>
      <c r="M18" s="155">
        <v>0</v>
      </c>
      <c r="N18" s="141">
        <f>'units overall'!O18</f>
        <v>1628.7451999999389</v>
      </c>
      <c r="O18" s="230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H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X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N18" s="49"/>
      <c r="IO18" s="49"/>
      <c r="IP18" s="49"/>
      <c r="IQ18" s="49"/>
      <c r="IR18" s="49"/>
      <c r="IS18" s="49"/>
      <c r="IT18" s="49"/>
      <c r="IU18" s="49"/>
      <c r="IV18" s="49"/>
      <c r="IW18" s="49"/>
      <c r="IX18" s="49"/>
      <c r="IY18" s="49"/>
      <c r="IZ18" s="49"/>
      <c r="JA18" s="49"/>
      <c r="JB18" s="49"/>
      <c r="JC18" s="49"/>
      <c r="JD18" s="49"/>
      <c r="JE18" s="49"/>
      <c r="JF18" s="49"/>
      <c r="JG18" s="49"/>
      <c r="JH18" s="49"/>
      <c r="JI18" s="49"/>
      <c r="JJ18" s="49"/>
      <c r="JK18" s="49"/>
      <c r="JL18" s="49"/>
      <c r="JM18" s="49"/>
      <c r="JN18" s="49"/>
      <c r="JO18" s="49"/>
      <c r="JP18" s="49"/>
      <c r="JQ18" s="49"/>
      <c r="JR18" s="49"/>
      <c r="JS18" s="49"/>
      <c r="JT18" s="49"/>
      <c r="JU18" s="49"/>
      <c r="JV18" s="49"/>
      <c r="JW18" s="49"/>
      <c r="JX18" s="49"/>
      <c r="JY18" s="49"/>
      <c r="JZ18" s="49"/>
      <c r="KA18" s="49"/>
      <c r="KB18" s="49"/>
      <c r="KC18" s="49"/>
      <c r="KD18" s="49"/>
      <c r="KE18" s="49"/>
      <c r="KF18" s="49"/>
      <c r="KG18" s="49"/>
      <c r="KH18" s="49"/>
      <c r="KI18" s="49"/>
      <c r="KJ18" s="49"/>
      <c r="KK18" s="49"/>
      <c r="KL18" s="49"/>
      <c r="KM18" s="49"/>
      <c r="KN18" s="49"/>
      <c r="KO18" s="49"/>
      <c r="KP18" s="49"/>
      <c r="KQ18" s="49"/>
      <c r="KR18" s="49"/>
      <c r="KS18" s="49"/>
      <c r="KT18" s="49"/>
      <c r="KU18" s="49"/>
      <c r="KV18" s="49"/>
      <c r="KW18" s="49"/>
      <c r="KX18" s="49"/>
      <c r="KY18" s="49"/>
      <c r="KZ18" s="49"/>
      <c r="LA18" s="49"/>
      <c r="LB18" s="49"/>
      <c r="LC18" s="49"/>
      <c r="LD18" s="49"/>
      <c r="LE18" s="49"/>
      <c r="LF18" s="49"/>
      <c r="LG18" s="49"/>
      <c r="LH18" s="49"/>
      <c r="LI18" s="49"/>
      <c r="LJ18" s="49"/>
      <c r="LK18" s="49"/>
      <c r="LL18" s="49"/>
      <c r="LM18" s="49"/>
      <c r="LN18" s="49"/>
      <c r="LO18" s="49"/>
      <c r="LP18" s="49"/>
      <c r="LQ18" s="49"/>
      <c r="LR18" s="49"/>
      <c r="LS18" s="49"/>
      <c r="LT18" s="49"/>
      <c r="LU18" s="49"/>
      <c r="LV18" s="49"/>
      <c r="LW18" s="49"/>
      <c r="LX18" s="49"/>
      <c r="LY18" s="49"/>
      <c r="LZ18" s="49"/>
      <c r="MA18" s="49"/>
      <c r="MB18" s="49"/>
      <c r="MC18" s="49"/>
      <c r="MD18" s="49"/>
      <c r="ME18" s="49"/>
      <c r="MF18" s="49"/>
      <c r="MG18" s="49"/>
      <c r="MH18" s="49"/>
      <c r="MI18" s="49"/>
      <c r="MJ18" s="49"/>
      <c r="MK18" s="49"/>
      <c r="ML18" s="49"/>
      <c r="MM18" s="49"/>
      <c r="MN18" s="49"/>
      <c r="MO18" s="49"/>
      <c r="MP18" s="49"/>
      <c r="MQ18" s="49"/>
      <c r="MR18" s="49"/>
      <c r="MS18" s="49"/>
      <c r="MT18" s="49"/>
      <c r="MU18" s="49"/>
      <c r="MV18" s="49"/>
      <c r="MW18" s="49"/>
      <c r="MX18" s="49"/>
      <c r="MY18" s="49"/>
      <c r="MZ18" s="49"/>
      <c r="NA18" s="49"/>
      <c r="NB18" s="49"/>
      <c r="NC18" s="49"/>
      <c r="ND18" s="49"/>
      <c r="NE18" s="49"/>
      <c r="NF18" s="49"/>
      <c r="NG18" s="49"/>
      <c r="NH18" s="49"/>
      <c r="NI18" s="49"/>
      <c r="NJ18" s="49"/>
      <c r="NK18" s="49"/>
      <c r="NL18" s="49"/>
      <c r="NM18" s="49"/>
      <c r="NN18" s="49"/>
      <c r="NO18" s="49"/>
      <c r="NP18" s="49"/>
      <c r="NQ18" s="49"/>
      <c r="NR18" s="49"/>
      <c r="NS18" s="49"/>
      <c r="NT18" s="49"/>
      <c r="NU18" s="49"/>
      <c r="NV18" s="49"/>
      <c r="NW18" s="49"/>
      <c r="NX18" s="49"/>
      <c r="NY18" s="49"/>
      <c r="NZ18" s="49"/>
      <c r="OA18" s="49"/>
      <c r="OB18" s="49"/>
      <c r="OC18" s="49"/>
      <c r="OD18" s="49"/>
      <c r="OE18" s="49"/>
      <c r="OF18" s="49"/>
      <c r="OG18" s="49"/>
      <c r="OH18" s="49"/>
      <c r="OI18" s="49"/>
      <c r="OJ18" s="49"/>
      <c r="OK18" s="49"/>
      <c r="OL18" s="49"/>
      <c r="OM18" s="49"/>
      <c r="ON18" s="49"/>
      <c r="OO18" s="49"/>
      <c r="OP18" s="49"/>
      <c r="OQ18" s="49"/>
      <c r="OR18" s="49"/>
      <c r="OS18" s="49"/>
      <c r="OT18" s="49"/>
      <c r="OU18" s="49"/>
      <c r="OV18" s="49"/>
      <c r="OW18" s="49"/>
      <c r="OX18" s="49"/>
      <c r="OY18" s="49"/>
      <c r="OZ18" s="49"/>
      <c r="PA18" s="49"/>
      <c r="PB18" s="49"/>
      <c r="PC18" s="49"/>
      <c r="PD18" s="49"/>
      <c r="PE18" s="49"/>
      <c r="PF18" s="49"/>
      <c r="PG18" s="49"/>
      <c r="PH18" s="49"/>
      <c r="PI18" s="49"/>
      <c r="PJ18" s="49"/>
      <c r="PK18" s="49"/>
      <c r="PL18" s="49"/>
      <c r="PM18" s="49"/>
      <c r="PN18" s="49"/>
      <c r="PO18" s="49"/>
      <c r="PP18" s="49"/>
      <c r="PQ18" s="49"/>
      <c r="PR18" s="49"/>
      <c r="PS18" s="49"/>
      <c r="PT18" s="49"/>
      <c r="PU18" s="49"/>
      <c r="PV18" s="49"/>
      <c r="PW18" s="49"/>
      <c r="PX18" s="49"/>
      <c r="PY18" s="49"/>
      <c r="PZ18" s="49"/>
      <c r="QA18" s="49"/>
      <c r="QB18" s="49"/>
      <c r="QC18" s="49"/>
      <c r="QD18" s="49"/>
      <c r="QE18" s="49"/>
      <c r="QF18" s="49"/>
      <c r="QG18" s="49"/>
      <c r="QH18" s="49"/>
      <c r="QI18" s="49"/>
      <c r="QJ18" s="49"/>
      <c r="QK18" s="49"/>
      <c r="QL18" s="49"/>
      <c r="QM18" s="49"/>
      <c r="QN18" s="49"/>
      <c r="QO18" s="49"/>
      <c r="QP18" s="49"/>
      <c r="QQ18" s="49"/>
      <c r="QR18" s="49"/>
      <c r="QS18" s="49"/>
      <c r="QT18" s="49"/>
      <c r="QU18" s="49"/>
      <c r="QV18" s="49"/>
      <c r="QW18" s="49"/>
      <c r="QX18" s="49"/>
      <c r="QY18" s="49"/>
      <c r="QZ18" s="49"/>
      <c r="RA18" s="49"/>
      <c r="RB18" s="49"/>
      <c r="RC18" s="49"/>
      <c r="RD18" s="49"/>
      <c r="RE18" s="49"/>
      <c r="RF18" s="49"/>
      <c r="RG18" s="49"/>
      <c r="RH18" s="49"/>
      <c r="RI18" s="49"/>
      <c r="RJ18" s="49"/>
      <c r="RK18" s="49"/>
      <c r="RL18" s="49"/>
      <c r="RM18" s="49"/>
      <c r="RN18" s="49"/>
      <c r="RO18" s="49"/>
      <c r="RP18" s="49"/>
      <c r="RQ18" s="49"/>
      <c r="RR18" s="49"/>
      <c r="RS18" s="49"/>
      <c r="RT18" s="49"/>
      <c r="RU18" s="49"/>
      <c r="RV18" s="49"/>
      <c r="RW18" s="49"/>
      <c r="RX18" s="49"/>
      <c r="RY18" s="49"/>
      <c r="RZ18" s="49"/>
      <c r="SA18" s="49"/>
      <c r="SB18" s="49"/>
      <c r="SC18" s="49"/>
      <c r="SD18" s="49"/>
      <c r="SE18" s="49"/>
      <c r="SF18" s="49"/>
      <c r="SG18" s="49"/>
      <c r="SH18" s="49"/>
      <c r="SI18" s="49"/>
      <c r="SJ18" s="49"/>
      <c r="SK18" s="49"/>
      <c r="SL18" s="49"/>
      <c r="SM18" s="49"/>
      <c r="SN18" s="49"/>
      <c r="SO18" s="49"/>
      <c r="SP18" s="49"/>
      <c r="SQ18" s="49"/>
      <c r="SR18" s="49"/>
      <c r="SS18" s="49"/>
      <c r="ST18" s="49"/>
      <c r="SU18" s="49"/>
      <c r="SV18" s="49"/>
      <c r="SW18" s="49"/>
      <c r="SX18" s="49"/>
      <c r="SY18" s="49"/>
      <c r="SZ18" s="49"/>
      <c r="TA18" s="49"/>
      <c r="TB18" s="49"/>
      <c r="TC18" s="49"/>
      <c r="TD18" s="49"/>
      <c r="TE18" s="49"/>
      <c r="TF18" s="49"/>
      <c r="TG18" s="49"/>
      <c r="TH18" s="49"/>
      <c r="TI18" s="49"/>
      <c r="TJ18" s="49"/>
      <c r="TK18" s="49"/>
      <c r="TL18" s="49"/>
      <c r="TM18" s="49"/>
      <c r="TN18" s="49"/>
      <c r="TO18" s="49"/>
      <c r="TP18" s="49"/>
      <c r="TQ18" s="49"/>
      <c r="TR18" s="49"/>
      <c r="TS18" s="49"/>
      <c r="TT18" s="49"/>
      <c r="TU18" s="49"/>
      <c r="TV18" s="49"/>
      <c r="TW18" s="49"/>
      <c r="TX18" s="49"/>
      <c r="TY18" s="49"/>
      <c r="TZ18" s="49"/>
      <c r="UA18" s="49"/>
      <c r="UB18" s="49"/>
      <c r="UC18" s="49"/>
      <c r="UD18" s="49"/>
      <c r="UE18" s="49"/>
      <c r="UF18" s="49"/>
      <c r="UG18" s="49"/>
      <c r="UH18" s="49"/>
      <c r="UI18" s="49"/>
      <c r="UJ18" s="49"/>
      <c r="UK18" s="49"/>
      <c r="UL18" s="49"/>
      <c r="UM18" s="49"/>
      <c r="UN18" s="49"/>
      <c r="UO18" s="49"/>
      <c r="UP18" s="49"/>
      <c r="UQ18" s="49"/>
      <c r="UR18" s="49"/>
      <c r="US18" s="49"/>
      <c r="UT18" s="49"/>
      <c r="UU18" s="49"/>
      <c r="UV18" s="49"/>
      <c r="UW18" s="49"/>
      <c r="UX18" s="49"/>
      <c r="UY18" s="49"/>
      <c r="UZ18" s="49"/>
      <c r="VA18" s="49"/>
      <c r="VB18" s="49"/>
      <c r="VC18" s="49"/>
      <c r="VD18" s="49"/>
      <c r="VE18" s="49"/>
      <c r="VF18" s="49"/>
      <c r="VG18" s="49"/>
      <c r="VH18" s="49"/>
      <c r="VI18" s="49"/>
      <c r="VJ18" s="49"/>
      <c r="VK18" s="49"/>
      <c r="VL18" s="49"/>
      <c r="VM18" s="49"/>
      <c r="VN18" s="49"/>
      <c r="VO18" s="49"/>
      <c r="VP18" s="49"/>
      <c r="VQ18" s="49"/>
      <c r="VR18" s="49"/>
      <c r="VS18" s="49"/>
      <c r="VT18" s="49"/>
      <c r="VU18" s="49"/>
      <c r="VV18" s="49"/>
      <c r="VW18" s="49"/>
      <c r="VX18" s="49"/>
      <c r="VY18" s="49"/>
      <c r="VZ18" s="49"/>
      <c r="WA18" s="49"/>
      <c r="WB18" s="49"/>
      <c r="WC18" s="49"/>
      <c r="WD18" s="49"/>
      <c r="WE18" s="49"/>
      <c r="WF18" s="49"/>
      <c r="WG18" s="49"/>
      <c r="WH18" s="49"/>
      <c r="WI18" s="49"/>
      <c r="WJ18" s="49"/>
      <c r="WK18" s="49"/>
      <c r="WL18" s="49"/>
      <c r="WM18" s="49"/>
      <c r="WN18" s="49"/>
      <c r="WO18" s="49"/>
      <c r="WP18" s="49"/>
      <c r="WQ18" s="49"/>
      <c r="WR18" s="49"/>
      <c r="WS18" s="49"/>
      <c r="WT18" s="49"/>
      <c r="WU18" s="49"/>
      <c r="WV18" s="49"/>
      <c r="WW18" s="49"/>
      <c r="WX18" s="49"/>
      <c r="WY18" s="49"/>
      <c r="WZ18" s="49"/>
      <c r="XA18" s="49"/>
      <c r="XB18" s="49"/>
      <c r="XC18" s="49"/>
      <c r="XD18" s="49"/>
      <c r="XE18" s="49"/>
      <c r="XF18" s="49"/>
      <c r="XG18" s="49"/>
      <c r="XH18" s="49"/>
      <c r="XI18" s="49"/>
      <c r="XJ18" s="49"/>
      <c r="XK18" s="49"/>
      <c r="XL18" s="49"/>
      <c r="XM18" s="49"/>
      <c r="XN18" s="49"/>
      <c r="XO18" s="49"/>
      <c r="XP18" s="49"/>
      <c r="XQ18" s="49"/>
      <c r="XR18" s="49"/>
      <c r="XS18" s="49"/>
      <c r="XT18" s="49"/>
      <c r="XU18" s="49"/>
      <c r="XV18" s="49"/>
      <c r="XW18" s="49"/>
      <c r="XX18" s="49"/>
      <c r="XY18" s="49"/>
      <c r="XZ18" s="49"/>
      <c r="YA18" s="49"/>
      <c r="YB18" s="49"/>
      <c r="YC18" s="49"/>
      <c r="YD18" s="49"/>
      <c r="YE18" s="49"/>
      <c r="YF18" s="49"/>
      <c r="YG18" s="49"/>
      <c r="YH18" s="49"/>
      <c r="YI18" s="49"/>
      <c r="YJ18" s="49"/>
      <c r="YK18" s="49"/>
      <c r="YL18" s="49"/>
      <c r="YM18" s="49"/>
      <c r="YN18" s="49"/>
      <c r="YO18" s="49"/>
      <c r="YP18" s="49"/>
      <c r="YQ18" s="49"/>
      <c r="YR18" s="49"/>
      <c r="YS18" s="49"/>
      <c r="YT18" s="49"/>
      <c r="YU18" s="49"/>
      <c r="YV18" s="49"/>
      <c r="YW18" s="49"/>
      <c r="YX18" s="49"/>
      <c r="YY18" s="49"/>
      <c r="YZ18" s="49"/>
      <c r="ZA18" s="49"/>
      <c r="ZB18" s="49"/>
      <c r="ZC18" s="49"/>
      <c r="ZD18" s="49"/>
      <c r="ZE18" s="49"/>
      <c r="ZF18" s="49"/>
      <c r="ZG18" s="49"/>
      <c r="ZH18" s="49"/>
      <c r="ZI18" s="49"/>
      <c r="ZJ18" s="49"/>
      <c r="ZK18" s="49"/>
      <c r="ZL18" s="49"/>
      <c r="ZM18" s="49"/>
      <c r="ZN18" s="49"/>
      <c r="ZO18" s="49"/>
      <c r="ZP18" s="49"/>
      <c r="ZQ18" s="49"/>
      <c r="ZR18" s="49"/>
      <c r="ZS18" s="49"/>
      <c r="ZT18" s="49"/>
      <c r="ZU18" s="49"/>
      <c r="ZV18" s="49"/>
      <c r="ZW18" s="49"/>
      <c r="ZX18" s="49"/>
      <c r="ZY18" s="49"/>
      <c r="ZZ18" s="49"/>
      <c r="AAA18" s="49"/>
      <c r="AAB18" s="49"/>
      <c r="AAC18" s="49"/>
      <c r="AAD18" s="49"/>
      <c r="AAE18" s="49"/>
      <c r="AAF18" s="49"/>
      <c r="AAG18" s="49"/>
      <c r="AAH18" s="49"/>
      <c r="AAI18" s="49"/>
      <c r="AAJ18" s="49"/>
      <c r="AAK18" s="49"/>
      <c r="AAL18" s="49"/>
      <c r="AAM18" s="49"/>
      <c r="AAN18" s="49"/>
      <c r="AAO18" s="49"/>
      <c r="AAP18" s="49"/>
      <c r="AAQ18" s="49"/>
      <c r="AAR18" s="49"/>
      <c r="AAS18" s="49"/>
      <c r="AAT18" s="49"/>
      <c r="AAU18" s="49"/>
      <c r="AAV18" s="49"/>
      <c r="AAW18" s="49"/>
      <c r="AAX18" s="49"/>
      <c r="AAY18" s="49"/>
      <c r="AAZ18" s="49"/>
      <c r="ABA18" s="49"/>
      <c r="ABB18" s="49"/>
      <c r="ABC18" s="49"/>
      <c r="ABD18" s="49"/>
      <c r="ABE18" s="49"/>
      <c r="ABF18" s="49"/>
      <c r="ABG18" s="49"/>
      <c r="ABH18" s="49"/>
      <c r="ABI18" s="49"/>
      <c r="ABJ18" s="49"/>
      <c r="ABK18" s="49"/>
      <c r="ABL18" s="49"/>
      <c r="ABM18" s="49"/>
      <c r="ABN18" s="49"/>
      <c r="ABO18" s="49"/>
      <c r="ABP18" s="49"/>
      <c r="ABQ18" s="49"/>
      <c r="ABR18" s="49"/>
      <c r="ABS18" s="49"/>
      <c r="ABT18" s="49"/>
      <c r="ABU18" s="49"/>
      <c r="ABV18" s="49"/>
      <c r="ABW18" s="49"/>
      <c r="ABX18" s="49"/>
      <c r="ABY18" s="49"/>
      <c r="ABZ18" s="49"/>
      <c r="ACA18" s="49"/>
      <c r="ACB18" s="49"/>
      <c r="ACC18" s="49"/>
      <c r="ACD18" s="49"/>
      <c r="ACE18" s="49"/>
      <c r="ACF18" s="49"/>
      <c r="ACG18" s="49"/>
      <c r="ACH18" s="49"/>
      <c r="ACI18" s="49"/>
      <c r="ACJ18" s="49"/>
      <c r="ACK18" s="49"/>
      <c r="ACL18" s="49"/>
      <c r="ACM18" s="49"/>
      <c r="ACN18" s="49"/>
      <c r="ACO18" s="49"/>
      <c r="ACP18" s="49"/>
      <c r="ACQ18" s="49"/>
      <c r="ACR18" s="49"/>
      <c r="ACS18" s="49"/>
      <c r="ACT18" s="49"/>
      <c r="ACU18" s="49"/>
      <c r="ACV18" s="49"/>
      <c r="ACW18" s="49"/>
      <c r="ACX18" s="49"/>
      <c r="ACY18" s="49"/>
      <c r="ACZ18" s="49"/>
      <c r="ADA18" s="49"/>
      <c r="ADB18" s="49"/>
      <c r="ADC18" s="49"/>
      <c r="ADD18" s="49"/>
      <c r="ADE18" s="49"/>
      <c r="ADF18" s="49"/>
      <c r="ADG18" s="49"/>
      <c r="ADH18" s="49"/>
      <c r="ADI18" s="49"/>
      <c r="ADJ18" s="49"/>
      <c r="ADK18" s="49"/>
      <c r="ADL18" s="49"/>
      <c r="ADM18" s="49"/>
      <c r="ADN18" s="49"/>
      <c r="ADO18" s="49"/>
      <c r="ADP18" s="49"/>
      <c r="ADQ18" s="49"/>
      <c r="ADR18" s="49"/>
      <c r="ADS18" s="49"/>
      <c r="ADT18" s="49"/>
      <c r="ADU18" s="49"/>
      <c r="ADV18" s="49"/>
      <c r="ADW18" s="49"/>
      <c r="ADX18" s="49"/>
      <c r="ADY18" s="49"/>
      <c r="ADZ18" s="49"/>
      <c r="AEA18" s="49"/>
      <c r="AEB18" s="49"/>
      <c r="AEC18" s="49"/>
      <c r="AED18" s="49"/>
      <c r="AEE18" s="49"/>
      <c r="AEF18" s="49"/>
      <c r="AEG18" s="49"/>
      <c r="AEH18" s="49"/>
      <c r="AEI18" s="49"/>
      <c r="AEJ18" s="49"/>
      <c r="AEK18" s="49"/>
      <c r="AEL18" s="49"/>
      <c r="AEM18" s="49"/>
      <c r="AEN18" s="49"/>
      <c r="AEO18" s="49"/>
      <c r="AEP18" s="49"/>
      <c r="AEQ18" s="49"/>
      <c r="AER18" s="49"/>
      <c r="AES18" s="49"/>
      <c r="AET18" s="49"/>
      <c r="AEU18" s="49"/>
      <c r="AEV18" s="49"/>
      <c r="AEW18" s="49"/>
      <c r="AEX18" s="49"/>
      <c r="AEY18" s="49"/>
      <c r="AEZ18" s="49"/>
      <c r="AFA18" s="49"/>
      <c r="AFB18" s="49"/>
      <c r="AFC18" s="49"/>
      <c r="AFD18" s="49"/>
      <c r="AFE18" s="49"/>
      <c r="AFF18" s="49"/>
      <c r="AFG18" s="49"/>
      <c r="AFH18" s="49"/>
      <c r="AFI18" s="49"/>
      <c r="AFJ18" s="49"/>
      <c r="AFK18" s="49"/>
      <c r="AFL18" s="49"/>
      <c r="AFM18" s="49"/>
      <c r="AFN18" s="49"/>
      <c r="AFO18" s="49"/>
      <c r="AFP18" s="49"/>
      <c r="AFQ18" s="49"/>
      <c r="AFR18" s="49"/>
      <c r="AFS18" s="49"/>
      <c r="AFT18" s="49"/>
      <c r="AFU18" s="49"/>
      <c r="AFV18" s="49"/>
      <c r="AFW18" s="49"/>
      <c r="AFX18" s="49"/>
      <c r="AFY18" s="49"/>
      <c r="AFZ18" s="49"/>
      <c r="AGA18" s="49"/>
      <c r="AGB18" s="49"/>
      <c r="AGC18" s="49"/>
      <c r="AGD18" s="49"/>
      <c r="AGE18" s="49"/>
      <c r="AGF18" s="49"/>
      <c r="AGG18" s="49"/>
      <c r="AGH18" s="49"/>
      <c r="AGI18" s="49"/>
      <c r="AGJ18" s="49"/>
      <c r="AGK18" s="49"/>
      <c r="AGL18" s="49"/>
      <c r="AGM18" s="49"/>
      <c r="AGN18" s="49"/>
      <c r="AGO18" s="49"/>
      <c r="AGP18" s="49"/>
      <c r="AGQ18" s="49"/>
      <c r="AGR18" s="49"/>
      <c r="AGS18" s="49"/>
      <c r="AGT18" s="49"/>
      <c r="AGU18" s="49"/>
      <c r="AGV18" s="49"/>
      <c r="AGW18" s="49"/>
      <c r="AGX18" s="49"/>
      <c r="AGY18" s="49"/>
      <c r="AGZ18" s="49"/>
      <c r="AHA18" s="49"/>
      <c r="AHB18" s="49"/>
      <c r="AHC18" s="49"/>
      <c r="AHD18" s="49"/>
      <c r="AHE18" s="49"/>
      <c r="AHF18" s="49"/>
      <c r="AHG18" s="49"/>
      <c r="AHH18" s="49"/>
      <c r="AHI18" s="49"/>
      <c r="AHJ18" s="49"/>
      <c r="AHK18" s="49"/>
      <c r="AHL18" s="49"/>
      <c r="AHM18" s="49"/>
      <c r="AHN18" s="49"/>
      <c r="AHO18" s="49"/>
      <c r="AHP18" s="49"/>
      <c r="AHQ18" s="49"/>
      <c r="AHR18" s="49"/>
      <c r="AHS18" s="49"/>
      <c r="AHT18" s="49"/>
      <c r="AHU18" s="49"/>
      <c r="AHV18" s="49"/>
      <c r="AHW18" s="49"/>
      <c r="AHX18" s="49"/>
      <c r="AHY18" s="49"/>
      <c r="AHZ18" s="49"/>
      <c r="AIA18" s="49"/>
      <c r="AIB18" s="49"/>
      <c r="AIC18" s="49"/>
      <c r="AID18" s="49"/>
      <c r="AIE18" s="49"/>
      <c r="AIF18" s="49"/>
      <c r="AIG18" s="49"/>
      <c r="AIH18" s="49"/>
      <c r="AII18" s="49"/>
      <c r="AIJ18" s="49"/>
      <c r="AIK18" s="49"/>
      <c r="AIL18" s="49"/>
      <c r="AIM18" s="49"/>
      <c r="AIN18" s="49"/>
      <c r="AIO18" s="49"/>
      <c r="AIP18" s="49"/>
      <c r="AIQ18" s="49"/>
      <c r="AIR18" s="49"/>
      <c r="AIS18" s="49"/>
      <c r="AIT18" s="49"/>
      <c r="AIU18" s="49"/>
      <c r="AIV18" s="49"/>
      <c r="AIW18" s="49"/>
      <c r="AIX18" s="49"/>
      <c r="AIY18" s="49"/>
      <c r="AIZ18" s="49"/>
      <c r="AJA18" s="49"/>
      <c r="AJB18" s="49"/>
      <c r="AJC18" s="49"/>
      <c r="AJD18" s="49"/>
      <c r="AJE18" s="49"/>
      <c r="AJF18" s="49"/>
      <c r="AJG18" s="49"/>
      <c r="AJH18" s="49"/>
      <c r="AJI18" s="49"/>
      <c r="AJJ18" s="49"/>
      <c r="AJK18" s="49"/>
      <c r="AJL18" s="49"/>
      <c r="AJM18" s="49"/>
      <c r="AJN18" s="49"/>
      <c r="AJO18" s="49"/>
      <c r="AJP18" s="49"/>
      <c r="AJQ18" s="49"/>
      <c r="AJR18" s="49"/>
      <c r="AJS18" s="49"/>
      <c r="AJT18" s="49"/>
      <c r="AJU18" s="49"/>
      <c r="AJV18" s="49"/>
      <c r="AJW18" s="49"/>
      <c r="AJX18" s="49"/>
      <c r="AJY18" s="49"/>
      <c r="AJZ18" s="49"/>
      <c r="AKA18" s="49"/>
      <c r="AKB18" s="49"/>
      <c r="AKC18" s="49"/>
      <c r="AKD18" s="49"/>
      <c r="AKE18" s="49"/>
      <c r="AKF18" s="49"/>
      <c r="AKG18" s="49"/>
      <c r="AKH18" s="49"/>
      <c r="AKI18" s="49"/>
      <c r="AKJ18" s="49"/>
      <c r="AKK18" s="49"/>
      <c r="AKL18" s="49"/>
      <c r="AKM18" s="49"/>
      <c r="AKN18" s="49"/>
      <c r="AKO18" s="49"/>
      <c r="AKP18" s="49"/>
      <c r="AKQ18" s="49"/>
      <c r="AKR18" s="49"/>
      <c r="AKS18" s="49"/>
      <c r="AKT18" s="49"/>
      <c r="AKU18" s="49"/>
      <c r="AKV18" s="49"/>
      <c r="AKW18" s="49"/>
      <c r="AKX18" s="49"/>
      <c r="AKY18" s="49"/>
      <c r="AKZ18" s="49"/>
      <c r="ALA18" s="49"/>
      <c r="ALB18" s="49"/>
      <c r="ALC18" s="49"/>
      <c r="ALD18" s="49"/>
      <c r="ALE18" s="49"/>
      <c r="ALF18" s="49"/>
      <c r="ALG18" s="49"/>
      <c r="ALH18" s="49"/>
      <c r="ALI18" s="49"/>
      <c r="ALJ18" s="49"/>
      <c r="ALK18" s="49"/>
      <c r="ALL18" s="49"/>
      <c r="ALM18" s="49"/>
      <c r="ALN18" s="49"/>
      <c r="ALO18" s="49"/>
      <c r="ALP18" s="49"/>
      <c r="ALQ18" s="49"/>
      <c r="ALR18" s="49"/>
      <c r="ALS18" s="49"/>
      <c r="ALT18" s="49"/>
      <c r="ALU18" s="49"/>
      <c r="ALV18" s="49"/>
      <c r="ALW18" s="49"/>
      <c r="ALX18" s="49"/>
      <c r="ALY18" s="49"/>
      <c r="ALZ18" s="49"/>
      <c r="AMA18" s="49"/>
      <c r="AMB18" s="49"/>
      <c r="AMC18" s="49"/>
      <c r="AMD18" s="49"/>
      <c r="AME18" s="49"/>
      <c r="AMF18" s="49"/>
      <c r="AMG18" s="49"/>
      <c r="AMH18" s="49"/>
      <c r="AMI18" s="49"/>
      <c r="AMJ18" s="49"/>
      <c r="AMK18" s="49"/>
      <c r="AML18" s="49"/>
      <c r="AMM18" s="49"/>
      <c r="AMN18" s="49"/>
      <c r="AMO18" s="49"/>
      <c r="AMP18" s="49"/>
      <c r="AMQ18" s="49"/>
      <c r="AMR18" s="49"/>
      <c r="AMS18" s="49"/>
      <c r="AMT18" s="49"/>
      <c r="AMU18" s="49"/>
      <c r="AMV18" s="49"/>
      <c r="AMW18" s="49"/>
      <c r="AMX18" s="49"/>
      <c r="AMY18" s="49"/>
      <c r="AMZ18" s="49"/>
      <c r="ANA18" s="49"/>
      <c r="ANB18" s="49"/>
      <c r="ANC18" s="49"/>
      <c r="AND18" s="49"/>
      <c r="ANE18" s="49"/>
      <c r="ANF18" s="49"/>
      <c r="ANG18" s="49"/>
      <c r="ANH18" s="49"/>
      <c r="ANI18" s="49"/>
      <c r="ANJ18" s="49"/>
      <c r="ANK18" s="49"/>
      <c r="ANL18" s="49"/>
      <c r="ANM18" s="49"/>
      <c r="ANN18" s="49"/>
      <c r="ANO18" s="49"/>
      <c r="ANP18" s="49"/>
      <c r="ANQ18" s="49"/>
      <c r="ANR18" s="49"/>
      <c r="ANS18" s="49"/>
      <c r="ANT18" s="49"/>
      <c r="ANU18" s="49"/>
      <c r="ANV18" s="49"/>
      <c r="ANW18" s="49"/>
      <c r="ANX18" s="49"/>
      <c r="ANY18" s="49"/>
      <c r="ANZ18" s="49"/>
      <c r="AOA18" s="49"/>
      <c r="AOB18" s="49"/>
      <c r="AOC18" s="49"/>
      <c r="AOD18" s="49"/>
      <c r="AOE18" s="49"/>
      <c r="AOF18" s="49"/>
      <c r="AOG18" s="49"/>
      <c r="AOH18" s="49"/>
      <c r="AOI18" s="49"/>
      <c r="AOJ18" s="49"/>
      <c r="AOK18" s="49"/>
      <c r="AOL18" s="49"/>
      <c r="AOM18" s="49"/>
      <c r="AON18" s="49"/>
      <c r="AOO18" s="49"/>
      <c r="AOP18" s="49"/>
      <c r="AOQ18" s="49"/>
      <c r="AOR18" s="49"/>
      <c r="AOS18" s="49"/>
      <c r="AOT18" s="49"/>
      <c r="AOU18" s="49"/>
      <c r="AOV18" s="49"/>
      <c r="AOW18" s="49"/>
      <c r="AOX18" s="49"/>
      <c r="AOY18" s="49"/>
      <c r="AOZ18" s="49"/>
      <c r="APA18" s="49"/>
      <c r="APB18" s="49"/>
      <c r="APC18" s="49"/>
      <c r="APD18" s="49"/>
      <c r="APE18" s="49"/>
      <c r="APF18" s="49"/>
      <c r="APG18" s="49"/>
      <c r="APH18" s="49"/>
      <c r="API18" s="49"/>
      <c r="APJ18" s="49"/>
      <c r="APK18" s="49"/>
      <c r="APL18" s="49"/>
      <c r="APM18" s="49"/>
      <c r="APN18" s="49"/>
      <c r="APO18" s="49"/>
      <c r="APP18" s="49"/>
      <c r="APQ18" s="49"/>
      <c r="APR18" s="49"/>
      <c r="APS18" s="49"/>
      <c r="APT18" s="49"/>
      <c r="APU18" s="49"/>
      <c r="APV18" s="49"/>
      <c r="APW18" s="49"/>
      <c r="APX18" s="49"/>
      <c r="APY18" s="49"/>
      <c r="APZ18" s="49"/>
      <c r="AQA18" s="49"/>
      <c r="AQB18" s="49"/>
      <c r="AQC18" s="49"/>
      <c r="AQD18" s="49"/>
      <c r="AQE18" s="49"/>
      <c r="AQF18" s="49"/>
      <c r="AQG18" s="49"/>
      <c r="AQH18" s="49"/>
      <c r="AQI18" s="49"/>
      <c r="AQJ18" s="49"/>
      <c r="AQK18" s="49"/>
      <c r="AQL18" s="49"/>
      <c r="AQM18" s="49"/>
      <c r="AQN18" s="49"/>
      <c r="AQO18" s="49"/>
      <c r="AQP18" s="49"/>
      <c r="AQQ18" s="49"/>
      <c r="AQR18" s="49"/>
      <c r="AQS18" s="49"/>
      <c r="AQT18" s="49"/>
      <c r="AQU18" s="49"/>
      <c r="AQV18" s="49"/>
      <c r="AQW18" s="49"/>
      <c r="AQX18" s="49"/>
      <c r="AQY18" s="49"/>
      <c r="AQZ18" s="49"/>
      <c r="ARA18" s="49"/>
      <c r="ARB18" s="49"/>
      <c r="ARC18" s="49"/>
      <c r="ARD18" s="49"/>
      <c r="ARE18" s="49"/>
      <c r="ARF18" s="49"/>
      <c r="ARG18" s="49"/>
      <c r="ARH18" s="49"/>
      <c r="ARI18" s="49"/>
      <c r="ARJ18" s="49"/>
      <c r="ARK18" s="49"/>
      <c r="ARL18" s="49"/>
      <c r="ARM18" s="49"/>
      <c r="ARN18" s="49"/>
      <c r="ARO18" s="49"/>
      <c r="ARP18" s="49"/>
      <c r="ARQ18" s="49"/>
      <c r="ARR18" s="49"/>
      <c r="ARS18" s="49"/>
      <c r="ART18" s="49"/>
      <c r="ARU18" s="49"/>
      <c r="ARV18" s="49"/>
      <c r="ARW18" s="49"/>
      <c r="ARX18" s="49"/>
      <c r="ARY18" s="49"/>
      <c r="ARZ18" s="49"/>
      <c r="ASA18" s="49"/>
      <c r="ASB18" s="49"/>
      <c r="ASC18" s="49"/>
      <c r="ASD18" s="49"/>
      <c r="ASE18" s="49"/>
      <c r="ASF18" s="49"/>
      <c r="ASG18" s="49"/>
      <c r="ASH18" s="49"/>
      <c r="ASI18" s="49"/>
      <c r="ASJ18" s="49"/>
      <c r="ASK18" s="49"/>
      <c r="ASL18" s="49"/>
      <c r="ASM18" s="49"/>
      <c r="ASN18" s="49"/>
      <c r="ASO18" s="49"/>
      <c r="ASP18" s="49"/>
      <c r="ASQ18" s="49"/>
      <c r="ASR18" s="49"/>
      <c r="ASS18" s="49"/>
      <c r="AST18" s="49"/>
      <c r="ASU18" s="49"/>
      <c r="ASV18" s="49"/>
      <c r="ASW18" s="49"/>
      <c r="ASX18" s="49"/>
      <c r="ASY18" s="49"/>
      <c r="ASZ18" s="49"/>
      <c r="ATA18" s="49"/>
      <c r="ATB18" s="49"/>
      <c r="ATC18" s="49"/>
      <c r="ATD18" s="49"/>
      <c r="ATE18" s="49"/>
      <c r="ATF18" s="49"/>
      <c r="ATG18" s="49"/>
      <c r="ATH18" s="49"/>
      <c r="ATI18" s="49"/>
      <c r="ATJ18" s="49"/>
      <c r="ATK18" s="49"/>
      <c r="ATL18" s="49"/>
      <c r="ATM18" s="49"/>
      <c r="ATN18" s="49"/>
      <c r="ATO18" s="49"/>
      <c r="ATP18" s="49"/>
      <c r="ATQ18" s="49"/>
      <c r="ATR18" s="49"/>
      <c r="ATS18" s="49"/>
      <c r="ATT18" s="49"/>
      <c r="ATU18" s="49"/>
      <c r="ATV18" s="49"/>
      <c r="ATW18" s="49"/>
      <c r="ATX18" s="49"/>
      <c r="ATY18" s="49"/>
      <c r="ATZ18" s="49"/>
      <c r="AUA18" s="49"/>
      <c r="AUB18" s="49"/>
      <c r="AUC18" s="49"/>
      <c r="AUD18" s="49"/>
      <c r="AUE18" s="49"/>
      <c r="AUF18" s="49"/>
      <c r="AUG18" s="49"/>
      <c r="AUH18" s="49"/>
      <c r="AUI18" s="49"/>
      <c r="AUJ18" s="49"/>
      <c r="AUK18" s="49"/>
      <c r="AUL18" s="49"/>
      <c r="AUM18" s="49"/>
      <c r="AUN18" s="49"/>
      <c r="AUO18" s="49"/>
      <c r="AUP18" s="49"/>
      <c r="AUQ18" s="49"/>
      <c r="AUR18" s="49"/>
      <c r="AUS18" s="49"/>
      <c r="AUT18" s="49"/>
      <c r="AUU18" s="49"/>
      <c r="AUV18" s="49"/>
      <c r="AUW18" s="49"/>
      <c r="AUX18" s="49"/>
      <c r="AUY18" s="49"/>
      <c r="AUZ18" s="49"/>
      <c r="AVA18" s="49"/>
      <c r="AVB18" s="49"/>
      <c r="AVC18" s="49"/>
      <c r="AVD18" s="49"/>
      <c r="AVE18" s="49"/>
      <c r="AVF18" s="49"/>
      <c r="AVG18" s="49"/>
      <c r="AVH18" s="49"/>
      <c r="AVI18" s="49"/>
      <c r="AVJ18" s="49"/>
      <c r="AVK18" s="49"/>
      <c r="AVL18" s="49"/>
      <c r="AVM18" s="49"/>
      <c r="AVN18" s="49"/>
      <c r="AVO18" s="49"/>
      <c r="AVP18" s="49"/>
      <c r="AVQ18" s="49"/>
      <c r="AVR18" s="49"/>
      <c r="AVS18" s="49"/>
      <c r="AVT18" s="49"/>
      <c r="AVU18" s="49"/>
      <c r="AVV18" s="49"/>
      <c r="AVW18" s="49"/>
      <c r="AVX18" s="49"/>
      <c r="AVY18" s="49"/>
      <c r="AVZ18" s="49"/>
      <c r="AWA18" s="49"/>
      <c r="AWB18" s="49"/>
      <c r="AWC18" s="49"/>
      <c r="AWD18" s="49"/>
      <c r="AWE18" s="49"/>
      <c r="AWF18" s="49"/>
      <c r="AWG18" s="49"/>
      <c r="AWH18" s="49"/>
      <c r="AWI18" s="49"/>
      <c r="AWJ18" s="49"/>
      <c r="AWK18" s="49"/>
      <c r="AWL18" s="49"/>
      <c r="AWM18" s="49"/>
      <c r="AWN18" s="49"/>
      <c r="AWO18" s="49"/>
      <c r="AWP18" s="49"/>
      <c r="AWQ18" s="49"/>
      <c r="AWR18" s="49"/>
      <c r="AWS18" s="49"/>
      <c r="AWT18" s="49"/>
      <c r="AWU18" s="49"/>
      <c r="AWV18" s="49"/>
      <c r="AWW18" s="49"/>
      <c r="AWX18" s="49"/>
      <c r="AWY18" s="49"/>
      <c r="AWZ18" s="49"/>
      <c r="AXA18" s="49"/>
      <c r="AXB18" s="49"/>
      <c r="AXC18" s="49"/>
      <c r="AXD18" s="49"/>
      <c r="AXE18" s="49"/>
      <c r="AXF18" s="49"/>
      <c r="AXG18" s="49"/>
      <c r="AXH18" s="49"/>
      <c r="AXI18" s="49"/>
      <c r="AXJ18" s="49"/>
      <c r="AXK18" s="49"/>
      <c r="AXL18" s="49"/>
      <c r="AXM18" s="49"/>
      <c r="AXN18" s="49"/>
      <c r="AXO18" s="49"/>
      <c r="AXP18" s="49"/>
      <c r="AXQ18" s="49"/>
      <c r="AXR18" s="49"/>
      <c r="AXS18" s="49"/>
      <c r="AXT18" s="49"/>
      <c r="AXU18" s="49"/>
      <c r="AXV18" s="49"/>
      <c r="AXW18" s="49"/>
      <c r="AXX18" s="49"/>
      <c r="AXY18" s="49"/>
      <c r="AXZ18" s="49"/>
      <c r="AYA18" s="49"/>
      <c r="AYB18" s="49"/>
      <c r="AYC18" s="49"/>
      <c r="AYD18" s="49"/>
      <c r="AYE18" s="49"/>
      <c r="AYF18" s="49"/>
      <c r="AYG18" s="49"/>
      <c r="AYH18" s="49"/>
      <c r="AYI18" s="49"/>
      <c r="AYJ18" s="49"/>
      <c r="AYK18" s="49"/>
      <c r="AYL18" s="49"/>
      <c r="AYM18" s="49"/>
      <c r="AYN18" s="49"/>
      <c r="AYO18" s="49"/>
      <c r="AYP18" s="49"/>
      <c r="AYQ18" s="49"/>
      <c r="AYR18" s="49"/>
      <c r="AYS18" s="49"/>
      <c r="AYT18" s="49"/>
      <c r="AYU18" s="49"/>
      <c r="AYV18" s="49"/>
      <c r="AYW18" s="49"/>
      <c r="AYX18" s="49"/>
      <c r="AYY18" s="49"/>
      <c r="AYZ18" s="49"/>
      <c r="AZA18" s="49"/>
      <c r="AZB18" s="49"/>
      <c r="AZC18" s="49"/>
      <c r="AZD18" s="49"/>
      <c r="AZE18" s="49"/>
      <c r="AZF18" s="49"/>
      <c r="AZG18" s="49"/>
      <c r="AZH18" s="49"/>
      <c r="AZI18" s="49"/>
      <c r="AZJ18" s="49"/>
      <c r="AZK18" s="49"/>
      <c r="AZL18" s="49"/>
      <c r="AZM18" s="49"/>
      <c r="AZN18" s="49"/>
      <c r="AZO18" s="49"/>
      <c r="AZP18" s="49"/>
      <c r="AZQ18" s="49"/>
      <c r="AZR18" s="49"/>
      <c r="AZS18" s="49"/>
      <c r="AZT18" s="49"/>
      <c r="AZU18" s="49"/>
      <c r="AZV18" s="49"/>
      <c r="AZW18" s="49"/>
      <c r="AZX18" s="49"/>
      <c r="AZY18" s="49"/>
      <c r="AZZ18" s="49"/>
      <c r="BAA18" s="49"/>
      <c r="BAB18" s="49"/>
      <c r="BAC18" s="49"/>
      <c r="BAD18" s="49"/>
      <c r="BAE18" s="49"/>
      <c r="BAF18" s="49"/>
      <c r="BAG18" s="49"/>
      <c r="BAH18" s="49"/>
      <c r="BAI18" s="49"/>
      <c r="BAJ18" s="49"/>
      <c r="BAK18" s="49"/>
      <c r="BAL18" s="49"/>
      <c r="BAM18" s="49"/>
      <c r="BAN18" s="49"/>
      <c r="BAO18" s="49"/>
      <c r="BAP18" s="49"/>
      <c r="BAQ18" s="49"/>
      <c r="BAR18" s="49"/>
      <c r="BAS18" s="49"/>
      <c r="BAT18" s="49"/>
      <c r="BAU18" s="49"/>
      <c r="BAV18" s="49"/>
      <c r="BAW18" s="49"/>
      <c r="BAX18" s="49"/>
      <c r="BAY18" s="49"/>
      <c r="BAZ18" s="49"/>
      <c r="BBA18" s="49"/>
      <c r="BBB18" s="49"/>
      <c r="BBC18" s="49"/>
      <c r="BBD18" s="49"/>
      <c r="BBE18" s="49"/>
      <c r="BBF18" s="49"/>
      <c r="BBG18" s="49"/>
      <c r="BBH18" s="49"/>
      <c r="BBI18" s="49"/>
      <c r="BBJ18" s="49"/>
      <c r="BBK18" s="49"/>
      <c r="BBL18" s="49"/>
      <c r="BBM18" s="49"/>
      <c r="BBN18" s="49"/>
      <c r="BBO18" s="49"/>
      <c r="BBP18" s="49"/>
      <c r="BBQ18" s="49"/>
      <c r="BBR18" s="49"/>
      <c r="BBS18" s="49"/>
      <c r="BBT18" s="49"/>
      <c r="BBU18" s="49"/>
      <c r="BBV18" s="49"/>
      <c r="BBW18" s="49"/>
      <c r="BBX18" s="49"/>
      <c r="BBY18" s="49"/>
      <c r="BBZ18" s="49"/>
      <c r="BCA18" s="49"/>
      <c r="BCB18" s="49"/>
      <c r="BCC18" s="49"/>
      <c r="BCD18" s="49"/>
      <c r="BCE18" s="49"/>
      <c r="BCF18" s="49"/>
      <c r="BCG18" s="49"/>
      <c r="BCH18" s="49"/>
      <c r="BCI18" s="49"/>
      <c r="BCJ18" s="49"/>
      <c r="BCK18" s="49"/>
      <c r="BCL18" s="49"/>
      <c r="BCM18" s="49"/>
      <c r="BCN18" s="49"/>
    </row>
    <row r="19" spans="1:1444" s="47" customFormat="1">
      <c r="A19" s="52"/>
      <c r="B19" s="94">
        <v>45762</v>
      </c>
      <c r="C19" s="94" t="s">
        <v>193</v>
      </c>
      <c r="D19" s="95">
        <v>43</v>
      </c>
      <c r="E19" s="95">
        <v>93.35999999998603</v>
      </c>
      <c r="F19" s="95">
        <v>0</v>
      </c>
      <c r="G19" s="95">
        <v>0</v>
      </c>
      <c r="H19" s="95">
        <v>38</v>
      </c>
      <c r="I19" s="95">
        <v>38</v>
      </c>
      <c r="J19" s="95">
        <v>977.87000000000035</v>
      </c>
      <c r="K19" s="95">
        <v>1545.5698000010584</v>
      </c>
      <c r="L19" s="95">
        <v>0</v>
      </c>
      <c r="M19" s="155">
        <v>0</v>
      </c>
      <c r="N19" s="141">
        <f>'units overall'!O19</f>
        <v>2748.7998000010448</v>
      </c>
      <c r="O19" s="230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B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R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H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X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49"/>
      <c r="IL19" s="49"/>
      <c r="IM19" s="49"/>
      <c r="IN19" s="49"/>
      <c r="IO19" s="49"/>
      <c r="IP19" s="49"/>
      <c r="IQ19" s="49"/>
      <c r="IR19" s="49"/>
      <c r="IS19" s="49"/>
      <c r="IT19" s="49"/>
      <c r="IU19" s="49"/>
      <c r="IV19" s="49"/>
      <c r="IW19" s="49"/>
      <c r="IX19" s="49"/>
      <c r="IY19" s="49"/>
      <c r="IZ19" s="49"/>
      <c r="JA19" s="49"/>
      <c r="JB19" s="49"/>
      <c r="JC19" s="49"/>
      <c r="JD19" s="49"/>
      <c r="JE19" s="49"/>
      <c r="JF19" s="49"/>
      <c r="JG19" s="49"/>
      <c r="JH19" s="49"/>
      <c r="JI19" s="49"/>
      <c r="JJ19" s="49"/>
      <c r="JK19" s="49"/>
      <c r="JL19" s="49"/>
      <c r="JM19" s="49"/>
      <c r="JN19" s="49"/>
      <c r="JO19" s="49"/>
      <c r="JP19" s="49"/>
      <c r="JQ19" s="49"/>
      <c r="JR19" s="49"/>
      <c r="JS19" s="49"/>
      <c r="JT19" s="49"/>
      <c r="JU19" s="49"/>
      <c r="JV19" s="49"/>
      <c r="JW19" s="49"/>
      <c r="JX19" s="49"/>
      <c r="JY19" s="49"/>
      <c r="JZ19" s="49"/>
      <c r="KA19" s="49"/>
      <c r="KB19" s="49"/>
      <c r="KC19" s="49"/>
      <c r="KD19" s="49"/>
      <c r="KE19" s="49"/>
      <c r="KF19" s="49"/>
      <c r="KG19" s="49"/>
      <c r="KH19" s="49"/>
      <c r="KI19" s="49"/>
      <c r="KJ19" s="49"/>
      <c r="KK19" s="49"/>
      <c r="KL19" s="49"/>
      <c r="KM19" s="49"/>
      <c r="KN19" s="49"/>
      <c r="KO19" s="49"/>
      <c r="KP19" s="49"/>
      <c r="KQ19" s="49"/>
      <c r="KR19" s="49"/>
      <c r="KS19" s="49"/>
      <c r="KT19" s="49"/>
      <c r="KU19" s="49"/>
      <c r="KV19" s="49"/>
      <c r="KW19" s="49"/>
      <c r="KX19" s="49"/>
      <c r="KY19" s="49"/>
      <c r="KZ19" s="49"/>
      <c r="LA19" s="49"/>
      <c r="LB19" s="49"/>
      <c r="LC19" s="49"/>
      <c r="LD19" s="49"/>
      <c r="LE19" s="49"/>
      <c r="LF19" s="49"/>
      <c r="LG19" s="49"/>
      <c r="LH19" s="49"/>
      <c r="LI19" s="49"/>
      <c r="LJ19" s="49"/>
      <c r="LK19" s="49"/>
      <c r="LL19" s="49"/>
      <c r="LM19" s="49"/>
      <c r="LN19" s="49"/>
      <c r="LO19" s="49"/>
      <c r="LP19" s="49"/>
      <c r="LQ19" s="49"/>
      <c r="LR19" s="49"/>
      <c r="LS19" s="49"/>
      <c r="LT19" s="49"/>
      <c r="LU19" s="49"/>
      <c r="LV19" s="49"/>
      <c r="LW19" s="49"/>
      <c r="LX19" s="49"/>
      <c r="LY19" s="49"/>
      <c r="LZ19" s="49"/>
      <c r="MA19" s="49"/>
      <c r="MB19" s="49"/>
      <c r="MC19" s="49"/>
      <c r="MD19" s="49"/>
      <c r="ME19" s="49"/>
      <c r="MF19" s="49"/>
      <c r="MG19" s="49"/>
      <c r="MH19" s="49"/>
      <c r="MI19" s="49"/>
      <c r="MJ19" s="49"/>
      <c r="MK19" s="49"/>
      <c r="ML19" s="49"/>
      <c r="MM19" s="49"/>
      <c r="MN19" s="49"/>
      <c r="MO19" s="49"/>
      <c r="MP19" s="49"/>
      <c r="MQ19" s="49"/>
      <c r="MR19" s="49"/>
      <c r="MS19" s="49"/>
      <c r="MT19" s="49"/>
      <c r="MU19" s="49"/>
      <c r="MV19" s="49"/>
      <c r="MW19" s="49"/>
      <c r="MX19" s="49"/>
      <c r="MY19" s="49"/>
      <c r="MZ19" s="49"/>
      <c r="NA19" s="49"/>
      <c r="NB19" s="49"/>
      <c r="NC19" s="49"/>
      <c r="ND19" s="49"/>
      <c r="NE19" s="49"/>
      <c r="NF19" s="49"/>
      <c r="NG19" s="49"/>
      <c r="NH19" s="49"/>
      <c r="NI19" s="49"/>
      <c r="NJ19" s="49"/>
      <c r="NK19" s="49"/>
      <c r="NL19" s="49"/>
      <c r="NM19" s="49"/>
      <c r="NN19" s="49"/>
      <c r="NO19" s="49"/>
      <c r="NP19" s="49"/>
      <c r="NQ19" s="49"/>
      <c r="NR19" s="49"/>
      <c r="NS19" s="49"/>
      <c r="NT19" s="49"/>
      <c r="NU19" s="49"/>
      <c r="NV19" s="49"/>
      <c r="NW19" s="49"/>
      <c r="NX19" s="49"/>
      <c r="NY19" s="49"/>
      <c r="NZ19" s="49"/>
      <c r="OA19" s="49"/>
      <c r="OB19" s="49"/>
      <c r="OC19" s="49"/>
      <c r="OD19" s="49"/>
      <c r="OE19" s="49"/>
      <c r="OF19" s="49"/>
      <c r="OG19" s="49"/>
      <c r="OH19" s="49"/>
      <c r="OI19" s="49"/>
      <c r="OJ19" s="49"/>
      <c r="OK19" s="49"/>
      <c r="OL19" s="49"/>
      <c r="OM19" s="49"/>
      <c r="ON19" s="49"/>
      <c r="OO19" s="49"/>
      <c r="OP19" s="49"/>
      <c r="OQ19" s="49"/>
      <c r="OR19" s="49"/>
      <c r="OS19" s="49"/>
      <c r="OT19" s="49"/>
      <c r="OU19" s="49"/>
      <c r="OV19" s="49"/>
      <c r="OW19" s="49"/>
      <c r="OX19" s="49"/>
      <c r="OY19" s="49"/>
      <c r="OZ19" s="49"/>
      <c r="PA19" s="49"/>
      <c r="PB19" s="49"/>
      <c r="PC19" s="49"/>
      <c r="PD19" s="49"/>
      <c r="PE19" s="49"/>
      <c r="PF19" s="49"/>
      <c r="PG19" s="49"/>
      <c r="PH19" s="49"/>
      <c r="PI19" s="49"/>
      <c r="PJ19" s="49"/>
      <c r="PK19" s="49"/>
      <c r="PL19" s="49"/>
      <c r="PM19" s="49"/>
      <c r="PN19" s="49"/>
      <c r="PO19" s="49"/>
      <c r="PP19" s="49"/>
      <c r="PQ19" s="49"/>
      <c r="PR19" s="49"/>
      <c r="PS19" s="49"/>
      <c r="PT19" s="49"/>
      <c r="PU19" s="49"/>
      <c r="PV19" s="49"/>
      <c r="PW19" s="49"/>
      <c r="PX19" s="49"/>
      <c r="PY19" s="49"/>
      <c r="PZ19" s="49"/>
      <c r="QA19" s="49"/>
      <c r="QB19" s="49"/>
      <c r="QC19" s="49"/>
      <c r="QD19" s="49"/>
      <c r="QE19" s="49"/>
      <c r="QF19" s="49"/>
      <c r="QG19" s="49"/>
      <c r="QH19" s="49"/>
      <c r="QI19" s="49"/>
      <c r="QJ19" s="49"/>
      <c r="QK19" s="49"/>
      <c r="QL19" s="49"/>
      <c r="QM19" s="49"/>
      <c r="QN19" s="49"/>
      <c r="QO19" s="49"/>
      <c r="QP19" s="49"/>
      <c r="QQ19" s="49"/>
      <c r="QR19" s="49"/>
      <c r="QS19" s="49"/>
      <c r="QT19" s="49"/>
      <c r="QU19" s="49"/>
      <c r="QV19" s="49"/>
      <c r="QW19" s="49"/>
      <c r="QX19" s="49"/>
      <c r="QY19" s="49"/>
      <c r="QZ19" s="49"/>
      <c r="RA19" s="49"/>
      <c r="RB19" s="49"/>
      <c r="RC19" s="49"/>
      <c r="RD19" s="49"/>
      <c r="RE19" s="49"/>
      <c r="RF19" s="49"/>
      <c r="RG19" s="49"/>
      <c r="RH19" s="49"/>
      <c r="RI19" s="49"/>
      <c r="RJ19" s="49"/>
      <c r="RK19" s="49"/>
      <c r="RL19" s="49"/>
      <c r="RM19" s="49"/>
      <c r="RN19" s="49"/>
      <c r="RO19" s="49"/>
      <c r="RP19" s="49"/>
      <c r="RQ19" s="49"/>
      <c r="RR19" s="49"/>
      <c r="RS19" s="49"/>
      <c r="RT19" s="49"/>
      <c r="RU19" s="49"/>
      <c r="RV19" s="49"/>
      <c r="RW19" s="49"/>
      <c r="RX19" s="49"/>
      <c r="RY19" s="49"/>
      <c r="RZ19" s="49"/>
      <c r="SA19" s="49"/>
      <c r="SB19" s="49"/>
      <c r="SC19" s="49"/>
      <c r="SD19" s="49"/>
      <c r="SE19" s="49"/>
      <c r="SF19" s="49"/>
      <c r="SG19" s="49"/>
      <c r="SH19" s="49"/>
      <c r="SI19" s="49"/>
      <c r="SJ19" s="49"/>
      <c r="SK19" s="49"/>
      <c r="SL19" s="49"/>
      <c r="SM19" s="49"/>
      <c r="SN19" s="49"/>
      <c r="SO19" s="49"/>
      <c r="SP19" s="49"/>
      <c r="SQ19" s="49"/>
      <c r="SR19" s="49"/>
      <c r="SS19" s="49"/>
      <c r="ST19" s="49"/>
      <c r="SU19" s="49"/>
      <c r="SV19" s="49"/>
      <c r="SW19" s="49"/>
      <c r="SX19" s="49"/>
      <c r="SY19" s="49"/>
      <c r="SZ19" s="49"/>
      <c r="TA19" s="49"/>
      <c r="TB19" s="49"/>
      <c r="TC19" s="49"/>
      <c r="TD19" s="49"/>
      <c r="TE19" s="49"/>
      <c r="TF19" s="49"/>
      <c r="TG19" s="49"/>
      <c r="TH19" s="49"/>
      <c r="TI19" s="49"/>
      <c r="TJ19" s="49"/>
      <c r="TK19" s="49"/>
      <c r="TL19" s="49"/>
      <c r="TM19" s="49"/>
      <c r="TN19" s="49"/>
      <c r="TO19" s="49"/>
      <c r="TP19" s="49"/>
      <c r="TQ19" s="49"/>
      <c r="TR19" s="49"/>
      <c r="TS19" s="49"/>
      <c r="TT19" s="49"/>
      <c r="TU19" s="49"/>
      <c r="TV19" s="49"/>
      <c r="TW19" s="49"/>
      <c r="TX19" s="49"/>
      <c r="TY19" s="49"/>
      <c r="TZ19" s="49"/>
      <c r="UA19" s="49"/>
      <c r="UB19" s="49"/>
      <c r="UC19" s="49"/>
      <c r="UD19" s="49"/>
      <c r="UE19" s="49"/>
      <c r="UF19" s="49"/>
      <c r="UG19" s="49"/>
      <c r="UH19" s="49"/>
      <c r="UI19" s="49"/>
      <c r="UJ19" s="49"/>
      <c r="UK19" s="49"/>
      <c r="UL19" s="49"/>
      <c r="UM19" s="49"/>
      <c r="UN19" s="49"/>
      <c r="UO19" s="49"/>
      <c r="UP19" s="49"/>
      <c r="UQ19" s="49"/>
      <c r="UR19" s="49"/>
      <c r="US19" s="49"/>
      <c r="UT19" s="49"/>
      <c r="UU19" s="49"/>
      <c r="UV19" s="49"/>
      <c r="UW19" s="49"/>
      <c r="UX19" s="49"/>
      <c r="UY19" s="49"/>
      <c r="UZ19" s="49"/>
      <c r="VA19" s="49"/>
      <c r="VB19" s="49"/>
      <c r="VC19" s="49"/>
      <c r="VD19" s="49"/>
      <c r="VE19" s="49"/>
      <c r="VF19" s="49"/>
      <c r="VG19" s="49"/>
      <c r="VH19" s="49"/>
      <c r="VI19" s="49"/>
      <c r="VJ19" s="49"/>
      <c r="VK19" s="49"/>
      <c r="VL19" s="49"/>
      <c r="VM19" s="49"/>
      <c r="VN19" s="49"/>
      <c r="VO19" s="49"/>
      <c r="VP19" s="49"/>
      <c r="VQ19" s="49"/>
      <c r="VR19" s="49"/>
      <c r="VS19" s="49"/>
      <c r="VT19" s="49"/>
      <c r="VU19" s="49"/>
      <c r="VV19" s="49"/>
      <c r="VW19" s="49"/>
      <c r="VX19" s="49"/>
      <c r="VY19" s="49"/>
      <c r="VZ19" s="49"/>
      <c r="WA19" s="49"/>
      <c r="WB19" s="49"/>
      <c r="WC19" s="49"/>
      <c r="WD19" s="49"/>
      <c r="WE19" s="49"/>
      <c r="WF19" s="49"/>
      <c r="WG19" s="49"/>
      <c r="WH19" s="49"/>
      <c r="WI19" s="49"/>
      <c r="WJ19" s="49"/>
      <c r="WK19" s="49"/>
      <c r="WL19" s="49"/>
      <c r="WM19" s="49"/>
      <c r="WN19" s="49"/>
      <c r="WO19" s="49"/>
      <c r="WP19" s="49"/>
      <c r="WQ19" s="49"/>
      <c r="WR19" s="49"/>
      <c r="WS19" s="49"/>
      <c r="WT19" s="49"/>
      <c r="WU19" s="49"/>
      <c r="WV19" s="49"/>
      <c r="WW19" s="49"/>
      <c r="WX19" s="49"/>
      <c r="WY19" s="49"/>
      <c r="WZ19" s="49"/>
      <c r="XA19" s="49"/>
      <c r="XB19" s="49"/>
      <c r="XC19" s="49"/>
      <c r="XD19" s="49"/>
      <c r="XE19" s="49"/>
      <c r="XF19" s="49"/>
      <c r="XG19" s="49"/>
      <c r="XH19" s="49"/>
      <c r="XI19" s="49"/>
      <c r="XJ19" s="49"/>
      <c r="XK19" s="49"/>
      <c r="XL19" s="49"/>
      <c r="XM19" s="49"/>
      <c r="XN19" s="49"/>
      <c r="XO19" s="49"/>
      <c r="XP19" s="49"/>
      <c r="XQ19" s="49"/>
      <c r="XR19" s="49"/>
      <c r="XS19" s="49"/>
      <c r="XT19" s="49"/>
      <c r="XU19" s="49"/>
      <c r="XV19" s="49"/>
      <c r="XW19" s="49"/>
      <c r="XX19" s="49"/>
      <c r="XY19" s="49"/>
      <c r="XZ19" s="49"/>
      <c r="YA19" s="49"/>
      <c r="YB19" s="49"/>
      <c r="YC19" s="49"/>
      <c r="YD19" s="49"/>
      <c r="YE19" s="49"/>
      <c r="YF19" s="49"/>
      <c r="YG19" s="49"/>
      <c r="YH19" s="49"/>
      <c r="YI19" s="49"/>
      <c r="YJ19" s="49"/>
      <c r="YK19" s="49"/>
      <c r="YL19" s="49"/>
      <c r="YM19" s="49"/>
      <c r="YN19" s="49"/>
      <c r="YO19" s="49"/>
      <c r="YP19" s="49"/>
      <c r="YQ19" s="49"/>
      <c r="YR19" s="49"/>
      <c r="YS19" s="49"/>
      <c r="YT19" s="49"/>
      <c r="YU19" s="49"/>
      <c r="YV19" s="49"/>
      <c r="YW19" s="49"/>
      <c r="YX19" s="49"/>
      <c r="YY19" s="49"/>
      <c r="YZ19" s="49"/>
      <c r="ZA19" s="49"/>
      <c r="ZB19" s="49"/>
      <c r="ZC19" s="49"/>
      <c r="ZD19" s="49"/>
      <c r="ZE19" s="49"/>
      <c r="ZF19" s="49"/>
      <c r="ZG19" s="49"/>
      <c r="ZH19" s="49"/>
      <c r="ZI19" s="49"/>
      <c r="ZJ19" s="49"/>
      <c r="ZK19" s="49"/>
      <c r="ZL19" s="49"/>
      <c r="ZM19" s="49"/>
      <c r="ZN19" s="49"/>
      <c r="ZO19" s="49"/>
      <c r="ZP19" s="49"/>
      <c r="ZQ19" s="49"/>
      <c r="ZR19" s="49"/>
      <c r="ZS19" s="49"/>
      <c r="ZT19" s="49"/>
      <c r="ZU19" s="49"/>
      <c r="ZV19" s="49"/>
      <c r="ZW19" s="49"/>
      <c r="ZX19" s="49"/>
      <c r="ZY19" s="49"/>
      <c r="ZZ19" s="49"/>
      <c r="AAA19" s="49"/>
      <c r="AAB19" s="49"/>
      <c r="AAC19" s="49"/>
      <c r="AAD19" s="49"/>
      <c r="AAE19" s="49"/>
      <c r="AAF19" s="49"/>
      <c r="AAG19" s="49"/>
      <c r="AAH19" s="49"/>
      <c r="AAI19" s="49"/>
      <c r="AAJ19" s="49"/>
      <c r="AAK19" s="49"/>
      <c r="AAL19" s="49"/>
      <c r="AAM19" s="49"/>
      <c r="AAN19" s="49"/>
      <c r="AAO19" s="49"/>
      <c r="AAP19" s="49"/>
      <c r="AAQ19" s="49"/>
      <c r="AAR19" s="49"/>
      <c r="AAS19" s="49"/>
      <c r="AAT19" s="49"/>
      <c r="AAU19" s="49"/>
      <c r="AAV19" s="49"/>
      <c r="AAW19" s="49"/>
      <c r="AAX19" s="49"/>
      <c r="AAY19" s="49"/>
      <c r="AAZ19" s="49"/>
      <c r="ABA19" s="49"/>
      <c r="ABB19" s="49"/>
      <c r="ABC19" s="49"/>
      <c r="ABD19" s="49"/>
      <c r="ABE19" s="49"/>
      <c r="ABF19" s="49"/>
      <c r="ABG19" s="49"/>
      <c r="ABH19" s="49"/>
      <c r="ABI19" s="49"/>
      <c r="ABJ19" s="49"/>
      <c r="ABK19" s="49"/>
      <c r="ABL19" s="49"/>
      <c r="ABM19" s="49"/>
      <c r="ABN19" s="49"/>
      <c r="ABO19" s="49"/>
      <c r="ABP19" s="49"/>
      <c r="ABQ19" s="49"/>
      <c r="ABR19" s="49"/>
      <c r="ABS19" s="49"/>
      <c r="ABT19" s="49"/>
      <c r="ABU19" s="49"/>
      <c r="ABV19" s="49"/>
      <c r="ABW19" s="49"/>
      <c r="ABX19" s="49"/>
      <c r="ABY19" s="49"/>
      <c r="ABZ19" s="49"/>
      <c r="ACA19" s="49"/>
      <c r="ACB19" s="49"/>
      <c r="ACC19" s="49"/>
      <c r="ACD19" s="49"/>
      <c r="ACE19" s="49"/>
      <c r="ACF19" s="49"/>
      <c r="ACG19" s="49"/>
      <c r="ACH19" s="49"/>
      <c r="ACI19" s="49"/>
      <c r="ACJ19" s="49"/>
      <c r="ACK19" s="49"/>
      <c r="ACL19" s="49"/>
      <c r="ACM19" s="49"/>
      <c r="ACN19" s="49"/>
      <c r="ACO19" s="49"/>
      <c r="ACP19" s="49"/>
      <c r="ACQ19" s="49"/>
      <c r="ACR19" s="49"/>
      <c r="ACS19" s="49"/>
      <c r="ACT19" s="49"/>
      <c r="ACU19" s="49"/>
      <c r="ACV19" s="49"/>
      <c r="ACW19" s="49"/>
      <c r="ACX19" s="49"/>
      <c r="ACY19" s="49"/>
      <c r="ACZ19" s="49"/>
      <c r="ADA19" s="49"/>
      <c r="ADB19" s="49"/>
      <c r="ADC19" s="49"/>
      <c r="ADD19" s="49"/>
      <c r="ADE19" s="49"/>
      <c r="ADF19" s="49"/>
      <c r="ADG19" s="49"/>
      <c r="ADH19" s="49"/>
      <c r="ADI19" s="49"/>
      <c r="ADJ19" s="49"/>
      <c r="ADK19" s="49"/>
      <c r="ADL19" s="49"/>
      <c r="ADM19" s="49"/>
      <c r="ADN19" s="49"/>
      <c r="ADO19" s="49"/>
      <c r="ADP19" s="49"/>
      <c r="ADQ19" s="49"/>
      <c r="ADR19" s="49"/>
      <c r="ADS19" s="49"/>
      <c r="ADT19" s="49"/>
      <c r="ADU19" s="49"/>
      <c r="ADV19" s="49"/>
      <c r="ADW19" s="49"/>
      <c r="ADX19" s="49"/>
      <c r="ADY19" s="49"/>
      <c r="ADZ19" s="49"/>
      <c r="AEA19" s="49"/>
      <c r="AEB19" s="49"/>
      <c r="AEC19" s="49"/>
      <c r="AED19" s="49"/>
      <c r="AEE19" s="49"/>
      <c r="AEF19" s="49"/>
      <c r="AEG19" s="49"/>
      <c r="AEH19" s="49"/>
      <c r="AEI19" s="49"/>
      <c r="AEJ19" s="49"/>
      <c r="AEK19" s="49"/>
      <c r="AEL19" s="49"/>
      <c r="AEM19" s="49"/>
      <c r="AEN19" s="49"/>
      <c r="AEO19" s="49"/>
      <c r="AEP19" s="49"/>
      <c r="AEQ19" s="49"/>
      <c r="AER19" s="49"/>
      <c r="AES19" s="49"/>
      <c r="AET19" s="49"/>
      <c r="AEU19" s="49"/>
      <c r="AEV19" s="49"/>
      <c r="AEW19" s="49"/>
      <c r="AEX19" s="49"/>
      <c r="AEY19" s="49"/>
      <c r="AEZ19" s="49"/>
      <c r="AFA19" s="49"/>
      <c r="AFB19" s="49"/>
      <c r="AFC19" s="49"/>
      <c r="AFD19" s="49"/>
      <c r="AFE19" s="49"/>
      <c r="AFF19" s="49"/>
      <c r="AFG19" s="49"/>
      <c r="AFH19" s="49"/>
      <c r="AFI19" s="49"/>
      <c r="AFJ19" s="49"/>
      <c r="AFK19" s="49"/>
      <c r="AFL19" s="49"/>
      <c r="AFM19" s="49"/>
      <c r="AFN19" s="49"/>
      <c r="AFO19" s="49"/>
      <c r="AFP19" s="49"/>
      <c r="AFQ19" s="49"/>
      <c r="AFR19" s="49"/>
      <c r="AFS19" s="49"/>
      <c r="AFT19" s="49"/>
      <c r="AFU19" s="49"/>
      <c r="AFV19" s="49"/>
      <c r="AFW19" s="49"/>
      <c r="AFX19" s="49"/>
      <c r="AFY19" s="49"/>
      <c r="AFZ19" s="49"/>
      <c r="AGA19" s="49"/>
      <c r="AGB19" s="49"/>
      <c r="AGC19" s="49"/>
      <c r="AGD19" s="49"/>
      <c r="AGE19" s="49"/>
      <c r="AGF19" s="49"/>
      <c r="AGG19" s="49"/>
      <c r="AGH19" s="49"/>
      <c r="AGI19" s="49"/>
      <c r="AGJ19" s="49"/>
      <c r="AGK19" s="49"/>
      <c r="AGL19" s="49"/>
      <c r="AGM19" s="49"/>
      <c r="AGN19" s="49"/>
      <c r="AGO19" s="49"/>
      <c r="AGP19" s="49"/>
      <c r="AGQ19" s="49"/>
      <c r="AGR19" s="49"/>
      <c r="AGS19" s="49"/>
      <c r="AGT19" s="49"/>
      <c r="AGU19" s="49"/>
      <c r="AGV19" s="49"/>
      <c r="AGW19" s="49"/>
      <c r="AGX19" s="49"/>
      <c r="AGY19" s="49"/>
      <c r="AGZ19" s="49"/>
      <c r="AHA19" s="49"/>
      <c r="AHB19" s="49"/>
      <c r="AHC19" s="49"/>
      <c r="AHD19" s="49"/>
      <c r="AHE19" s="49"/>
      <c r="AHF19" s="49"/>
      <c r="AHG19" s="49"/>
      <c r="AHH19" s="49"/>
      <c r="AHI19" s="49"/>
      <c r="AHJ19" s="49"/>
      <c r="AHK19" s="49"/>
      <c r="AHL19" s="49"/>
      <c r="AHM19" s="49"/>
      <c r="AHN19" s="49"/>
      <c r="AHO19" s="49"/>
      <c r="AHP19" s="49"/>
      <c r="AHQ19" s="49"/>
      <c r="AHR19" s="49"/>
      <c r="AHS19" s="49"/>
      <c r="AHT19" s="49"/>
      <c r="AHU19" s="49"/>
      <c r="AHV19" s="49"/>
      <c r="AHW19" s="49"/>
      <c r="AHX19" s="49"/>
      <c r="AHY19" s="49"/>
      <c r="AHZ19" s="49"/>
      <c r="AIA19" s="49"/>
      <c r="AIB19" s="49"/>
      <c r="AIC19" s="49"/>
      <c r="AID19" s="49"/>
      <c r="AIE19" s="49"/>
      <c r="AIF19" s="49"/>
      <c r="AIG19" s="49"/>
      <c r="AIH19" s="49"/>
      <c r="AII19" s="49"/>
      <c r="AIJ19" s="49"/>
      <c r="AIK19" s="49"/>
      <c r="AIL19" s="49"/>
      <c r="AIM19" s="49"/>
      <c r="AIN19" s="49"/>
      <c r="AIO19" s="49"/>
      <c r="AIP19" s="49"/>
      <c r="AIQ19" s="49"/>
      <c r="AIR19" s="49"/>
      <c r="AIS19" s="49"/>
      <c r="AIT19" s="49"/>
      <c r="AIU19" s="49"/>
      <c r="AIV19" s="49"/>
      <c r="AIW19" s="49"/>
      <c r="AIX19" s="49"/>
      <c r="AIY19" s="49"/>
      <c r="AIZ19" s="49"/>
      <c r="AJA19" s="49"/>
      <c r="AJB19" s="49"/>
      <c r="AJC19" s="49"/>
      <c r="AJD19" s="49"/>
      <c r="AJE19" s="49"/>
      <c r="AJF19" s="49"/>
      <c r="AJG19" s="49"/>
      <c r="AJH19" s="49"/>
      <c r="AJI19" s="49"/>
      <c r="AJJ19" s="49"/>
      <c r="AJK19" s="49"/>
      <c r="AJL19" s="49"/>
      <c r="AJM19" s="49"/>
      <c r="AJN19" s="49"/>
      <c r="AJO19" s="49"/>
      <c r="AJP19" s="49"/>
      <c r="AJQ19" s="49"/>
      <c r="AJR19" s="49"/>
      <c r="AJS19" s="49"/>
      <c r="AJT19" s="49"/>
      <c r="AJU19" s="49"/>
      <c r="AJV19" s="49"/>
      <c r="AJW19" s="49"/>
      <c r="AJX19" s="49"/>
      <c r="AJY19" s="49"/>
      <c r="AJZ19" s="49"/>
      <c r="AKA19" s="49"/>
      <c r="AKB19" s="49"/>
      <c r="AKC19" s="49"/>
      <c r="AKD19" s="49"/>
      <c r="AKE19" s="49"/>
      <c r="AKF19" s="49"/>
      <c r="AKG19" s="49"/>
      <c r="AKH19" s="49"/>
      <c r="AKI19" s="49"/>
      <c r="AKJ19" s="49"/>
      <c r="AKK19" s="49"/>
      <c r="AKL19" s="49"/>
      <c r="AKM19" s="49"/>
      <c r="AKN19" s="49"/>
      <c r="AKO19" s="49"/>
      <c r="AKP19" s="49"/>
      <c r="AKQ19" s="49"/>
      <c r="AKR19" s="49"/>
      <c r="AKS19" s="49"/>
      <c r="AKT19" s="49"/>
      <c r="AKU19" s="49"/>
      <c r="AKV19" s="49"/>
      <c r="AKW19" s="49"/>
      <c r="AKX19" s="49"/>
      <c r="AKY19" s="49"/>
      <c r="AKZ19" s="49"/>
      <c r="ALA19" s="49"/>
      <c r="ALB19" s="49"/>
      <c r="ALC19" s="49"/>
      <c r="ALD19" s="49"/>
      <c r="ALE19" s="49"/>
      <c r="ALF19" s="49"/>
      <c r="ALG19" s="49"/>
      <c r="ALH19" s="49"/>
      <c r="ALI19" s="49"/>
      <c r="ALJ19" s="49"/>
      <c r="ALK19" s="49"/>
      <c r="ALL19" s="49"/>
      <c r="ALM19" s="49"/>
      <c r="ALN19" s="49"/>
      <c r="ALO19" s="49"/>
      <c r="ALP19" s="49"/>
      <c r="ALQ19" s="49"/>
      <c r="ALR19" s="49"/>
      <c r="ALS19" s="49"/>
      <c r="ALT19" s="49"/>
      <c r="ALU19" s="49"/>
      <c r="ALV19" s="49"/>
      <c r="ALW19" s="49"/>
      <c r="ALX19" s="49"/>
      <c r="ALY19" s="49"/>
      <c r="ALZ19" s="49"/>
      <c r="AMA19" s="49"/>
      <c r="AMB19" s="49"/>
      <c r="AMC19" s="49"/>
      <c r="AMD19" s="49"/>
      <c r="AME19" s="49"/>
      <c r="AMF19" s="49"/>
      <c r="AMG19" s="49"/>
      <c r="AMH19" s="49"/>
      <c r="AMI19" s="49"/>
      <c r="AMJ19" s="49"/>
      <c r="AMK19" s="49"/>
      <c r="AML19" s="49"/>
      <c r="AMM19" s="49"/>
      <c r="AMN19" s="49"/>
      <c r="AMO19" s="49"/>
      <c r="AMP19" s="49"/>
      <c r="AMQ19" s="49"/>
      <c r="AMR19" s="49"/>
      <c r="AMS19" s="49"/>
      <c r="AMT19" s="49"/>
      <c r="AMU19" s="49"/>
      <c r="AMV19" s="49"/>
      <c r="AMW19" s="49"/>
      <c r="AMX19" s="49"/>
      <c r="AMY19" s="49"/>
      <c r="AMZ19" s="49"/>
      <c r="ANA19" s="49"/>
      <c r="ANB19" s="49"/>
      <c r="ANC19" s="49"/>
      <c r="AND19" s="49"/>
      <c r="ANE19" s="49"/>
      <c r="ANF19" s="49"/>
      <c r="ANG19" s="49"/>
      <c r="ANH19" s="49"/>
      <c r="ANI19" s="49"/>
      <c r="ANJ19" s="49"/>
      <c r="ANK19" s="49"/>
      <c r="ANL19" s="49"/>
      <c r="ANM19" s="49"/>
      <c r="ANN19" s="49"/>
      <c r="ANO19" s="49"/>
      <c r="ANP19" s="49"/>
      <c r="ANQ19" s="49"/>
      <c r="ANR19" s="49"/>
      <c r="ANS19" s="49"/>
      <c r="ANT19" s="49"/>
      <c r="ANU19" s="49"/>
      <c r="ANV19" s="49"/>
      <c r="ANW19" s="49"/>
      <c r="ANX19" s="49"/>
      <c r="ANY19" s="49"/>
      <c r="ANZ19" s="49"/>
      <c r="AOA19" s="49"/>
      <c r="AOB19" s="49"/>
      <c r="AOC19" s="49"/>
      <c r="AOD19" s="49"/>
      <c r="AOE19" s="49"/>
      <c r="AOF19" s="49"/>
      <c r="AOG19" s="49"/>
      <c r="AOH19" s="49"/>
      <c r="AOI19" s="49"/>
      <c r="AOJ19" s="49"/>
      <c r="AOK19" s="49"/>
      <c r="AOL19" s="49"/>
      <c r="AOM19" s="49"/>
      <c r="AON19" s="49"/>
      <c r="AOO19" s="49"/>
      <c r="AOP19" s="49"/>
      <c r="AOQ19" s="49"/>
      <c r="AOR19" s="49"/>
      <c r="AOS19" s="49"/>
      <c r="AOT19" s="49"/>
      <c r="AOU19" s="49"/>
      <c r="AOV19" s="49"/>
      <c r="AOW19" s="49"/>
      <c r="AOX19" s="49"/>
      <c r="AOY19" s="49"/>
      <c r="AOZ19" s="49"/>
      <c r="APA19" s="49"/>
      <c r="APB19" s="49"/>
      <c r="APC19" s="49"/>
      <c r="APD19" s="49"/>
      <c r="APE19" s="49"/>
      <c r="APF19" s="49"/>
      <c r="APG19" s="49"/>
      <c r="APH19" s="49"/>
      <c r="API19" s="49"/>
      <c r="APJ19" s="49"/>
      <c r="APK19" s="49"/>
      <c r="APL19" s="49"/>
      <c r="APM19" s="49"/>
      <c r="APN19" s="49"/>
      <c r="APO19" s="49"/>
      <c r="APP19" s="49"/>
      <c r="APQ19" s="49"/>
      <c r="APR19" s="49"/>
      <c r="APS19" s="49"/>
      <c r="APT19" s="49"/>
      <c r="APU19" s="49"/>
      <c r="APV19" s="49"/>
      <c r="APW19" s="49"/>
      <c r="APX19" s="49"/>
      <c r="APY19" s="49"/>
      <c r="APZ19" s="49"/>
      <c r="AQA19" s="49"/>
      <c r="AQB19" s="49"/>
      <c r="AQC19" s="49"/>
      <c r="AQD19" s="49"/>
      <c r="AQE19" s="49"/>
      <c r="AQF19" s="49"/>
      <c r="AQG19" s="49"/>
      <c r="AQH19" s="49"/>
      <c r="AQI19" s="49"/>
      <c r="AQJ19" s="49"/>
      <c r="AQK19" s="49"/>
      <c r="AQL19" s="49"/>
      <c r="AQM19" s="49"/>
      <c r="AQN19" s="49"/>
      <c r="AQO19" s="49"/>
      <c r="AQP19" s="49"/>
      <c r="AQQ19" s="49"/>
      <c r="AQR19" s="49"/>
      <c r="AQS19" s="49"/>
      <c r="AQT19" s="49"/>
      <c r="AQU19" s="49"/>
      <c r="AQV19" s="49"/>
      <c r="AQW19" s="49"/>
      <c r="AQX19" s="49"/>
      <c r="AQY19" s="49"/>
      <c r="AQZ19" s="49"/>
      <c r="ARA19" s="49"/>
      <c r="ARB19" s="49"/>
      <c r="ARC19" s="49"/>
      <c r="ARD19" s="49"/>
      <c r="ARE19" s="49"/>
      <c r="ARF19" s="49"/>
      <c r="ARG19" s="49"/>
      <c r="ARH19" s="49"/>
      <c r="ARI19" s="49"/>
      <c r="ARJ19" s="49"/>
      <c r="ARK19" s="49"/>
      <c r="ARL19" s="49"/>
      <c r="ARM19" s="49"/>
      <c r="ARN19" s="49"/>
      <c r="ARO19" s="49"/>
      <c r="ARP19" s="49"/>
      <c r="ARQ19" s="49"/>
      <c r="ARR19" s="49"/>
      <c r="ARS19" s="49"/>
      <c r="ART19" s="49"/>
      <c r="ARU19" s="49"/>
      <c r="ARV19" s="49"/>
      <c r="ARW19" s="49"/>
      <c r="ARX19" s="49"/>
      <c r="ARY19" s="49"/>
      <c r="ARZ19" s="49"/>
      <c r="ASA19" s="49"/>
      <c r="ASB19" s="49"/>
      <c r="ASC19" s="49"/>
      <c r="ASD19" s="49"/>
      <c r="ASE19" s="49"/>
      <c r="ASF19" s="49"/>
      <c r="ASG19" s="49"/>
      <c r="ASH19" s="49"/>
      <c r="ASI19" s="49"/>
      <c r="ASJ19" s="49"/>
      <c r="ASK19" s="49"/>
      <c r="ASL19" s="49"/>
      <c r="ASM19" s="49"/>
      <c r="ASN19" s="49"/>
      <c r="ASO19" s="49"/>
      <c r="ASP19" s="49"/>
      <c r="ASQ19" s="49"/>
      <c r="ASR19" s="49"/>
      <c r="ASS19" s="49"/>
      <c r="AST19" s="49"/>
      <c r="ASU19" s="49"/>
      <c r="ASV19" s="49"/>
      <c r="ASW19" s="49"/>
      <c r="ASX19" s="49"/>
      <c r="ASY19" s="49"/>
      <c r="ASZ19" s="49"/>
      <c r="ATA19" s="49"/>
      <c r="ATB19" s="49"/>
      <c r="ATC19" s="49"/>
      <c r="ATD19" s="49"/>
      <c r="ATE19" s="49"/>
      <c r="ATF19" s="49"/>
      <c r="ATG19" s="49"/>
      <c r="ATH19" s="49"/>
      <c r="ATI19" s="49"/>
      <c r="ATJ19" s="49"/>
      <c r="ATK19" s="49"/>
      <c r="ATL19" s="49"/>
      <c r="ATM19" s="49"/>
      <c r="ATN19" s="49"/>
      <c r="ATO19" s="49"/>
      <c r="ATP19" s="49"/>
      <c r="ATQ19" s="49"/>
      <c r="ATR19" s="49"/>
      <c r="ATS19" s="49"/>
      <c r="ATT19" s="49"/>
      <c r="ATU19" s="49"/>
      <c r="ATV19" s="49"/>
      <c r="ATW19" s="49"/>
      <c r="ATX19" s="49"/>
      <c r="ATY19" s="49"/>
      <c r="ATZ19" s="49"/>
      <c r="AUA19" s="49"/>
      <c r="AUB19" s="49"/>
      <c r="AUC19" s="49"/>
      <c r="AUD19" s="49"/>
      <c r="AUE19" s="49"/>
      <c r="AUF19" s="49"/>
      <c r="AUG19" s="49"/>
      <c r="AUH19" s="49"/>
      <c r="AUI19" s="49"/>
      <c r="AUJ19" s="49"/>
      <c r="AUK19" s="49"/>
      <c r="AUL19" s="49"/>
      <c r="AUM19" s="49"/>
      <c r="AUN19" s="49"/>
      <c r="AUO19" s="49"/>
      <c r="AUP19" s="49"/>
      <c r="AUQ19" s="49"/>
      <c r="AUR19" s="49"/>
      <c r="AUS19" s="49"/>
      <c r="AUT19" s="49"/>
      <c r="AUU19" s="49"/>
      <c r="AUV19" s="49"/>
      <c r="AUW19" s="49"/>
      <c r="AUX19" s="49"/>
      <c r="AUY19" s="49"/>
      <c r="AUZ19" s="49"/>
      <c r="AVA19" s="49"/>
      <c r="AVB19" s="49"/>
      <c r="AVC19" s="49"/>
      <c r="AVD19" s="49"/>
      <c r="AVE19" s="49"/>
      <c r="AVF19" s="49"/>
      <c r="AVG19" s="49"/>
      <c r="AVH19" s="49"/>
      <c r="AVI19" s="49"/>
      <c r="AVJ19" s="49"/>
      <c r="AVK19" s="49"/>
      <c r="AVL19" s="49"/>
      <c r="AVM19" s="49"/>
      <c r="AVN19" s="49"/>
      <c r="AVO19" s="49"/>
      <c r="AVP19" s="49"/>
      <c r="AVQ19" s="49"/>
      <c r="AVR19" s="49"/>
      <c r="AVS19" s="49"/>
      <c r="AVT19" s="49"/>
      <c r="AVU19" s="49"/>
      <c r="AVV19" s="49"/>
      <c r="AVW19" s="49"/>
      <c r="AVX19" s="49"/>
      <c r="AVY19" s="49"/>
      <c r="AVZ19" s="49"/>
      <c r="AWA19" s="49"/>
      <c r="AWB19" s="49"/>
      <c r="AWC19" s="49"/>
      <c r="AWD19" s="49"/>
      <c r="AWE19" s="49"/>
      <c r="AWF19" s="49"/>
      <c r="AWG19" s="49"/>
      <c r="AWH19" s="49"/>
      <c r="AWI19" s="49"/>
      <c r="AWJ19" s="49"/>
      <c r="AWK19" s="49"/>
      <c r="AWL19" s="49"/>
      <c r="AWM19" s="49"/>
      <c r="AWN19" s="49"/>
      <c r="AWO19" s="49"/>
      <c r="AWP19" s="49"/>
      <c r="AWQ19" s="49"/>
      <c r="AWR19" s="49"/>
      <c r="AWS19" s="49"/>
      <c r="AWT19" s="49"/>
      <c r="AWU19" s="49"/>
      <c r="AWV19" s="49"/>
      <c r="AWW19" s="49"/>
      <c r="AWX19" s="49"/>
      <c r="AWY19" s="49"/>
      <c r="AWZ19" s="49"/>
      <c r="AXA19" s="49"/>
      <c r="AXB19" s="49"/>
      <c r="AXC19" s="49"/>
      <c r="AXD19" s="49"/>
      <c r="AXE19" s="49"/>
      <c r="AXF19" s="49"/>
      <c r="AXG19" s="49"/>
      <c r="AXH19" s="49"/>
      <c r="AXI19" s="49"/>
      <c r="AXJ19" s="49"/>
      <c r="AXK19" s="49"/>
      <c r="AXL19" s="49"/>
      <c r="AXM19" s="49"/>
      <c r="AXN19" s="49"/>
      <c r="AXO19" s="49"/>
      <c r="AXP19" s="49"/>
      <c r="AXQ19" s="49"/>
      <c r="AXR19" s="49"/>
      <c r="AXS19" s="49"/>
      <c r="AXT19" s="49"/>
      <c r="AXU19" s="49"/>
      <c r="AXV19" s="49"/>
      <c r="AXW19" s="49"/>
      <c r="AXX19" s="49"/>
      <c r="AXY19" s="49"/>
      <c r="AXZ19" s="49"/>
      <c r="AYA19" s="49"/>
      <c r="AYB19" s="49"/>
      <c r="AYC19" s="49"/>
      <c r="AYD19" s="49"/>
      <c r="AYE19" s="49"/>
      <c r="AYF19" s="49"/>
      <c r="AYG19" s="49"/>
      <c r="AYH19" s="49"/>
      <c r="AYI19" s="49"/>
      <c r="AYJ19" s="49"/>
      <c r="AYK19" s="49"/>
      <c r="AYL19" s="49"/>
      <c r="AYM19" s="49"/>
      <c r="AYN19" s="49"/>
      <c r="AYO19" s="49"/>
      <c r="AYP19" s="49"/>
      <c r="AYQ19" s="49"/>
      <c r="AYR19" s="49"/>
      <c r="AYS19" s="49"/>
      <c r="AYT19" s="49"/>
      <c r="AYU19" s="49"/>
      <c r="AYV19" s="49"/>
      <c r="AYW19" s="49"/>
      <c r="AYX19" s="49"/>
      <c r="AYY19" s="49"/>
      <c r="AYZ19" s="49"/>
      <c r="AZA19" s="49"/>
      <c r="AZB19" s="49"/>
      <c r="AZC19" s="49"/>
      <c r="AZD19" s="49"/>
      <c r="AZE19" s="49"/>
      <c r="AZF19" s="49"/>
      <c r="AZG19" s="49"/>
      <c r="AZH19" s="49"/>
      <c r="AZI19" s="49"/>
      <c r="AZJ19" s="49"/>
      <c r="AZK19" s="49"/>
      <c r="AZL19" s="49"/>
      <c r="AZM19" s="49"/>
      <c r="AZN19" s="49"/>
      <c r="AZO19" s="49"/>
      <c r="AZP19" s="49"/>
      <c r="AZQ19" s="49"/>
      <c r="AZR19" s="49"/>
      <c r="AZS19" s="49"/>
      <c r="AZT19" s="49"/>
      <c r="AZU19" s="49"/>
      <c r="AZV19" s="49"/>
      <c r="AZW19" s="49"/>
      <c r="AZX19" s="49"/>
      <c r="AZY19" s="49"/>
      <c r="AZZ19" s="49"/>
      <c r="BAA19" s="49"/>
      <c r="BAB19" s="49"/>
      <c r="BAC19" s="49"/>
      <c r="BAD19" s="49"/>
      <c r="BAE19" s="49"/>
      <c r="BAF19" s="49"/>
      <c r="BAG19" s="49"/>
      <c r="BAH19" s="49"/>
      <c r="BAI19" s="49"/>
      <c r="BAJ19" s="49"/>
      <c r="BAK19" s="49"/>
      <c r="BAL19" s="49"/>
      <c r="BAM19" s="49"/>
      <c r="BAN19" s="49"/>
      <c r="BAO19" s="49"/>
      <c r="BAP19" s="49"/>
      <c r="BAQ19" s="49"/>
      <c r="BAR19" s="49"/>
      <c r="BAS19" s="49"/>
      <c r="BAT19" s="49"/>
      <c r="BAU19" s="49"/>
      <c r="BAV19" s="49"/>
      <c r="BAW19" s="49"/>
      <c r="BAX19" s="49"/>
      <c r="BAY19" s="49"/>
      <c r="BAZ19" s="49"/>
      <c r="BBA19" s="49"/>
      <c r="BBB19" s="49"/>
      <c r="BBC19" s="49"/>
      <c r="BBD19" s="49"/>
      <c r="BBE19" s="49"/>
      <c r="BBF19" s="49"/>
      <c r="BBG19" s="49"/>
      <c r="BBH19" s="49"/>
      <c r="BBI19" s="49"/>
      <c r="BBJ19" s="49"/>
      <c r="BBK19" s="49"/>
      <c r="BBL19" s="49"/>
      <c r="BBM19" s="49"/>
      <c r="BBN19" s="49"/>
      <c r="BBO19" s="49"/>
      <c r="BBP19" s="49"/>
      <c r="BBQ19" s="49"/>
      <c r="BBR19" s="49"/>
      <c r="BBS19" s="49"/>
      <c r="BBT19" s="49"/>
      <c r="BBU19" s="49"/>
      <c r="BBV19" s="49"/>
      <c r="BBW19" s="49"/>
      <c r="BBX19" s="49"/>
      <c r="BBY19" s="49"/>
      <c r="BBZ19" s="49"/>
      <c r="BCA19" s="49"/>
      <c r="BCB19" s="49"/>
      <c r="BCC19" s="49"/>
      <c r="BCD19" s="49"/>
      <c r="BCE19" s="49"/>
      <c r="BCF19" s="49"/>
      <c r="BCG19" s="49"/>
      <c r="BCH19" s="49"/>
      <c r="BCI19" s="49"/>
      <c r="BCJ19" s="49"/>
      <c r="BCK19" s="49"/>
      <c r="BCL19" s="49"/>
      <c r="BCM19" s="49"/>
      <c r="BCN19" s="49"/>
    </row>
    <row r="20" spans="1:1444" s="47" customFormat="1">
      <c r="A20" s="52"/>
      <c r="B20" s="94">
        <v>45763</v>
      </c>
      <c r="C20" s="94" t="s">
        <v>194</v>
      </c>
      <c r="D20" s="95">
        <v>60</v>
      </c>
      <c r="E20" s="95">
        <v>108.91499999997905</v>
      </c>
      <c r="F20" s="95">
        <v>0</v>
      </c>
      <c r="G20" s="95">
        <v>79.599999999998545</v>
      </c>
      <c r="H20" s="95">
        <v>22</v>
      </c>
      <c r="I20" s="95">
        <v>38</v>
      </c>
      <c r="J20" s="95">
        <v>1089.25</v>
      </c>
      <c r="K20" s="95">
        <v>1497.1153999997173</v>
      </c>
      <c r="L20" s="95">
        <v>0</v>
      </c>
      <c r="M20" s="155">
        <v>0</v>
      </c>
      <c r="N20" s="141">
        <f>'units overall'!O20</f>
        <v>2907.8803999996949</v>
      </c>
      <c r="O20" s="231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P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F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V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L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  <c r="FZ20" s="49"/>
      <c r="GA20" s="49"/>
      <c r="GB20" s="49"/>
      <c r="GC20" s="49"/>
      <c r="GD20" s="49"/>
      <c r="GE20" s="49"/>
      <c r="GF20" s="49"/>
      <c r="GG20" s="49"/>
      <c r="GH20" s="49"/>
      <c r="GI20" s="49"/>
      <c r="GJ20" s="49"/>
      <c r="GK20" s="49"/>
      <c r="GL20" s="49"/>
      <c r="GM20" s="49"/>
      <c r="GN20" s="49"/>
      <c r="GO20" s="49"/>
      <c r="GP20" s="49"/>
      <c r="GQ20" s="49"/>
      <c r="GR20" s="49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H20" s="49"/>
      <c r="HI20" s="49"/>
      <c r="HJ20" s="49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X20" s="49"/>
      <c r="HY20" s="49"/>
      <c r="HZ20" s="49"/>
      <c r="IA20" s="49"/>
      <c r="IB20" s="49"/>
      <c r="IC20" s="49"/>
      <c r="ID20" s="49"/>
      <c r="IE20" s="49"/>
      <c r="IF20" s="49"/>
      <c r="IG20" s="49"/>
      <c r="IH20" s="49"/>
      <c r="II20" s="49"/>
      <c r="IJ20" s="49"/>
      <c r="IK20" s="49"/>
      <c r="IL20" s="49"/>
      <c r="IM20" s="49"/>
      <c r="IN20" s="49"/>
      <c r="IO20" s="49"/>
      <c r="IP20" s="49"/>
      <c r="IQ20" s="49"/>
      <c r="IR20" s="49"/>
      <c r="IS20" s="49"/>
      <c r="IT20" s="49"/>
      <c r="IU20" s="49"/>
      <c r="IV20" s="49"/>
      <c r="IW20" s="49"/>
      <c r="IX20" s="49"/>
      <c r="IY20" s="49"/>
      <c r="IZ20" s="49"/>
      <c r="JA20" s="49"/>
      <c r="JB20" s="49"/>
      <c r="JC20" s="49"/>
      <c r="JD20" s="49"/>
      <c r="JE20" s="49"/>
      <c r="JF20" s="49"/>
      <c r="JG20" s="49"/>
      <c r="JH20" s="49"/>
      <c r="JI20" s="49"/>
      <c r="JJ20" s="49"/>
      <c r="JK20" s="49"/>
      <c r="JL20" s="49"/>
      <c r="JM20" s="49"/>
      <c r="JN20" s="49"/>
      <c r="JO20" s="49"/>
      <c r="JP20" s="49"/>
      <c r="JQ20" s="49"/>
      <c r="JR20" s="49"/>
      <c r="JS20" s="49"/>
      <c r="JT20" s="49"/>
      <c r="JU20" s="49"/>
      <c r="JV20" s="49"/>
      <c r="JW20" s="49"/>
      <c r="JX20" s="49"/>
      <c r="JY20" s="49"/>
      <c r="JZ20" s="49"/>
      <c r="KA20" s="49"/>
      <c r="KB20" s="49"/>
      <c r="KC20" s="49"/>
      <c r="KD20" s="49"/>
      <c r="KE20" s="49"/>
      <c r="KF20" s="49"/>
      <c r="KG20" s="49"/>
      <c r="KH20" s="49"/>
      <c r="KI20" s="49"/>
      <c r="KJ20" s="49"/>
      <c r="KK20" s="49"/>
      <c r="KL20" s="49"/>
      <c r="KM20" s="49"/>
      <c r="KN20" s="49"/>
      <c r="KO20" s="49"/>
      <c r="KP20" s="49"/>
      <c r="KQ20" s="49"/>
      <c r="KR20" s="49"/>
      <c r="KS20" s="49"/>
      <c r="KT20" s="49"/>
      <c r="KU20" s="49"/>
      <c r="KV20" s="49"/>
      <c r="KW20" s="49"/>
      <c r="KX20" s="49"/>
      <c r="KY20" s="49"/>
      <c r="KZ20" s="49"/>
      <c r="LA20" s="49"/>
      <c r="LB20" s="49"/>
      <c r="LC20" s="49"/>
      <c r="LD20" s="49"/>
      <c r="LE20" s="49"/>
      <c r="LF20" s="49"/>
      <c r="LG20" s="49"/>
      <c r="LH20" s="49"/>
      <c r="LI20" s="49"/>
      <c r="LJ20" s="49"/>
      <c r="LK20" s="49"/>
      <c r="LL20" s="49"/>
      <c r="LM20" s="49"/>
      <c r="LN20" s="49"/>
      <c r="LO20" s="49"/>
      <c r="LP20" s="49"/>
      <c r="LQ20" s="49"/>
      <c r="LR20" s="49"/>
      <c r="LS20" s="49"/>
      <c r="LT20" s="49"/>
      <c r="LU20" s="49"/>
      <c r="LV20" s="49"/>
      <c r="LW20" s="49"/>
      <c r="LX20" s="49"/>
      <c r="LY20" s="49"/>
      <c r="LZ20" s="49"/>
      <c r="MA20" s="49"/>
      <c r="MB20" s="49"/>
      <c r="MC20" s="49"/>
      <c r="MD20" s="49"/>
      <c r="ME20" s="49"/>
      <c r="MF20" s="49"/>
      <c r="MG20" s="49"/>
      <c r="MH20" s="49"/>
      <c r="MI20" s="49"/>
      <c r="MJ20" s="49"/>
      <c r="MK20" s="49"/>
      <c r="ML20" s="49"/>
      <c r="MM20" s="49"/>
      <c r="MN20" s="49"/>
      <c r="MO20" s="49"/>
      <c r="MP20" s="49"/>
      <c r="MQ20" s="49"/>
      <c r="MR20" s="49"/>
      <c r="MS20" s="49"/>
      <c r="MT20" s="49"/>
      <c r="MU20" s="49"/>
      <c r="MV20" s="49"/>
      <c r="MW20" s="49"/>
      <c r="MX20" s="49"/>
      <c r="MY20" s="49"/>
      <c r="MZ20" s="49"/>
      <c r="NA20" s="49"/>
      <c r="NB20" s="49"/>
      <c r="NC20" s="49"/>
      <c r="ND20" s="49"/>
      <c r="NE20" s="49"/>
      <c r="NF20" s="49"/>
      <c r="NG20" s="49"/>
      <c r="NH20" s="49"/>
      <c r="NI20" s="49"/>
      <c r="NJ20" s="49"/>
      <c r="NK20" s="49"/>
      <c r="NL20" s="49"/>
      <c r="NM20" s="49"/>
      <c r="NN20" s="49"/>
      <c r="NO20" s="49"/>
      <c r="NP20" s="49"/>
      <c r="NQ20" s="49"/>
      <c r="NR20" s="49"/>
      <c r="NS20" s="49"/>
      <c r="NT20" s="49"/>
      <c r="NU20" s="49"/>
      <c r="NV20" s="49"/>
      <c r="NW20" s="49"/>
      <c r="NX20" s="49"/>
      <c r="NY20" s="49"/>
      <c r="NZ20" s="49"/>
      <c r="OA20" s="49"/>
      <c r="OB20" s="49"/>
      <c r="OC20" s="49"/>
      <c r="OD20" s="49"/>
      <c r="OE20" s="49"/>
      <c r="OF20" s="49"/>
      <c r="OG20" s="49"/>
      <c r="OH20" s="49"/>
      <c r="OI20" s="49"/>
      <c r="OJ20" s="49"/>
      <c r="OK20" s="49"/>
      <c r="OL20" s="49"/>
      <c r="OM20" s="49"/>
      <c r="ON20" s="49"/>
      <c r="OO20" s="49"/>
      <c r="OP20" s="49"/>
      <c r="OQ20" s="49"/>
      <c r="OR20" s="49"/>
      <c r="OS20" s="49"/>
      <c r="OT20" s="49"/>
      <c r="OU20" s="49"/>
      <c r="OV20" s="49"/>
      <c r="OW20" s="49"/>
      <c r="OX20" s="49"/>
      <c r="OY20" s="49"/>
      <c r="OZ20" s="49"/>
      <c r="PA20" s="49"/>
      <c r="PB20" s="49"/>
      <c r="PC20" s="49"/>
      <c r="PD20" s="49"/>
      <c r="PE20" s="49"/>
      <c r="PF20" s="49"/>
      <c r="PG20" s="49"/>
      <c r="PH20" s="49"/>
      <c r="PI20" s="49"/>
      <c r="PJ20" s="49"/>
      <c r="PK20" s="49"/>
      <c r="PL20" s="49"/>
      <c r="PM20" s="49"/>
      <c r="PN20" s="49"/>
      <c r="PO20" s="49"/>
      <c r="PP20" s="49"/>
      <c r="PQ20" s="49"/>
      <c r="PR20" s="49"/>
      <c r="PS20" s="49"/>
      <c r="PT20" s="49"/>
      <c r="PU20" s="49"/>
      <c r="PV20" s="49"/>
      <c r="PW20" s="49"/>
      <c r="PX20" s="49"/>
      <c r="PY20" s="49"/>
      <c r="PZ20" s="49"/>
      <c r="QA20" s="49"/>
      <c r="QB20" s="49"/>
      <c r="QC20" s="49"/>
      <c r="QD20" s="49"/>
      <c r="QE20" s="49"/>
      <c r="QF20" s="49"/>
      <c r="QG20" s="49"/>
      <c r="QH20" s="49"/>
      <c r="QI20" s="49"/>
      <c r="QJ20" s="49"/>
      <c r="QK20" s="49"/>
      <c r="QL20" s="49"/>
      <c r="QM20" s="49"/>
      <c r="QN20" s="49"/>
      <c r="QO20" s="49"/>
      <c r="QP20" s="49"/>
      <c r="QQ20" s="49"/>
      <c r="QR20" s="49"/>
      <c r="QS20" s="49"/>
      <c r="QT20" s="49"/>
      <c r="QU20" s="49"/>
      <c r="QV20" s="49"/>
      <c r="QW20" s="49"/>
      <c r="QX20" s="49"/>
      <c r="QY20" s="49"/>
      <c r="QZ20" s="49"/>
      <c r="RA20" s="49"/>
      <c r="RB20" s="49"/>
      <c r="RC20" s="49"/>
      <c r="RD20" s="49"/>
      <c r="RE20" s="49"/>
      <c r="RF20" s="49"/>
      <c r="RG20" s="49"/>
      <c r="RH20" s="49"/>
      <c r="RI20" s="49"/>
      <c r="RJ20" s="49"/>
      <c r="RK20" s="49"/>
      <c r="RL20" s="49"/>
      <c r="RM20" s="49"/>
      <c r="RN20" s="49"/>
      <c r="RO20" s="49"/>
      <c r="RP20" s="49"/>
      <c r="RQ20" s="49"/>
      <c r="RR20" s="49"/>
      <c r="RS20" s="49"/>
      <c r="RT20" s="49"/>
      <c r="RU20" s="49"/>
      <c r="RV20" s="49"/>
      <c r="RW20" s="49"/>
      <c r="RX20" s="49"/>
      <c r="RY20" s="49"/>
      <c r="RZ20" s="49"/>
      <c r="SA20" s="49"/>
      <c r="SB20" s="49"/>
      <c r="SC20" s="49"/>
      <c r="SD20" s="49"/>
      <c r="SE20" s="49"/>
      <c r="SF20" s="49"/>
      <c r="SG20" s="49"/>
      <c r="SH20" s="49"/>
      <c r="SI20" s="49"/>
      <c r="SJ20" s="49"/>
      <c r="SK20" s="49"/>
      <c r="SL20" s="49"/>
      <c r="SM20" s="49"/>
      <c r="SN20" s="49"/>
      <c r="SO20" s="49"/>
      <c r="SP20" s="49"/>
      <c r="SQ20" s="49"/>
      <c r="SR20" s="49"/>
      <c r="SS20" s="49"/>
      <c r="ST20" s="49"/>
      <c r="SU20" s="49"/>
      <c r="SV20" s="49"/>
      <c r="SW20" s="49"/>
      <c r="SX20" s="49"/>
      <c r="SY20" s="49"/>
      <c r="SZ20" s="49"/>
      <c r="TA20" s="49"/>
      <c r="TB20" s="49"/>
      <c r="TC20" s="49"/>
      <c r="TD20" s="49"/>
      <c r="TE20" s="49"/>
      <c r="TF20" s="49"/>
      <c r="TG20" s="49"/>
      <c r="TH20" s="49"/>
      <c r="TI20" s="49"/>
      <c r="TJ20" s="49"/>
      <c r="TK20" s="49"/>
      <c r="TL20" s="49"/>
      <c r="TM20" s="49"/>
      <c r="TN20" s="49"/>
      <c r="TO20" s="49"/>
      <c r="TP20" s="49"/>
      <c r="TQ20" s="49"/>
      <c r="TR20" s="49"/>
      <c r="TS20" s="49"/>
      <c r="TT20" s="49"/>
      <c r="TU20" s="49"/>
      <c r="TV20" s="49"/>
      <c r="TW20" s="49"/>
      <c r="TX20" s="49"/>
      <c r="TY20" s="49"/>
      <c r="TZ20" s="49"/>
      <c r="UA20" s="49"/>
      <c r="UB20" s="49"/>
      <c r="UC20" s="49"/>
      <c r="UD20" s="49"/>
      <c r="UE20" s="49"/>
      <c r="UF20" s="49"/>
      <c r="UG20" s="49"/>
      <c r="UH20" s="49"/>
      <c r="UI20" s="49"/>
      <c r="UJ20" s="49"/>
      <c r="UK20" s="49"/>
      <c r="UL20" s="49"/>
      <c r="UM20" s="49"/>
      <c r="UN20" s="49"/>
      <c r="UO20" s="49"/>
      <c r="UP20" s="49"/>
      <c r="UQ20" s="49"/>
      <c r="UR20" s="49"/>
      <c r="US20" s="49"/>
      <c r="UT20" s="49"/>
      <c r="UU20" s="49"/>
      <c r="UV20" s="49"/>
      <c r="UW20" s="49"/>
      <c r="UX20" s="49"/>
      <c r="UY20" s="49"/>
      <c r="UZ20" s="49"/>
      <c r="VA20" s="49"/>
      <c r="VB20" s="49"/>
      <c r="VC20" s="49"/>
      <c r="VD20" s="49"/>
      <c r="VE20" s="49"/>
      <c r="VF20" s="49"/>
      <c r="VG20" s="49"/>
      <c r="VH20" s="49"/>
      <c r="VI20" s="49"/>
      <c r="VJ20" s="49"/>
      <c r="VK20" s="49"/>
      <c r="VL20" s="49"/>
      <c r="VM20" s="49"/>
      <c r="VN20" s="49"/>
      <c r="VO20" s="49"/>
      <c r="VP20" s="49"/>
      <c r="VQ20" s="49"/>
      <c r="VR20" s="49"/>
      <c r="VS20" s="49"/>
      <c r="VT20" s="49"/>
      <c r="VU20" s="49"/>
      <c r="VV20" s="49"/>
      <c r="VW20" s="49"/>
      <c r="VX20" s="49"/>
      <c r="VY20" s="49"/>
      <c r="VZ20" s="49"/>
      <c r="WA20" s="49"/>
      <c r="WB20" s="49"/>
      <c r="WC20" s="49"/>
      <c r="WD20" s="49"/>
      <c r="WE20" s="49"/>
      <c r="WF20" s="49"/>
      <c r="WG20" s="49"/>
      <c r="WH20" s="49"/>
      <c r="WI20" s="49"/>
      <c r="WJ20" s="49"/>
      <c r="WK20" s="49"/>
      <c r="WL20" s="49"/>
      <c r="WM20" s="49"/>
      <c r="WN20" s="49"/>
      <c r="WO20" s="49"/>
      <c r="WP20" s="49"/>
      <c r="WQ20" s="49"/>
      <c r="WR20" s="49"/>
      <c r="WS20" s="49"/>
      <c r="WT20" s="49"/>
      <c r="WU20" s="49"/>
      <c r="WV20" s="49"/>
      <c r="WW20" s="49"/>
      <c r="WX20" s="49"/>
      <c r="WY20" s="49"/>
      <c r="WZ20" s="49"/>
      <c r="XA20" s="49"/>
      <c r="XB20" s="49"/>
      <c r="XC20" s="49"/>
      <c r="XD20" s="49"/>
      <c r="XE20" s="49"/>
      <c r="XF20" s="49"/>
      <c r="XG20" s="49"/>
      <c r="XH20" s="49"/>
      <c r="XI20" s="49"/>
      <c r="XJ20" s="49"/>
      <c r="XK20" s="49"/>
      <c r="XL20" s="49"/>
      <c r="XM20" s="49"/>
      <c r="XN20" s="49"/>
      <c r="XO20" s="49"/>
      <c r="XP20" s="49"/>
      <c r="XQ20" s="49"/>
      <c r="XR20" s="49"/>
      <c r="XS20" s="49"/>
      <c r="XT20" s="49"/>
      <c r="XU20" s="49"/>
      <c r="XV20" s="49"/>
      <c r="XW20" s="49"/>
      <c r="XX20" s="49"/>
      <c r="XY20" s="49"/>
      <c r="XZ20" s="49"/>
      <c r="YA20" s="49"/>
      <c r="YB20" s="49"/>
      <c r="YC20" s="49"/>
      <c r="YD20" s="49"/>
      <c r="YE20" s="49"/>
      <c r="YF20" s="49"/>
      <c r="YG20" s="49"/>
      <c r="YH20" s="49"/>
      <c r="YI20" s="49"/>
      <c r="YJ20" s="49"/>
      <c r="YK20" s="49"/>
      <c r="YL20" s="49"/>
      <c r="YM20" s="49"/>
      <c r="YN20" s="49"/>
      <c r="YO20" s="49"/>
      <c r="YP20" s="49"/>
      <c r="YQ20" s="49"/>
      <c r="YR20" s="49"/>
      <c r="YS20" s="49"/>
      <c r="YT20" s="49"/>
      <c r="YU20" s="49"/>
      <c r="YV20" s="49"/>
      <c r="YW20" s="49"/>
      <c r="YX20" s="49"/>
      <c r="YY20" s="49"/>
      <c r="YZ20" s="49"/>
      <c r="ZA20" s="49"/>
      <c r="ZB20" s="49"/>
      <c r="ZC20" s="49"/>
      <c r="ZD20" s="49"/>
      <c r="ZE20" s="49"/>
      <c r="ZF20" s="49"/>
      <c r="ZG20" s="49"/>
      <c r="ZH20" s="49"/>
      <c r="ZI20" s="49"/>
      <c r="ZJ20" s="49"/>
      <c r="ZK20" s="49"/>
      <c r="ZL20" s="49"/>
      <c r="ZM20" s="49"/>
      <c r="ZN20" s="49"/>
      <c r="ZO20" s="49"/>
      <c r="ZP20" s="49"/>
      <c r="ZQ20" s="49"/>
      <c r="ZR20" s="49"/>
      <c r="ZS20" s="49"/>
      <c r="ZT20" s="49"/>
      <c r="ZU20" s="49"/>
      <c r="ZV20" s="49"/>
      <c r="ZW20" s="49"/>
      <c r="ZX20" s="49"/>
      <c r="ZY20" s="49"/>
      <c r="ZZ20" s="49"/>
      <c r="AAA20" s="49"/>
      <c r="AAB20" s="49"/>
      <c r="AAC20" s="49"/>
      <c r="AAD20" s="49"/>
      <c r="AAE20" s="49"/>
      <c r="AAF20" s="49"/>
      <c r="AAG20" s="49"/>
      <c r="AAH20" s="49"/>
      <c r="AAI20" s="49"/>
      <c r="AAJ20" s="49"/>
      <c r="AAK20" s="49"/>
      <c r="AAL20" s="49"/>
      <c r="AAM20" s="49"/>
      <c r="AAN20" s="49"/>
      <c r="AAO20" s="49"/>
      <c r="AAP20" s="49"/>
      <c r="AAQ20" s="49"/>
      <c r="AAR20" s="49"/>
      <c r="AAS20" s="49"/>
      <c r="AAT20" s="49"/>
      <c r="AAU20" s="49"/>
      <c r="AAV20" s="49"/>
      <c r="AAW20" s="49"/>
      <c r="AAX20" s="49"/>
      <c r="AAY20" s="49"/>
      <c r="AAZ20" s="49"/>
      <c r="ABA20" s="49"/>
      <c r="ABB20" s="49"/>
      <c r="ABC20" s="49"/>
      <c r="ABD20" s="49"/>
      <c r="ABE20" s="49"/>
      <c r="ABF20" s="49"/>
      <c r="ABG20" s="49"/>
      <c r="ABH20" s="49"/>
      <c r="ABI20" s="49"/>
      <c r="ABJ20" s="49"/>
      <c r="ABK20" s="49"/>
      <c r="ABL20" s="49"/>
      <c r="ABM20" s="49"/>
      <c r="ABN20" s="49"/>
      <c r="ABO20" s="49"/>
      <c r="ABP20" s="49"/>
      <c r="ABQ20" s="49"/>
      <c r="ABR20" s="49"/>
      <c r="ABS20" s="49"/>
      <c r="ABT20" s="49"/>
      <c r="ABU20" s="49"/>
      <c r="ABV20" s="49"/>
      <c r="ABW20" s="49"/>
      <c r="ABX20" s="49"/>
      <c r="ABY20" s="49"/>
      <c r="ABZ20" s="49"/>
      <c r="ACA20" s="49"/>
      <c r="ACB20" s="49"/>
      <c r="ACC20" s="49"/>
      <c r="ACD20" s="49"/>
      <c r="ACE20" s="49"/>
      <c r="ACF20" s="49"/>
      <c r="ACG20" s="49"/>
      <c r="ACH20" s="49"/>
      <c r="ACI20" s="49"/>
      <c r="ACJ20" s="49"/>
      <c r="ACK20" s="49"/>
      <c r="ACL20" s="49"/>
      <c r="ACM20" s="49"/>
      <c r="ACN20" s="49"/>
      <c r="ACO20" s="49"/>
      <c r="ACP20" s="49"/>
      <c r="ACQ20" s="49"/>
      <c r="ACR20" s="49"/>
      <c r="ACS20" s="49"/>
      <c r="ACT20" s="49"/>
      <c r="ACU20" s="49"/>
      <c r="ACV20" s="49"/>
      <c r="ACW20" s="49"/>
      <c r="ACX20" s="49"/>
      <c r="ACY20" s="49"/>
      <c r="ACZ20" s="49"/>
      <c r="ADA20" s="49"/>
      <c r="ADB20" s="49"/>
      <c r="ADC20" s="49"/>
      <c r="ADD20" s="49"/>
      <c r="ADE20" s="49"/>
      <c r="ADF20" s="49"/>
      <c r="ADG20" s="49"/>
      <c r="ADH20" s="49"/>
      <c r="ADI20" s="49"/>
      <c r="ADJ20" s="49"/>
      <c r="ADK20" s="49"/>
      <c r="ADL20" s="49"/>
      <c r="ADM20" s="49"/>
      <c r="ADN20" s="49"/>
      <c r="ADO20" s="49"/>
      <c r="ADP20" s="49"/>
      <c r="ADQ20" s="49"/>
      <c r="ADR20" s="49"/>
      <c r="ADS20" s="49"/>
      <c r="ADT20" s="49"/>
      <c r="ADU20" s="49"/>
      <c r="ADV20" s="49"/>
      <c r="ADW20" s="49"/>
      <c r="ADX20" s="49"/>
      <c r="ADY20" s="49"/>
      <c r="ADZ20" s="49"/>
      <c r="AEA20" s="49"/>
      <c r="AEB20" s="49"/>
      <c r="AEC20" s="49"/>
      <c r="AED20" s="49"/>
      <c r="AEE20" s="49"/>
      <c r="AEF20" s="49"/>
      <c r="AEG20" s="49"/>
      <c r="AEH20" s="49"/>
      <c r="AEI20" s="49"/>
      <c r="AEJ20" s="49"/>
      <c r="AEK20" s="49"/>
      <c r="AEL20" s="49"/>
      <c r="AEM20" s="49"/>
      <c r="AEN20" s="49"/>
      <c r="AEO20" s="49"/>
      <c r="AEP20" s="49"/>
      <c r="AEQ20" s="49"/>
      <c r="AER20" s="49"/>
      <c r="AES20" s="49"/>
      <c r="AET20" s="49"/>
      <c r="AEU20" s="49"/>
      <c r="AEV20" s="49"/>
      <c r="AEW20" s="49"/>
      <c r="AEX20" s="49"/>
      <c r="AEY20" s="49"/>
      <c r="AEZ20" s="49"/>
      <c r="AFA20" s="49"/>
      <c r="AFB20" s="49"/>
      <c r="AFC20" s="49"/>
      <c r="AFD20" s="49"/>
      <c r="AFE20" s="49"/>
      <c r="AFF20" s="49"/>
      <c r="AFG20" s="49"/>
      <c r="AFH20" s="49"/>
      <c r="AFI20" s="49"/>
      <c r="AFJ20" s="49"/>
      <c r="AFK20" s="49"/>
      <c r="AFL20" s="49"/>
      <c r="AFM20" s="49"/>
      <c r="AFN20" s="49"/>
      <c r="AFO20" s="49"/>
      <c r="AFP20" s="49"/>
      <c r="AFQ20" s="49"/>
      <c r="AFR20" s="49"/>
      <c r="AFS20" s="49"/>
      <c r="AFT20" s="49"/>
      <c r="AFU20" s="49"/>
      <c r="AFV20" s="49"/>
      <c r="AFW20" s="49"/>
      <c r="AFX20" s="49"/>
      <c r="AFY20" s="49"/>
      <c r="AFZ20" s="49"/>
      <c r="AGA20" s="49"/>
      <c r="AGB20" s="49"/>
      <c r="AGC20" s="49"/>
      <c r="AGD20" s="49"/>
      <c r="AGE20" s="49"/>
      <c r="AGF20" s="49"/>
      <c r="AGG20" s="49"/>
      <c r="AGH20" s="49"/>
      <c r="AGI20" s="49"/>
      <c r="AGJ20" s="49"/>
      <c r="AGK20" s="49"/>
      <c r="AGL20" s="49"/>
      <c r="AGM20" s="49"/>
      <c r="AGN20" s="49"/>
      <c r="AGO20" s="49"/>
      <c r="AGP20" s="49"/>
      <c r="AGQ20" s="49"/>
      <c r="AGR20" s="49"/>
      <c r="AGS20" s="49"/>
      <c r="AGT20" s="49"/>
      <c r="AGU20" s="49"/>
      <c r="AGV20" s="49"/>
      <c r="AGW20" s="49"/>
      <c r="AGX20" s="49"/>
      <c r="AGY20" s="49"/>
      <c r="AGZ20" s="49"/>
      <c r="AHA20" s="49"/>
      <c r="AHB20" s="49"/>
      <c r="AHC20" s="49"/>
      <c r="AHD20" s="49"/>
      <c r="AHE20" s="49"/>
      <c r="AHF20" s="49"/>
      <c r="AHG20" s="49"/>
      <c r="AHH20" s="49"/>
      <c r="AHI20" s="49"/>
      <c r="AHJ20" s="49"/>
      <c r="AHK20" s="49"/>
      <c r="AHL20" s="49"/>
      <c r="AHM20" s="49"/>
      <c r="AHN20" s="49"/>
      <c r="AHO20" s="49"/>
      <c r="AHP20" s="49"/>
      <c r="AHQ20" s="49"/>
      <c r="AHR20" s="49"/>
      <c r="AHS20" s="49"/>
      <c r="AHT20" s="49"/>
      <c r="AHU20" s="49"/>
      <c r="AHV20" s="49"/>
      <c r="AHW20" s="49"/>
      <c r="AHX20" s="49"/>
      <c r="AHY20" s="49"/>
      <c r="AHZ20" s="49"/>
      <c r="AIA20" s="49"/>
      <c r="AIB20" s="49"/>
      <c r="AIC20" s="49"/>
      <c r="AID20" s="49"/>
      <c r="AIE20" s="49"/>
      <c r="AIF20" s="49"/>
      <c r="AIG20" s="49"/>
      <c r="AIH20" s="49"/>
      <c r="AII20" s="49"/>
      <c r="AIJ20" s="49"/>
      <c r="AIK20" s="49"/>
      <c r="AIL20" s="49"/>
      <c r="AIM20" s="49"/>
      <c r="AIN20" s="49"/>
      <c r="AIO20" s="49"/>
      <c r="AIP20" s="49"/>
      <c r="AIQ20" s="49"/>
      <c r="AIR20" s="49"/>
      <c r="AIS20" s="49"/>
      <c r="AIT20" s="49"/>
      <c r="AIU20" s="49"/>
      <c r="AIV20" s="49"/>
      <c r="AIW20" s="49"/>
      <c r="AIX20" s="49"/>
      <c r="AIY20" s="49"/>
      <c r="AIZ20" s="49"/>
      <c r="AJA20" s="49"/>
      <c r="AJB20" s="49"/>
      <c r="AJC20" s="49"/>
      <c r="AJD20" s="49"/>
      <c r="AJE20" s="49"/>
      <c r="AJF20" s="49"/>
      <c r="AJG20" s="49"/>
      <c r="AJH20" s="49"/>
      <c r="AJI20" s="49"/>
      <c r="AJJ20" s="49"/>
      <c r="AJK20" s="49"/>
      <c r="AJL20" s="49"/>
      <c r="AJM20" s="49"/>
      <c r="AJN20" s="49"/>
      <c r="AJO20" s="49"/>
      <c r="AJP20" s="49"/>
      <c r="AJQ20" s="49"/>
      <c r="AJR20" s="49"/>
      <c r="AJS20" s="49"/>
      <c r="AJT20" s="49"/>
      <c r="AJU20" s="49"/>
      <c r="AJV20" s="49"/>
      <c r="AJW20" s="49"/>
      <c r="AJX20" s="49"/>
      <c r="AJY20" s="49"/>
      <c r="AJZ20" s="49"/>
      <c r="AKA20" s="49"/>
      <c r="AKB20" s="49"/>
      <c r="AKC20" s="49"/>
      <c r="AKD20" s="49"/>
      <c r="AKE20" s="49"/>
      <c r="AKF20" s="49"/>
      <c r="AKG20" s="49"/>
      <c r="AKH20" s="49"/>
      <c r="AKI20" s="49"/>
      <c r="AKJ20" s="49"/>
      <c r="AKK20" s="49"/>
      <c r="AKL20" s="49"/>
      <c r="AKM20" s="49"/>
      <c r="AKN20" s="49"/>
      <c r="AKO20" s="49"/>
      <c r="AKP20" s="49"/>
      <c r="AKQ20" s="49"/>
      <c r="AKR20" s="49"/>
      <c r="AKS20" s="49"/>
      <c r="AKT20" s="49"/>
      <c r="AKU20" s="49"/>
      <c r="AKV20" s="49"/>
      <c r="AKW20" s="49"/>
      <c r="AKX20" s="49"/>
      <c r="AKY20" s="49"/>
      <c r="AKZ20" s="49"/>
      <c r="ALA20" s="49"/>
      <c r="ALB20" s="49"/>
      <c r="ALC20" s="49"/>
      <c r="ALD20" s="49"/>
      <c r="ALE20" s="49"/>
      <c r="ALF20" s="49"/>
      <c r="ALG20" s="49"/>
      <c r="ALH20" s="49"/>
      <c r="ALI20" s="49"/>
      <c r="ALJ20" s="49"/>
      <c r="ALK20" s="49"/>
      <c r="ALL20" s="49"/>
      <c r="ALM20" s="49"/>
      <c r="ALN20" s="49"/>
      <c r="ALO20" s="49"/>
      <c r="ALP20" s="49"/>
      <c r="ALQ20" s="49"/>
      <c r="ALR20" s="49"/>
      <c r="ALS20" s="49"/>
      <c r="ALT20" s="49"/>
      <c r="ALU20" s="49"/>
      <c r="ALV20" s="49"/>
      <c r="ALW20" s="49"/>
      <c r="ALX20" s="49"/>
      <c r="ALY20" s="49"/>
      <c r="ALZ20" s="49"/>
      <c r="AMA20" s="49"/>
      <c r="AMB20" s="49"/>
      <c r="AMC20" s="49"/>
      <c r="AMD20" s="49"/>
      <c r="AME20" s="49"/>
      <c r="AMF20" s="49"/>
      <c r="AMG20" s="49"/>
      <c r="AMH20" s="49"/>
      <c r="AMI20" s="49"/>
      <c r="AMJ20" s="49"/>
      <c r="AMK20" s="49"/>
      <c r="AML20" s="49"/>
      <c r="AMM20" s="49"/>
      <c r="AMN20" s="49"/>
      <c r="AMO20" s="49"/>
      <c r="AMP20" s="49"/>
      <c r="AMQ20" s="49"/>
      <c r="AMR20" s="49"/>
      <c r="AMS20" s="49"/>
      <c r="AMT20" s="49"/>
      <c r="AMU20" s="49"/>
      <c r="AMV20" s="49"/>
      <c r="AMW20" s="49"/>
      <c r="AMX20" s="49"/>
      <c r="AMY20" s="49"/>
      <c r="AMZ20" s="49"/>
      <c r="ANA20" s="49"/>
      <c r="ANB20" s="49"/>
      <c r="ANC20" s="49"/>
      <c r="AND20" s="49"/>
      <c r="ANE20" s="49"/>
      <c r="ANF20" s="49"/>
      <c r="ANG20" s="49"/>
      <c r="ANH20" s="49"/>
      <c r="ANI20" s="49"/>
      <c r="ANJ20" s="49"/>
      <c r="ANK20" s="49"/>
      <c r="ANL20" s="49"/>
      <c r="ANM20" s="49"/>
      <c r="ANN20" s="49"/>
      <c r="ANO20" s="49"/>
      <c r="ANP20" s="49"/>
      <c r="ANQ20" s="49"/>
      <c r="ANR20" s="49"/>
      <c r="ANS20" s="49"/>
      <c r="ANT20" s="49"/>
      <c r="ANU20" s="49"/>
      <c r="ANV20" s="49"/>
      <c r="ANW20" s="49"/>
      <c r="ANX20" s="49"/>
      <c r="ANY20" s="49"/>
      <c r="ANZ20" s="49"/>
      <c r="AOA20" s="49"/>
      <c r="AOB20" s="49"/>
      <c r="AOC20" s="49"/>
      <c r="AOD20" s="49"/>
      <c r="AOE20" s="49"/>
      <c r="AOF20" s="49"/>
      <c r="AOG20" s="49"/>
      <c r="AOH20" s="49"/>
      <c r="AOI20" s="49"/>
      <c r="AOJ20" s="49"/>
      <c r="AOK20" s="49"/>
      <c r="AOL20" s="49"/>
      <c r="AOM20" s="49"/>
      <c r="AON20" s="49"/>
      <c r="AOO20" s="49"/>
      <c r="AOP20" s="49"/>
      <c r="AOQ20" s="49"/>
      <c r="AOR20" s="49"/>
      <c r="AOS20" s="49"/>
      <c r="AOT20" s="49"/>
      <c r="AOU20" s="49"/>
      <c r="AOV20" s="49"/>
      <c r="AOW20" s="49"/>
      <c r="AOX20" s="49"/>
      <c r="AOY20" s="49"/>
      <c r="AOZ20" s="49"/>
      <c r="APA20" s="49"/>
      <c r="APB20" s="49"/>
      <c r="APC20" s="49"/>
      <c r="APD20" s="49"/>
      <c r="APE20" s="49"/>
      <c r="APF20" s="49"/>
      <c r="APG20" s="49"/>
      <c r="APH20" s="49"/>
      <c r="API20" s="49"/>
      <c r="APJ20" s="49"/>
      <c r="APK20" s="49"/>
      <c r="APL20" s="49"/>
      <c r="APM20" s="49"/>
      <c r="APN20" s="49"/>
      <c r="APO20" s="49"/>
      <c r="APP20" s="49"/>
      <c r="APQ20" s="49"/>
      <c r="APR20" s="49"/>
      <c r="APS20" s="49"/>
      <c r="APT20" s="49"/>
      <c r="APU20" s="49"/>
      <c r="APV20" s="49"/>
      <c r="APW20" s="49"/>
      <c r="APX20" s="49"/>
      <c r="APY20" s="49"/>
      <c r="APZ20" s="49"/>
      <c r="AQA20" s="49"/>
      <c r="AQB20" s="49"/>
      <c r="AQC20" s="49"/>
      <c r="AQD20" s="49"/>
      <c r="AQE20" s="49"/>
      <c r="AQF20" s="49"/>
      <c r="AQG20" s="49"/>
      <c r="AQH20" s="49"/>
      <c r="AQI20" s="49"/>
      <c r="AQJ20" s="49"/>
      <c r="AQK20" s="49"/>
      <c r="AQL20" s="49"/>
      <c r="AQM20" s="49"/>
      <c r="AQN20" s="49"/>
      <c r="AQO20" s="49"/>
      <c r="AQP20" s="49"/>
      <c r="AQQ20" s="49"/>
      <c r="AQR20" s="49"/>
      <c r="AQS20" s="49"/>
      <c r="AQT20" s="49"/>
      <c r="AQU20" s="49"/>
      <c r="AQV20" s="49"/>
      <c r="AQW20" s="49"/>
      <c r="AQX20" s="49"/>
      <c r="AQY20" s="49"/>
      <c r="AQZ20" s="49"/>
      <c r="ARA20" s="49"/>
      <c r="ARB20" s="49"/>
      <c r="ARC20" s="49"/>
      <c r="ARD20" s="49"/>
      <c r="ARE20" s="49"/>
      <c r="ARF20" s="49"/>
      <c r="ARG20" s="49"/>
      <c r="ARH20" s="49"/>
      <c r="ARI20" s="49"/>
      <c r="ARJ20" s="49"/>
      <c r="ARK20" s="49"/>
      <c r="ARL20" s="49"/>
      <c r="ARM20" s="49"/>
      <c r="ARN20" s="49"/>
      <c r="ARO20" s="49"/>
      <c r="ARP20" s="49"/>
      <c r="ARQ20" s="49"/>
      <c r="ARR20" s="49"/>
      <c r="ARS20" s="49"/>
      <c r="ART20" s="49"/>
      <c r="ARU20" s="49"/>
      <c r="ARV20" s="49"/>
      <c r="ARW20" s="49"/>
      <c r="ARX20" s="49"/>
      <c r="ARY20" s="49"/>
      <c r="ARZ20" s="49"/>
      <c r="ASA20" s="49"/>
      <c r="ASB20" s="49"/>
      <c r="ASC20" s="49"/>
      <c r="ASD20" s="49"/>
      <c r="ASE20" s="49"/>
      <c r="ASF20" s="49"/>
      <c r="ASG20" s="49"/>
      <c r="ASH20" s="49"/>
      <c r="ASI20" s="49"/>
      <c r="ASJ20" s="49"/>
      <c r="ASK20" s="49"/>
      <c r="ASL20" s="49"/>
      <c r="ASM20" s="49"/>
      <c r="ASN20" s="49"/>
      <c r="ASO20" s="49"/>
      <c r="ASP20" s="49"/>
      <c r="ASQ20" s="49"/>
      <c r="ASR20" s="49"/>
      <c r="ASS20" s="49"/>
      <c r="AST20" s="49"/>
      <c r="ASU20" s="49"/>
      <c r="ASV20" s="49"/>
      <c r="ASW20" s="49"/>
      <c r="ASX20" s="49"/>
      <c r="ASY20" s="49"/>
      <c r="ASZ20" s="49"/>
      <c r="ATA20" s="49"/>
      <c r="ATB20" s="49"/>
      <c r="ATC20" s="49"/>
      <c r="ATD20" s="49"/>
      <c r="ATE20" s="49"/>
      <c r="ATF20" s="49"/>
      <c r="ATG20" s="49"/>
      <c r="ATH20" s="49"/>
      <c r="ATI20" s="49"/>
      <c r="ATJ20" s="49"/>
      <c r="ATK20" s="49"/>
      <c r="ATL20" s="49"/>
      <c r="ATM20" s="49"/>
      <c r="ATN20" s="49"/>
      <c r="ATO20" s="49"/>
      <c r="ATP20" s="49"/>
      <c r="ATQ20" s="49"/>
      <c r="ATR20" s="49"/>
      <c r="ATS20" s="49"/>
      <c r="ATT20" s="49"/>
      <c r="ATU20" s="49"/>
      <c r="ATV20" s="49"/>
      <c r="ATW20" s="49"/>
      <c r="ATX20" s="49"/>
      <c r="ATY20" s="49"/>
      <c r="ATZ20" s="49"/>
      <c r="AUA20" s="49"/>
      <c r="AUB20" s="49"/>
      <c r="AUC20" s="49"/>
      <c r="AUD20" s="49"/>
      <c r="AUE20" s="49"/>
      <c r="AUF20" s="49"/>
      <c r="AUG20" s="49"/>
      <c r="AUH20" s="49"/>
      <c r="AUI20" s="49"/>
      <c r="AUJ20" s="49"/>
      <c r="AUK20" s="49"/>
      <c r="AUL20" s="49"/>
      <c r="AUM20" s="49"/>
      <c r="AUN20" s="49"/>
      <c r="AUO20" s="49"/>
      <c r="AUP20" s="49"/>
      <c r="AUQ20" s="49"/>
      <c r="AUR20" s="49"/>
      <c r="AUS20" s="49"/>
      <c r="AUT20" s="49"/>
      <c r="AUU20" s="49"/>
      <c r="AUV20" s="49"/>
      <c r="AUW20" s="49"/>
      <c r="AUX20" s="49"/>
      <c r="AUY20" s="49"/>
      <c r="AUZ20" s="49"/>
      <c r="AVA20" s="49"/>
      <c r="AVB20" s="49"/>
      <c r="AVC20" s="49"/>
      <c r="AVD20" s="49"/>
      <c r="AVE20" s="49"/>
      <c r="AVF20" s="49"/>
      <c r="AVG20" s="49"/>
      <c r="AVH20" s="49"/>
      <c r="AVI20" s="49"/>
      <c r="AVJ20" s="49"/>
      <c r="AVK20" s="49"/>
      <c r="AVL20" s="49"/>
      <c r="AVM20" s="49"/>
      <c r="AVN20" s="49"/>
      <c r="AVO20" s="49"/>
      <c r="AVP20" s="49"/>
      <c r="AVQ20" s="49"/>
      <c r="AVR20" s="49"/>
      <c r="AVS20" s="49"/>
      <c r="AVT20" s="49"/>
      <c r="AVU20" s="49"/>
      <c r="AVV20" s="49"/>
      <c r="AVW20" s="49"/>
      <c r="AVX20" s="49"/>
      <c r="AVY20" s="49"/>
      <c r="AVZ20" s="49"/>
      <c r="AWA20" s="49"/>
      <c r="AWB20" s="49"/>
      <c r="AWC20" s="49"/>
      <c r="AWD20" s="49"/>
      <c r="AWE20" s="49"/>
      <c r="AWF20" s="49"/>
      <c r="AWG20" s="49"/>
      <c r="AWH20" s="49"/>
      <c r="AWI20" s="49"/>
      <c r="AWJ20" s="49"/>
      <c r="AWK20" s="49"/>
      <c r="AWL20" s="49"/>
      <c r="AWM20" s="49"/>
      <c r="AWN20" s="49"/>
      <c r="AWO20" s="49"/>
      <c r="AWP20" s="49"/>
      <c r="AWQ20" s="49"/>
      <c r="AWR20" s="49"/>
      <c r="AWS20" s="49"/>
      <c r="AWT20" s="49"/>
      <c r="AWU20" s="49"/>
      <c r="AWV20" s="49"/>
      <c r="AWW20" s="49"/>
      <c r="AWX20" s="49"/>
      <c r="AWY20" s="49"/>
      <c r="AWZ20" s="49"/>
      <c r="AXA20" s="49"/>
      <c r="AXB20" s="49"/>
      <c r="AXC20" s="49"/>
      <c r="AXD20" s="49"/>
      <c r="AXE20" s="49"/>
      <c r="AXF20" s="49"/>
      <c r="AXG20" s="49"/>
      <c r="AXH20" s="49"/>
      <c r="AXI20" s="49"/>
      <c r="AXJ20" s="49"/>
      <c r="AXK20" s="49"/>
      <c r="AXL20" s="49"/>
      <c r="AXM20" s="49"/>
      <c r="AXN20" s="49"/>
      <c r="AXO20" s="49"/>
      <c r="AXP20" s="49"/>
      <c r="AXQ20" s="49"/>
      <c r="AXR20" s="49"/>
      <c r="AXS20" s="49"/>
      <c r="AXT20" s="49"/>
      <c r="AXU20" s="49"/>
      <c r="AXV20" s="49"/>
      <c r="AXW20" s="49"/>
      <c r="AXX20" s="49"/>
      <c r="AXY20" s="49"/>
      <c r="AXZ20" s="49"/>
      <c r="AYA20" s="49"/>
      <c r="AYB20" s="49"/>
      <c r="AYC20" s="49"/>
      <c r="AYD20" s="49"/>
      <c r="AYE20" s="49"/>
      <c r="AYF20" s="49"/>
      <c r="AYG20" s="49"/>
      <c r="AYH20" s="49"/>
      <c r="AYI20" s="49"/>
      <c r="AYJ20" s="49"/>
      <c r="AYK20" s="49"/>
      <c r="AYL20" s="49"/>
      <c r="AYM20" s="49"/>
      <c r="AYN20" s="49"/>
      <c r="AYO20" s="49"/>
      <c r="AYP20" s="49"/>
      <c r="AYQ20" s="49"/>
      <c r="AYR20" s="49"/>
      <c r="AYS20" s="49"/>
      <c r="AYT20" s="49"/>
      <c r="AYU20" s="49"/>
      <c r="AYV20" s="49"/>
      <c r="AYW20" s="49"/>
      <c r="AYX20" s="49"/>
      <c r="AYY20" s="49"/>
      <c r="AYZ20" s="49"/>
      <c r="AZA20" s="49"/>
      <c r="AZB20" s="49"/>
      <c r="AZC20" s="49"/>
      <c r="AZD20" s="49"/>
      <c r="AZE20" s="49"/>
      <c r="AZF20" s="49"/>
      <c r="AZG20" s="49"/>
      <c r="AZH20" s="49"/>
      <c r="AZI20" s="49"/>
      <c r="AZJ20" s="49"/>
      <c r="AZK20" s="49"/>
      <c r="AZL20" s="49"/>
      <c r="AZM20" s="49"/>
      <c r="AZN20" s="49"/>
      <c r="AZO20" s="49"/>
      <c r="AZP20" s="49"/>
      <c r="AZQ20" s="49"/>
      <c r="AZR20" s="49"/>
      <c r="AZS20" s="49"/>
      <c r="AZT20" s="49"/>
      <c r="AZU20" s="49"/>
      <c r="AZV20" s="49"/>
      <c r="AZW20" s="49"/>
      <c r="AZX20" s="49"/>
      <c r="AZY20" s="49"/>
      <c r="AZZ20" s="49"/>
      <c r="BAA20" s="49"/>
      <c r="BAB20" s="49"/>
      <c r="BAC20" s="49"/>
      <c r="BAD20" s="49"/>
      <c r="BAE20" s="49"/>
      <c r="BAF20" s="49"/>
      <c r="BAG20" s="49"/>
      <c r="BAH20" s="49"/>
      <c r="BAI20" s="49"/>
      <c r="BAJ20" s="49"/>
      <c r="BAK20" s="49"/>
      <c r="BAL20" s="49"/>
      <c r="BAM20" s="49"/>
      <c r="BAN20" s="49"/>
      <c r="BAO20" s="49"/>
      <c r="BAP20" s="49"/>
      <c r="BAQ20" s="49"/>
      <c r="BAR20" s="49"/>
      <c r="BAS20" s="49"/>
      <c r="BAT20" s="49"/>
      <c r="BAU20" s="49"/>
      <c r="BAV20" s="49"/>
      <c r="BAW20" s="49"/>
      <c r="BAX20" s="49"/>
      <c r="BAY20" s="49"/>
      <c r="BAZ20" s="49"/>
      <c r="BBA20" s="49"/>
      <c r="BBB20" s="49"/>
      <c r="BBC20" s="49"/>
      <c r="BBD20" s="49"/>
      <c r="BBE20" s="49"/>
      <c r="BBF20" s="49"/>
      <c r="BBG20" s="49"/>
      <c r="BBH20" s="49"/>
      <c r="BBI20" s="49"/>
      <c r="BBJ20" s="49"/>
      <c r="BBK20" s="49"/>
      <c r="BBL20" s="49"/>
      <c r="BBM20" s="49"/>
      <c r="BBN20" s="49"/>
      <c r="BBO20" s="49"/>
      <c r="BBP20" s="49"/>
      <c r="BBQ20" s="49"/>
      <c r="BBR20" s="49"/>
      <c r="BBS20" s="49"/>
      <c r="BBT20" s="49"/>
      <c r="BBU20" s="49"/>
      <c r="BBV20" s="49"/>
      <c r="BBW20" s="49"/>
      <c r="BBX20" s="49"/>
      <c r="BBY20" s="49"/>
      <c r="BBZ20" s="49"/>
      <c r="BCA20" s="49"/>
      <c r="BCB20" s="49"/>
      <c r="BCC20" s="49"/>
      <c r="BCD20" s="49"/>
      <c r="BCE20" s="49"/>
      <c r="BCF20" s="49"/>
      <c r="BCG20" s="49"/>
      <c r="BCH20" s="49"/>
      <c r="BCI20" s="49"/>
      <c r="BCJ20" s="49"/>
      <c r="BCK20" s="49"/>
      <c r="BCL20" s="49"/>
      <c r="BCM20" s="49"/>
      <c r="BCN20" s="49"/>
    </row>
    <row r="21" spans="1:1444" s="47" customFormat="1">
      <c r="A21" s="52"/>
      <c r="B21" s="94">
        <v>45764</v>
      </c>
      <c r="C21" s="94" t="s">
        <v>195</v>
      </c>
      <c r="D21" s="95">
        <v>46</v>
      </c>
      <c r="E21" s="95">
        <v>93.210000000020955</v>
      </c>
      <c r="F21" s="95">
        <v>0</v>
      </c>
      <c r="G21" s="95">
        <v>2.4599999999991269</v>
      </c>
      <c r="H21" s="95">
        <v>33</v>
      </c>
      <c r="I21" s="95">
        <v>38</v>
      </c>
      <c r="J21" s="95">
        <v>1080.44</v>
      </c>
      <c r="K21" s="95">
        <v>1567.9813999984185</v>
      </c>
      <c r="L21" s="95">
        <v>0</v>
      </c>
      <c r="M21" s="155">
        <v>0</v>
      </c>
      <c r="N21" s="141">
        <f>'units overall'!O21</f>
        <v>2874.0913999984386</v>
      </c>
      <c r="O21" s="230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X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N21" s="49"/>
      <c r="IO21" s="49"/>
      <c r="IP21" s="49"/>
      <c r="IQ21" s="49"/>
      <c r="IR21" s="49"/>
      <c r="IS21" s="49"/>
      <c r="IT21" s="49"/>
      <c r="IU21" s="49"/>
      <c r="IV21" s="49"/>
      <c r="IW21" s="49"/>
      <c r="IX21" s="49"/>
      <c r="IY21" s="49"/>
      <c r="IZ21" s="49"/>
      <c r="JA21" s="49"/>
      <c r="JB21" s="49"/>
      <c r="JC21" s="49"/>
      <c r="JD21" s="49"/>
      <c r="JE21" s="49"/>
      <c r="JF21" s="49"/>
      <c r="JG21" s="49"/>
      <c r="JH21" s="49"/>
      <c r="JI21" s="49"/>
      <c r="JJ21" s="49"/>
      <c r="JK21" s="49"/>
      <c r="JL21" s="49"/>
      <c r="JM21" s="49"/>
      <c r="JN21" s="49"/>
      <c r="JO21" s="49"/>
      <c r="JP21" s="49"/>
      <c r="JQ21" s="49"/>
      <c r="JR21" s="49"/>
      <c r="JS21" s="49"/>
      <c r="JT21" s="49"/>
      <c r="JU21" s="49"/>
      <c r="JV21" s="49"/>
      <c r="JW21" s="49"/>
      <c r="JX21" s="49"/>
      <c r="JY21" s="49"/>
      <c r="JZ21" s="49"/>
      <c r="KA21" s="49"/>
      <c r="KB21" s="49"/>
      <c r="KC21" s="49"/>
      <c r="KD21" s="49"/>
      <c r="KE21" s="49"/>
      <c r="KF21" s="49"/>
      <c r="KG21" s="49"/>
      <c r="KH21" s="49"/>
      <c r="KI21" s="49"/>
      <c r="KJ21" s="49"/>
      <c r="KK21" s="49"/>
      <c r="KL21" s="49"/>
      <c r="KM21" s="49"/>
      <c r="KN21" s="49"/>
      <c r="KO21" s="49"/>
      <c r="KP21" s="49"/>
      <c r="KQ21" s="49"/>
      <c r="KR21" s="49"/>
      <c r="KS21" s="49"/>
      <c r="KT21" s="49"/>
      <c r="KU21" s="49"/>
      <c r="KV21" s="49"/>
      <c r="KW21" s="49"/>
      <c r="KX21" s="49"/>
      <c r="KY21" s="49"/>
      <c r="KZ21" s="49"/>
      <c r="LA21" s="49"/>
      <c r="LB21" s="49"/>
      <c r="LC21" s="49"/>
      <c r="LD21" s="49"/>
      <c r="LE21" s="49"/>
      <c r="LF21" s="49"/>
      <c r="LG21" s="49"/>
      <c r="LH21" s="49"/>
      <c r="LI21" s="49"/>
      <c r="LJ21" s="49"/>
      <c r="LK21" s="49"/>
      <c r="LL21" s="49"/>
      <c r="LM21" s="49"/>
      <c r="LN21" s="49"/>
      <c r="LO21" s="49"/>
      <c r="LP21" s="49"/>
      <c r="LQ21" s="49"/>
      <c r="LR21" s="49"/>
      <c r="LS21" s="49"/>
      <c r="LT21" s="49"/>
      <c r="LU21" s="49"/>
      <c r="LV21" s="49"/>
      <c r="LW21" s="49"/>
      <c r="LX21" s="49"/>
      <c r="LY21" s="49"/>
      <c r="LZ21" s="49"/>
      <c r="MA21" s="49"/>
      <c r="MB21" s="49"/>
      <c r="MC21" s="49"/>
      <c r="MD21" s="49"/>
      <c r="ME21" s="49"/>
      <c r="MF21" s="49"/>
      <c r="MG21" s="49"/>
      <c r="MH21" s="49"/>
      <c r="MI21" s="49"/>
      <c r="MJ21" s="49"/>
      <c r="MK21" s="49"/>
      <c r="ML21" s="49"/>
      <c r="MM21" s="49"/>
      <c r="MN21" s="49"/>
      <c r="MO21" s="49"/>
      <c r="MP21" s="49"/>
      <c r="MQ21" s="49"/>
      <c r="MR21" s="49"/>
      <c r="MS21" s="49"/>
      <c r="MT21" s="49"/>
      <c r="MU21" s="49"/>
      <c r="MV21" s="49"/>
      <c r="MW21" s="49"/>
      <c r="MX21" s="49"/>
      <c r="MY21" s="49"/>
      <c r="MZ21" s="49"/>
      <c r="NA21" s="49"/>
      <c r="NB21" s="49"/>
      <c r="NC21" s="49"/>
      <c r="ND21" s="49"/>
      <c r="NE21" s="49"/>
      <c r="NF21" s="49"/>
      <c r="NG21" s="49"/>
      <c r="NH21" s="49"/>
      <c r="NI21" s="49"/>
      <c r="NJ21" s="49"/>
      <c r="NK21" s="49"/>
      <c r="NL21" s="49"/>
      <c r="NM21" s="49"/>
      <c r="NN21" s="49"/>
      <c r="NO21" s="49"/>
      <c r="NP21" s="49"/>
      <c r="NQ21" s="49"/>
      <c r="NR21" s="49"/>
      <c r="NS21" s="49"/>
      <c r="NT21" s="49"/>
      <c r="NU21" s="49"/>
      <c r="NV21" s="49"/>
      <c r="NW21" s="49"/>
      <c r="NX21" s="49"/>
      <c r="NY21" s="49"/>
      <c r="NZ21" s="49"/>
      <c r="OA21" s="49"/>
      <c r="OB21" s="49"/>
      <c r="OC21" s="49"/>
      <c r="OD21" s="49"/>
      <c r="OE21" s="49"/>
      <c r="OF21" s="49"/>
      <c r="OG21" s="49"/>
      <c r="OH21" s="49"/>
      <c r="OI21" s="49"/>
      <c r="OJ21" s="49"/>
      <c r="OK21" s="49"/>
      <c r="OL21" s="49"/>
      <c r="OM21" s="49"/>
      <c r="ON21" s="49"/>
      <c r="OO21" s="49"/>
      <c r="OP21" s="49"/>
      <c r="OQ21" s="49"/>
      <c r="OR21" s="49"/>
      <c r="OS21" s="49"/>
      <c r="OT21" s="49"/>
      <c r="OU21" s="49"/>
      <c r="OV21" s="49"/>
      <c r="OW21" s="49"/>
      <c r="OX21" s="49"/>
      <c r="OY21" s="49"/>
      <c r="OZ21" s="49"/>
      <c r="PA21" s="49"/>
      <c r="PB21" s="49"/>
      <c r="PC21" s="49"/>
      <c r="PD21" s="49"/>
      <c r="PE21" s="49"/>
      <c r="PF21" s="49"/>
      <c r="PG21" s="49"/>
      <c r="PH21" s="49"/>
      <c r="PI21" s="49"/>
      <c r="PJ21" s="49"/>
      <c r="PK21" s="49"/>
      <c r="PL21" s="49"/>
      <c r="PM21" s="49"/>
      <c r="PN21" s="49"/>
      <c r="PO21" s="49"/>
      <c r="PP21" s="49"/>
      <c r="PQ21" s="49"/>
      <c r="PR21" s="49"/>
      <c r="PS21" s="49"/>
      <c r="PT21" s="49"/>
      <c r="PU21" s="49"/>
      <c r="PV21" s="49"/>
      <c r="PW21" s="49"/>
      <c r="PX21" s="49"/>
      <c r="PY21" s="49"/>
      <c r="PZ21" s="49"/>
      <c r="QA21" s="49"/>
      <c r="QB21" s="49"/>
      <c r="QC21" s="49"/>
      <c r="QD21" s="49"/>
      <c r="QE21" s="49"/>
      <c r="QF21" s="49"/>
      <c r="QG21" s="49"/>
      <c r="QH21" s="49"/>
      <c r="QI21" s="49"/>
      <c r="QJ21" s="49"/>
      <c r="QK21" s="49"/>
      <c r="QL21" s="49"/>
      <c r="QM21" s="49"/>
      <c r="QN21" s="49"/>
      <c r="QO21" s="49"/>
      <c r="QP21" s="49"/>
      <c r="QQ21" s="49"/>
      <c r="QR21" s="49"/>
      <c r="QS21" s="49"/>
      <c r="QT21" s="49"/>
      <c r="QU21" s="49"/>
      <c r="QV21" s="49"/>
      <c r="QW21" s="49"/>
      <c r="QX21" s="49"/>
      <c r="QY21" s="49"/>
      <c r="QZ21" s="49"/>
      <c r="RA21" s="49"/>
      <c r="RB21" s="49"/>
      <c r="RC21" s="49"/>
      <c r="RD21" s="49"/>
      <c r="RE21" s="49"/>
      <c r="RF21" s="49"/>
      <c r="RG21" s="49"/>
      <c r="RH21" s="49"/>
      <c r="RI21" s="49"/>
      <c r="RJ21" s="49"/>
      <c r="RK21" s="49"/>
      <c r="RL21" s="49"/>
      <c r="RM21" s="49"/>
      <c r="RN21" s="49"/>
      <c r="RO21" s="49"/>
      <c r="RP21" s="49"/>
      <c r="RQ21" s="49"/>
      <c r="RR21" s="49"/>
      <c r="RS21" s="49"/>
      <c r="RT21" s="49"/>
      <c r="RU21" s="49"/>
      <c r="RV21" s="49"/>
      <c r="RW21" s="49"/>
      <c r="RX21" s="49"/>
      <c r="RY21" s="49"/>
      <c r="RZ21" s="49"/>
      <c r="SA21" s="49"/>
      <c r="SB21" s="49"/>
      <c r="SC21" s="49"/>
      <c r="SD21" s="49"/>
      <c r="SE21" s="49"/>
      <c r="SF21" s="49"/>
      <c r="SG21" s="49"/>
      <c r="SH21" s="49"/>
      <c r="SI21" s="49"/>
      <c r="SJ21" s="49"/>
      <c r="SK21" s="49"/>
      <c r="SL21" s="49"/>
      <c r="SM21" s="49"/>
      <c r="SN21" s="49"/>
      <c r="SO21" s="49"/>
      <c r="SP21" s="49"/>
      <c r="SQ21" s="49"/>
      <c r="SR21" s="49"/>
      <c r="SS21" s="49"/>
      <c r="ST21" s="49"/>
      <c r="SU21" s="49"/>
      <c r="SV21" s="49"/>
      <c r="SW21" s="49"/>
      <c r="SX21" s="49"/>
      <c r="SY21" s="49"/>
      <c r="SZ21" s="49"/>
      <c r="TA21" s="49"/>
      <c r="TB21" s="49"/>
      <c r="TC21" s="49"/>
      <c r="TD21" s="49"/>
      <c r="TE21" s="49"/>
      <c r="TF21" s="49"/>
      <c r="TG21" s="49"/>
      <c r="TH21" s="49"/>
      <c r="TI21" s="49"/>
      <c r="TJ21" s="49"/>
      <c r="TK21" s="49"/>
      <c r="TL21" s="49"/>
      <c r="TM21" s="49"/>
      <c r="TN21" s="49"/>
      <c r="TO21" s="49"/>
      <c r="TP21" s="49"/>
      <c r="TQ21" s="49"/>
      <c r="TR21" s="49"/>
      <c r="TS21" s="49"/>
      <c r="TT21" s="49"/>
      <c r="TU21" s="49"/>
      <c r="TV21" s="49"/>
      <c r="TW21" s="49"/>
      <c r="TX21" s="49"/>
      <c r="TY21" s="49"/>
      <c r="TZ21" s="49"/>
      <c r="UA21" s="49"/>
      <c r="UB21" s="49"/>
      <c r="UC21" s="49"/>
      <c r="UD21" s="49"/>
      <c r="UE21" s="49"/>
      <c r="UF21" s="49"/>
      <c r="UG21" s="49"/>
      <c r="UH21" s="49"/>
      <c r="UI21" s="49"/>
      <c r="UJ21" s="49"/>
      <c r="UK21" s="49"/>
      <c r="UL21" s="49"/>
      <c r="UM21" s="49"/>
      <c r="UN21" s="49"/>
      <c r="UO21" s="49"/>
      <c r="UP21" s="49"/>
      <c r="UQ21" s="49"/>
      <c r="UR21" s="49"/>
      <c r="US21" s="49"/>
      <c r="UT21" s="49"/>
      <c r="UU21" s="49"/>
      <c r="UV21" s="49"/>
      <c r="UW21" s="49"/>
      <c r="UX21" s="49"/>
      <c r="UY21" s="49"/>
      <c r="UZ21" s="49"/>
      <c r="VA21" s="49"/>
      <c r="VB21" s="49"/>
      <c r="VC21" s="49"/>
      <c r="VD21" s="49"/>
      <c r="VE21" s="49"/>
      <c r="VF21" s="49"/>
      <c r="VG21" s="49"/>
      <c r="VH21" s="49"/>
      <c r="VI21" s="49"/>
      <c r="VJ21" s="49"/>
      <c r="VK21" s="49"/>
      <c r="VL21" s="49"/>
      <c r="VM21" s="49"/>
      <c r="VN21" s="49"/>
      <c r="VO21" s="49"/>
      <c r="VP21" s="49"/>
      <c r="VQ21" s="49"/>
      <c r="VR21" s="49"/>
      <c r="VS21" s="49"/>
      <c r="VT21" s="49"/>
      <c r="VU21" s="49"/>
      <c r="VV21" s="49"/>
      <c r="VW21" s="49"/>
      <c r="VX21" s="49"/>
      <c r="VY21" s="49"/>
      <c r="VZ21" s="49"/>
      <c r="WA21" s="49"/>
      <c r="WB21" s="49"/>
      <c r="WC21" s="49"/>
      <c r="WD21" s="49"/>
      <c r="WE21" s="49"/>
      <c r="WF21" s="49"/>
      <c r="WG21" s="49"/>
      <c r="WH21" s="49"/>
      <c r="WI21" s="49"/>
      <c r="WJ21" s="49"/>
      <c r="WK21" s="49"/>
      <c r="WL21" s="49"/>
      <c r="WM21" s="49"/>
      <c r="WN21" s="49"/>
      <c r="WO21" s="49"/>
      <c r="WP21" s="49"/>
      <c r="WQ21" s="49"/>
      <c r="WR21" s="49"/>
      <c r="WS21" s="49"/>
      <c r="WT21" s="49"/>
      <c r="WU21" s="49"/>
      <c r="WV21" s="49"/>
      <c r="WW21" s="49"/>
      <c r="WX21" s="49"/>
      <c r="WY21" s="49"/>
      <c r="WZ21" s="49"/>
      <c r="XA21" s="49"/>
      <c r="XB21" s="49"/>
      <c r="XC21" s="49"/>
      <c r="XD21" s="49"/>
      <c r="XE21" s="49"/>
      <c r="XF21" s="49"/>
      <c r="XG21" s="49"/>
      <c r="XH21" s="49"/>
      <c r="XI21" s="49"/>
      <c r="XJ21" s="49"/>
      <c r="XK21" s="49"/>
      <c r="XL21" s="49"/>
      <c r="XM21" s="49"/>
      <c r="XN21" s="49"/>
      <c r="XO21" s="49"/>
      <c r="XP21" s="49"/>
      <c r="XQ21" s="49"/>
      <c r="XR21" s="49"/>
      <c r="XS21" s="49"/>
      <c r="XT21" s="49"/>
      <c r="XU21" s="49"/>
      <c r="XV21" s="49"/>
      <c r="XW21" s="49"/>
      <c r="XX21" s="49"/>
      <c r="XY21" s="49"/>
      <c r="XZ21" s="49"/>
      <c r="YA21" s="49"/>
      <c r="YB21" s="49"/>
      <c r="YC21" s="49"/>
      <c r="YD21" s="49"/>
      <c r="YE21" s="49"/>
      <c r="YF21" s="49"/>
      <c r="YG21" s="49"/>
      <c r="YH21" s="49"/>
      <c r="YI21" s="49"/>
      <c r="YJ21" s="49"/>
      <c r="YK21" s="49"/>
      <c r="YL21" s="49"/>
      <c r="YM21" s="49"/>
      <c r="YN21" s="49"/>
      <c r="YO21" s="49"/>
      <c r="YP21" s="49"/>
      <c r="YQ21" s="49"/>
      <c r="YR21" s="49"/>
      <c r="YS21" s="49"/>
      <c r="YT21" s="49"/>
      <c r="YU21" s="49"/>
      <c r="YV21" s="49"/>
      <c r="YW21" s="49"/>
      <c r="YX21" s="49"/>
      <c r="YY21" s="49"/>
      <c r="YZ21" s="49"/>
      <c r="ZA21" s="49"/>
      <c r="ZB21" s="49"/>
      <c r="ZC21" s="49"/>
      <c r="ZD21" s="49"/>
      <c r="ZE21" s="49"/>
      <c r="ZF21" s="49"/>
      <c r="ZG21" s="49"/>
      <c r="ZH21" s="49"/>
      <c r="ZI21" s="49"/>
      <c r="ZJ21" s="49"/>
      <c r="ZK21" s="49"/>
      <c r="ZL21" s="49"/>
      <c r="ZM21" s="49"/>
      <c r="ZN21" s="49"/>
      <c r="ZO21" s="49"/>
      <c r="ZP21" s="49"/>
      <c r="ZQ21" s="49"/>
      <c r="ZR21" s="49"/>
      <c r="ZS21" s="49"/>
      <c r="ZT21" s="49"/>
      <c r="ZU21" s="49"/>
      <c r="ZV21" s="49"/>
      <c r="ZW21" s="49"/>
      <c r="ZX21" s="49"/>
      <c r="ZY21" s="49"/>
      <c r="ZZ21" s="49"/>
      <c r="AAA21" s="49"/>
      <c r="AAB21" s="49"/>
      <c r="AAC21" s="49"/>
      <c r="AAD21" s="49"/>
      <c r="AAE21" s="49"/>
      <c r="AAF21" s="49"/>
      <c r="AAG21" s="49"/>
      <c r="AAH21" s="49"/>
      <c r="AAI21" s="49"/>
      <c r="AAJ21" s="49"/>
      <c r="AAK21" s="49"/>
      <c r="AAL21" s="49"/>
      <c r="AAM21" s="49"/>
      <c r="AAN21" s="49"/>
      <c r="AAO21" s="49"/>
      <c r="AAP21" s="49"/>
      <c r="AAQ21" s="49"/>
      <c r="AAR21" s="49"/>
      <c r="AAS21" s="49"/>
      <c r="AAT21" s="49"/>
      <c r="AAU21" s="49"/>
      <c r="AAV21" s="49"/>
      <c r="AAW21" s="49"/>
      <c r="AAX21" s="49"/>
      <c r="AAY21" s="49"/>
      <c r="AAZ21" s="49"/>
      <c r="ABA21" s="49"/>
      <c r="ABB21" s="49"/>
      <c r="ABC21" s="49"/>
      <c r="ABD21" s="49"/>
      <c r="ABE21" s="49"/>
      <c r="ABF21" s="49"/>
      <c r="ABG21" s="49"/>
      <c r="ABH21" s="49"/>
      <c r="ABI21" s="49"/>
      <c r="ABJ21" s="49"/>
      <c r="ABK21" s="49"/>
      <c r="ABL21" s="49"/>
      <c r="ABM21" s="49"/>
      <c r="ABN21" s="49"/>
      <c r="ABO21" s="49"/>
      <c r="ABP21" s="49"/>
      <c r="ABQ21" s="49"/>
      <c r="ABR21" s="49"/>
      <c r="ABS21" s="49"/>
      <c r="ABT21" s="49"/>
      <c r="ABU21" s="49"/>
      <c r="ABV21" s="49"/>
      <c r="ABW21" s="49"/>
      <c r="ABX21" s="49"/>
      <c r="ABY21" s="49"/>
      <c r="ABZ21" s="49"/>
      <c r="ACA21" s="49"/>
      <c r="ACB21" s="49"/>
      <c r="ACC21" s="49"/>
      <c r="ACD21" s="49"/>
      <c r="ACE21" s="49"/>
      <c r="ACF21" s="49"/>
      <c r="ACG21" s="49"/>
      <c r="ACH21" s="49"/>
      <c r="ACI21" s="49"/>
      <c r="ACJ21" s="49"/>
      <c r="ACK21" s="49"/>
      <c r="ACL21" s="49"/>
      <c r="ACM21" s="49"/>
      <c r="ACN21" s="49"/>
      <c r="ACO21" s="49"/>
      <c r="ACP21" s="49"/>
      <c r="ACQ21" s="49"/>
      <c r="ACR21" s="49"/>
      <c r="ACS21" s="49"/>
      <c r="ACT21" s="49"/>
      <c r="ACU21" s="49"/>
      <c r="ACV21" s="49"/>
      <c r="ACW21" s="49"/>
      <c r="ACX21" s="49"/>
      <c r="ACY21" s="49"/>
      <c r="ACZ21" s="49"/>
      <c r="ADA21" s="49"/>
      <c r="ADB21" s="49"/>
      <c r="ADC21" s="49"/>
      <c r="ADD21" s="49"/>
      <c r="ADE21" s="49"/>
      <c r="ADF21" s="49"/>
      <c r="ADG21" s="49"/>
      <c r="ADH21" s="49"/>
      <c r="ADI21" s="49"/>
      <c r="ADJ21" s="49"/>
      <c r="ADK21" s="49"/>
      <c r="ADL21" s="49"/>
      <c r="ADM21" s="49"/>
      <c r="ADN21" s="49"/>
      <c r="ADO21" s="49"/>
      <c r="ADP21" s="49"/>
      <c r="ADQ21" s="49"/>
      <c r="ADR21" s="49"/>
      <c r="ADS21" s="49"/>
      <c r="ADT21" s="49"/>
      <c r="ADU21" s="49"/>
      <c r="ADV21" s="49"/>
      <c r="ADW21" s="49"/>
      <c r="ADX21" s="49"/>
      <c r="ADY21" s="49"/>
      <c r="ADZ21" s="49"/>
      <c r="AEA21" s="49"/>
      <c r="AEB21" s="49"/>
      <c r="AEC21" s="49"/>
      <c r="AED21" s="49"/>
      <c r="AEE21" s="49"/>
      <c r="AEF21" s="49"/>
      <c r="AEG21" s="49"/>
      <c r="AEH21" s="49"/>
      <c r="AEI21" s="49"/>
      <c r="AEJ21" s="49"/>
      <c r="AEK21" s="49"/>
      <c r="AEL21" s="49"/>
      <c r="AEM21" s="49"/>
      <c r="AEN21" s="49"/>
      <c r="AEO21" s="49"/>
      <c r="AEP21" s="49"/>
      <c r="AEQ21" s="49"/>
      <c r="AER21" s="49"/>
      <c r="AES21" s="49"/>
      <c r="AET21" s="49"/>
      <c r="AEU21" s="49"/>
      <c r="AEV21" s="49"/>
      <c r="AEW21" s="49"/>
      <c r="AEX21" s="49"/>
      <c r="AEY21" s="49"/>
      <c r="AEZ21" s="49"/>
      <c r="AFA21" s="49"/>
      <c r="AFB21" s="49"/>
      <c r="AFC21" s="49"/>
      <c r="AFD21" s="49"/>
      <c r="AFE21" s="49"/>
      <c r="AFF21" s="49"/>
      <c r="AFG21" s="49"/>
      <c r="AFH21" s="49"/>
      <c r="AFI21" s="49"/>
      <c r="AFJ21" s="49"/>
      <c r="AFK21" s="49"/>
      <c r="AFL21" s="49"/>
      <c r="AFM21" s="49"/>
      <c r="AFN21" s="49"/>
      <c r="AFO21" s="49"/>
      <c r="AFP21" s="49"/>
      <c r="AFQ21" s="49"/>
      <c r="AFR21" s="49"/>
      <c r="AFS21" s="49"/>
      <c r="AFT21" s="49"/>
      <c r="AFU21" s="49"/>
      <c r="AFV21" s="49"/>
      <c r="AFW21" s="49"/>
      <c r="AFX21" s="49"/>
      <c r="AFY21" s="49"/>
      <c r="AFZ21" s="49"/>
      <c r="AGA21" s="49"/>
      <c r="AGB21" s="49"/>
      <c r="AGC21" s="49"/>
      <c r="AGD21" s="49"/>
      <c r="AGE21" s="49"/>
      <c r="AGF21" s="49"/>
      <c r="AGG21" s="49"/>
      <c r="AGH21" s="49"/>
      <c r="AGI21" s="49"/>
      <c r="AGJ21" s="49"/>
      <c r="AGK21" s="49"/>
      <c r="AGL21" s="49"/>
      <c r="AGM21" s="49"/>
      <c r="AGN21" s="49"/>
      <c r="AGO21" s="49"/>
      <c r="AGP21" s="49"/>
      <c r="AGQ21" s="49"/>
      <c r="AGR21" s="49"/>
      <c r="AGS21" s="49"/>
      <c r="AGT21" s="49"/>
      <c r="AGU21" s="49"/>
      <c r="AGV21" s="49"/>
      <c r="AGW21" s="49"/>
      <c r="AGX21" s="49"/>
      <c r="AGY21" s="49"/>
      <c r="AGZ21" s="49"/>
      <c r="AHA21" s="49"/>
      <c r="AHB21" s="49"/>
      <c r="AHC21" s="49"/>
      <c r="AHD21" s="49"/>
      <c r="AHE21" s="49"/>
      <c r="AHF21" s="49"/>
      <c r="AHG21" s="49"/>
      <c r="AHH21" s="49"/>
      <c r="AHI21" s="49"/>
      <c r="AHJ21" s="49"/>
      <c r="AHK21" s="49"/>
      <c r="AHL21" s="49"/>
      <c r="AHM21" s="49"/>
      <c r="AHN21" s="49"/>
      <c r="AHO21" s="49"/>
      <c r="AHP21" s="49"/>
      <c r="AHQ21" s="49"/>
      <c r="AHR21" s="49"/>
      <c r="AHS21" s="49"/>
      <c r="AHT21" s="49"/>
      <c r="AHU21" s="49"/>
      <c r="AHV21" s="49"/>
      <c r="AHW21" s="49"/>
      <c r="AHX21" s="49"/>
      <c r="AHY21" s="49"/>
      <c r="AHZ21" s="49"/>
      <c r="AIA21" s="49"/>
      <c r="AIB21" s="49"/>
      <c r="AIC21" s="49"/>
      <c r="AID21" s="49"/>
      <c r="AIE21" s="49"/>
      <c r="AIF21" s="49"/>
      <c r="AIG21" s="49"/>
      <c r="AIH21" s="49"/>
      <c r="AII21" s="49"/>
      <c r="AIJ21" s="49"/>
      <c r="AIK21" s="49"/>
      <c r="AIL21" s="49"/>
      <c r="AIM21" s="49"/>
      <c r="AIN21" s="49"/>
      <c r="AIO21" s="49"/>
      <c r="AIP21" s="49"/>
      <c r="AIQ21" s="49"/>
      <c r="AIR21" s="49"/>
      <c r="AIS21" s="49"/>
      <c r="AIT21" s="49"/>
      <c r="AIU21" s="49"/>
      <c r="AIV21" s="49"/>
      <c r="AIW21" s="49"/>
      <c r="AIX21" s="49"/>
      <c r="AIY21" s="49"/>
      <c r="AIZ21" s="49"/>
      <c r="AJA21" s="49"/>
      <c r="AJB21" s="49"/>
      <c r="AJC21" s="49"/>
      <c r="AJD21" s="49"/>
      <c r="AJE21" s="49"/>
      <c r="AJF21" s="49"/>
      <c r="AJG21" s="49"/>
      <c r="AJH21" s="49"/>
      <c r="AJI21" s="49"/>
      <c r="AJJ21" s="49"/>
      <c r="AJK21" s="49"/>
      <c r="AJL21" s="49"/>
      <c r="AJM21" s="49"/>
      <c r="AJN21" s="49"/>
      <c r="AJO21" s="49"/>
      <c r="AJP21" s="49"/>
      <c r="AJQ21" s="49"/>
      <c r="AJR21" s="49"/>
      <c r="AJS21" s="49"/>
      <c r="AJT21" s="49"/>
      <c r="AJU21" s="49"/>
      <c r="AJV21" s="49"/>
      <c r="AJW21" s="49"/>
      <c r="AJX21" s="49"/>
      <c r="AJY21" s="49"/>
      <c r="AJZ21" s="49"/>
      <c r="AKA21" s="49"/>
      <c r="AKB21" s="49"/>
      <c r="AKC21" s="49"/>
      <c r="AKD21" s="49"/>
      <c r="AKE21" s="49"/>
      <c r="AKF21" s="49"/>
      <c r="AKG21" s="49"/>
      <c r="AKH21" s="49"/>
      <c r="AKI21" s="49"/>
      <c r="AKJ21" s="49"/>
      <c r="AKK21" s="49"/>
      <c r="AKL21" s="49"/>
      <c r="AKM21" s="49"/>
      <c r="AKN21" s="49"/>
      <c r="AKO21" s="49"/>
      <c r="AKP21" s="49"/>
      <c r="AKQ21" s="49"/>
      <c r="AKR21" s="49"/>
      <c r="AKS21" s="49"/>
      <c r="AKT21" s="49"/>
      <c r="AKU21" s="49"/>
      <c r="AKV21" s="49"/>
      <c r="AKW21" s="49"/>
      <c r="AKX21" s="49"/>
      <c r="AKY21" s="49"/>
      <c r="AKZ21" s="49"/>
      <c r="ALA21" s="49"/>
      <c r="ALB21" s="49"/>
      <c r="ALC21" s="49"/>
      <c r="ALD21" s="49"/>
      <c r="ALE21" s="49"/>
      <c r="ALF21" s="49"/>
      <c r="ALG21" s="49"/>
      <c r="ALH21" s="49"/>
      <c r="ALI21" s="49"/>
      <c r="ALJ21" s="49"/>
      <c r="ALK21" s="49"/>
      <c r="ALL21" s="49"/>
      <c r="ALM21" s="49"/>
      <c r="ALN21" s="49"/>
      <c r="ALO21" s="49"/>
      <c r="ALP21" s="49"/>
      <c r="ALQ21" s="49"/>
      <c r="ALR21" s="49"/>
      <c r="ALS21" s="49"/>
      <c r="ALT21" s="49"/>
      <c r="ALU21" s="49"/>
      <c r="ALV21" s="49"/>
      <c r="ALW21" s="49"/>
      <c r="ALX21" s="49"/>
      <c r="ALY21" s="49"/>
      <c r="ALZ21" s="49"/>
      <c r="AMA21" s="49"/>
      <c r="AMB21" s="49"/>
      <c r="AMC21" s="49"/>
      <c r="AMD21" s="49"/>
      <c r="AME21" s="49"/>
      <c r="AMF21" s="49"/>
      <c r="AMG21" s="49"/>
      <c r="AMH21" s="49"/>
      <c r="AMI21" s="49"/>
      <c r="AMJ21" s="49"/>
      <c r="AMK21" s="49"/>
      <c r="AML21" s="49"/>
      <c r="AMM21" s="49"/>
      <c r="AMN21" s="49"/>
      <c r="AMO21" s="49"/>
      <c r="AMP21" s="49"/>
      <c r="AMQ21" s="49"/>
      <c r="AMR21" s="49"/>
      <c r="AMS21" s="49"/>
      <c r="AMT21" s="49"/>
      <c r="AMU21" s="49"/>
      <c r="AMV21" s="49"/>
      <c r="AMW21" s="49"/>
      <c r="AMX21" s="49"/>
      <c r="AMY21" s="49"/>
      <c r="AMZ21" s="49"/>
      <c r="ANA21" s="49"/>
      <c r="ANB21" s="49"/>
      <c r="ANC21" s="49"/>
      <c r="AND21" s="49"/>
      <c r="ANE21" s="49"/>
      <c r="ANF21" s="49"/>
      <c r="ANG21" s="49"/>
      <c r="ANH21" s="49"/>
      <c r="ANI21" s="49"/>
      <c r="ANJ21" s="49"/>
      <c r="ANK21" s="49"/>
      <c r="ANL21" s="49"/>
      <c r="ANM21" s="49"/>
      <c r="ANN21" s="49"/>
      <c r="ANO21" s="49"/>
      <c r="ANP21" s="49"/>
      <c r="ANQ21" s="49"/>
      <c r="ANR21" s="49"/>
      <c r="ANS21" s="49"/>
      <c r="ANT21" s="49"/>
      <c r="ANU21" s="49"/>
      <c r="ANV21" s="49"/>
      <c r="ANW21" s="49"/>
      <c r="ANX21" s="49"/>
      <c r="ANY21" s="49"/>
      <c r="ANZ21" s="49"/>
      <c r="AOA21" s="49"/>
      <c r="AOB21" s="49"/>
      <c r="AOC21" s="49"/>
      <c r="AOD21" s="49"/>
      <c r="AOE21" s="49"/>
      <c r="AOF21" s="49"/>
      <c r="AOG21" s="49"/>
      <c r="AOH21" s="49"/>
      <c r="AOI21" s="49"/>
      <c r="AOJ21" s="49"/>
      <c r="AOK21" s="49"/>
      <c r="AOL21" s="49"/>
      <c r="AOM21" s="49"/>
      <c r="AON21" s="49"/>
      <c r="AOO21" s="49"/>
      <c r="AOP21" s="49"/>
      <c r="AOQ21" s="49"/>
      <c r="AOR21" s="49"/>
      <c r="AOS21" s="49"/>
      <c r="AOT21" s="49"/>
      <c r="AOU21" s="49"/>
      <c r="AOV21" s="49"/>
      <c r="AOW21" s="49"/>
      <c r="AOX21" s="49"/>
      <c r="AOY21" s="49"/>
      <c r="AOZ21" s="49"/>
      <c r="APA21" s="49"/>
      <c r="APB21" s="49"/>
      <c r="APC21" s="49"/>
      <c r="APD21" s="49"/>
      <c r="APE21" s="49"/>
      <c r="APF21" s="49"/>
      <c r="APG21" s="49"/>
      <c r="APH21" s="49"/>
      <c r="API21" s="49"/>
      <c r="APJ21" s="49"/>
      <c r="APK21" s="49"/>
      <c r="APL21" s="49"/>
      <c r="APM21" s="49"/>
      <c r="APN21" s="49"/>
      <c r="APO21" s="49"/>
      <c r="APP21" s="49"/>
      <c r="APQ21" s="49"/>
      <c r="APR21" s="49"/>
      <c r="APS21" s="49"/>
      <c r="APT21" s="49"/>
      <c r="APU21" s="49"/>
      <c r="APV21" s="49"/>
      <c r="APW21" s="49"/>
      <c r="APX21" s="49"/>
      <c r="APY21" s="49"/>
      <c r="APZ21" s="49"/>
      <c r="AQA21" s="49"/>
      <c r="AQB21" s="49"/>
      <c r="AQC21" s="49"/>
      <c r="AQD21" s="49"/>
      <c r="AQE21" s="49"/>
      <c r="AQF21" s="49"/>
      <c r="AQG21" s="49"/>
      <c r="AQH21" s="49"/>
      <c r="AQI21" s="49"/>
      <c r="AQJ21" s="49"/>
      <c r="AQK21" s="49"/>
      <c r="AQL21" s="49"/>
      <c r="AQM21" s="49"/>
      <c r="AQN21" s="49"/>
      <c r="AQO21" s="49"/>
      <c r="AQP21" s="49"/>
      <c r="AQQ21" s="49"/>
      <c r="AQR21" s="49"/>
      <c r="AQS21" s="49"/>
      <c r="AQT21" s="49"/>
      <c r="AQU21" s="49"/>
      <c r="AQV21" s="49"/>
      <c r="AQW21" s="49"/>
      <c r="AQX21" s="49"/>
      <c r="AQY21" s="49"/>
      <c r="AQZ21" s="49"/>
      <c r="ARA21" s="49"/>
      <c r="ARB21" s="49"/>
      <c r="ARC21" s="49"/>
      <c r="ARD21" s="49"/>
      <c r="ARE21" s="49"/>
      <c r="ARF21" s="49"/>
      <c r="ARG21" s="49"/>
      <c r="ARH21" s="49"/>
      <c r="ARI21" s="49"/>
      <c r="ARJ21" s="49"/>
      <c r="ARK21" s="49"/>
      <c r="ARL21" s="49"/>
      <c r="ARM21" s="49"/>
      <c r="ARN21" s="49"/>
      <c r="ARO21" s="49"/>
      <c r="ARP21" s="49"/>
      <c r="ARQ21" s="49"/>
      <c r="ARR21" s="49"/>
      <c r="ARS21" s="49"/>
      <c r="ART21" s="49"/>
      <c r="ARU21" s="49"/>
      <c r="ARV21" s="49"/>
      <c r="ARW21" s="49"/>
      <c r="ARX21" s="49"/>
      <c r="ARY21" s="49"/>
      <c r="ARZ21" s="49"/>
      <c r="ASA21" s="49"/>
      <c r="ASB21" s="49"/>
      <c r="ASC21" s="49"/>
      <c r="ASD21" s="49"/>
      <c r="ASE21" s="49"/>
      <c r="ASF21" s="49"/>
      <c r="ASG21" s="49"/>
      <c r="ASH21" s="49"/>
      <c r="ASI21" s="49"/>
      <c r="ASJ21" s="49"/>
      <c r="ASK21" s="49"/>
      <c r="ASL21" s="49"/>
      <c r="ASM21" s="49"/>
      <c r="ASN21" s="49"/>
      <c r="ASO21" s="49"/>
      <c r="ASP21" s="49"/>
      <c r="ASQ21" s="49"/>
      <c r="ASR21" s="49"/>
      <c r="ASS21" s="49"/>
      <c r="AST21" s="49"/>
      <c r="ASU21" s="49"/>
      <c r="ASV21" s="49"/>
      <c r="ASW21" s="49"/>
      <c r="ASX21" s="49"/>
      <c r="ASY21" s="49"/>
      <c r="ASZ21" s="49"/>
      <c r="ATA21" s="49"/>
      <c r="ATB21" s="49"/>
      <c r="ATC21" s="49"/>
      <c r="ATD21" s="49"/>
      <c r="ATE21" s="49"/>
      <c r="ATF21" s="49"/>
      <c r="ATG21" s="49"/>
      <c r="ATH21" s="49"/>
      <c r="ATI21" s="49"/>
      <c r="ATJ21" s="49"/>
      <c r="ATK21" s="49"/>
      <c r="ATL21" s="49"/>
      <c r="ATM21" s="49"/>
      <c r="ATN21" s="49"/>
      <c r="ATO21" s="49"/>
      <c r="ATP21" s="49"/>
      <c r="ATQ21" s="49"/>
      <c r="ATR21" s="49"/>
      <c r="ATS21" s="49"/>
      <c r="ATT21" s="49"/>
      <c r="ATU21" s="49"/>
      <c r="ATV21" s="49"/>
      <c r="ATW21" s="49"/>
      <c r="ATX21" s="49"/>
      <c r="ATY21" s="49"/>
      <c r="ATZ21" s="49"/>
      <c r="AUA21" s="49"/>
      <c r="AUB21" s="49"/>
      <c r="AUC21" s="49"/>
      <c r="AUD21" s="49"/>
      <c r="AUE21" s="49"/>
      <c r="AUF21" s="49"/>
      <c r="AUG21" s="49"/>
      <c r="AUH21" s="49"/>
      <c r="AUI21" s="49"/>
      <c r="AUJ21" s="49"/>
      <c r="AUK21" s="49"/>
      <c r="AUL21" s="49"/>
      <c r="AUM21" s="49"/>
      <c r="AUN21" s="49"/>
      <c r="AUO21" s="49"/>
      <c r="AUP21" s="49"/>
      <c r="AUQ21" s="49"/>
      <c r="AUR21" s="49"/>
      <c r="AUS21" s="49"/>
      <c r="AUT21" s="49"/>
      <c r="AUU21" s="49"/>
      <c r="AUV21" s="49"/>
      <c r="AUW21" s="49"/>
      <c r="AUX21" s="49"/>
      <c r="AUY21" s="49"/>
      <c r="AUZ21" s="49"/>
      <c r="AVA21" s="49"/>
      <c r="AVB21" s="49"/>
      <c r="AVC21" s="49"/>
      <c r="AVD21" s="49"/>
      <c r="AVE21" s="49"/>
      <c r="AVF21" s="49"/>
      <c r="AVG21" s="49"/>
      <c r="AVH21" s="49"/>
      <c r="AVI21" s="49"/>
      <c r="AVJ21" s="49"/>
      <c r="AVK21" s="49"/>
      <c r="AVL21" s="49"/>
      <c r="AVM21" s="49"/>
      <c r="AVN21" s="49"/>
      <c r="AVO21" s="49"/>
      <c r="AVP21" s="49"/>
      <c r="AVQ21" s="49"/>
      <c r="AVR21" s="49"/>
      <c r="AVS21" s="49"/>
      <c r="AVT21" s="49"/>
      <c r="AVU21" s="49"/>
      <c r="AVV21" s="49"/>
      <c r="AVW21" s="49"/>
      <c r="AVX21" s="49"/>
      <c r="AVY21" s="49"/>
      <c r="AVZ21" s="49"/>
      <c r="AWA21" s="49"/>
      <c r="AWB21" s="49"/>
      <c r="AWC21" s="49"/>
      <c r="AWD21" s="49"/>
      <c r="AWE21" s="49"/>
      <c r="AWF21" s="49"/>
      <c r="AWG21" s="49"/>
      <c r="AWH21" s="49"/>
      <c r="AWI21" s="49"/>
      <c r="AWJ21" s="49"/>
      <c r="AWK21" s="49"/>
      <c r="AWL21" s="49"/>
      <c r="AWM21" s="49"/>
      <c r="AWN21" s="49"/>
      <c r="AWO21" s="49"/>
      <c r="AWP21" s="49"/>
      <c r="AWQ21" s="49"/>
      <c r="AWR21" s="49"/>
      <c r="AWS21" s="49"/>
      <c r="AWT21" s="49"/>
      <c r="AWU21" s="49"/>
      <c r="AWV21" s="49"/>
      <c r="AWW21" s="49"/>
      <c r="AWX21" s="49"/>
      <c r="AWY21" s="49"/>
      <c r="AWZ21" s="49"/>
      <c r="AXA21" s="49"/>
      <c r="AXB21" s="49"/>
      <c r="AXC21" s="49"/>
      <c r="AXD21" s="49"/>
      <c r="AXE21" s="49"/>
      <c r="AXF21" s="49"/>
      <c r="AXG21" s="49"/>
      <c r="AXH21" s="49"/>
      <c r="AXI21" s="49"/>
      <c r="AXJ21" s="49"/>
      <c r="AXK21" s="49"/>
      <c r="AXL21" s="49"/>
      <c r="AXM21" s="49"/>
      <c r="AXN21" s="49"/>
      <c r="AXO21" s="49"/>
      <c r="AXP21" s="49"/>
      <c r="AXQ21" s="49"/>
      <c r="AXR21" s="49"/>
      <c r="AXS21" s="49"/>
      <c r="AXT21" s="49"/>
      <c r="AXU21" s="49"/>
      <c r="AXV21" s="49"/>
      <c r="AXW21" s="49"/>
      <c r="AXX21" s="49"/>
      <c r="AXY21" s="49"/>
      <c r="AXZ21" s="49"/>
      <c r="AYA21" s="49"/>
      <c r="AYB21" s="49"/>
      <c r="AYC21" s="49"/>
      <c r="AYD21" s="49"/>
      <c r="AYE21" s="49"/>
      <c r="AYF21" s="49"/>
      <c r="AYG21" s="49"/>
      <c r="AYH21" s="49"/>
      <c r="AYI21" s="49"/>
      <c r="AYJ21" s="49"/>
      <c r="AYK21" s="49"/>
      <c r="AYL21" s="49"/>
      <c r="AYM21" s="49"/>
      <c r="AYN21" s="49"/>
      <c r="AYO21" s="49"/>
      <c r="AYP21" s="49"/>
      <c r="AYQ21" s="49"/>
      <c r="AYR21" s="49"/>
      <c r="AYS21" s="49"/>
      <c r="AYT21" s="49"/>
      <c r="AYU21" s="49"/>
      <c r="AYV21" s="49"/>
      <c r="AYW21" s="49"/>
      <c r="AYX21" s="49"/>
      <c r="AYY21" s="49"/>
      <c r="AYZ21" s="49"/>
      <c r="AZA21" s="49"/>
      <c r="AZB21" s="49"/>
      <c r="AZC21" s="49"/>
      <c r="AZD21" s="49"/>
      <c r="AZE21" s="49"/>
      <c r="AZF21" s="49"/>
      <c r="AZG21" s="49"/>
      <c r="AZH21" s="49"/>
      <c r="AZI21" s="49"/>
      <c r="AZJ21" s="49"/>
      <c r="AZK21" s="49"/>
      <c r="AZL21" s="49"/>
      <c r="AZM21" s="49"/>
      <c r="AZN21" s="49"/>
      <c r="AZO21" s="49"/>
      <c r="AZP21" s="49"/>
      <c r="AZQ21" s="49"/>
      <c r="AZR21" s="49"/>
      <c r="AZS21" s="49"/>
      <c r="AZT21" s="49"/>
      <c r="AZU21" s="49"/>
      <c r="AZV21" s="49"/>
      <c r="AZW21" s="49"/>
      <c r="AZX21" s="49"/>
      <c r="AZY21" s="49"/>
      <c r="AZZ21" s="49"/>
      <c r="BAA21" s="49"/>
      <c r="BAB21" s="49"/>
      <c r="BAC21" s="49"/>
      <c r="BAD21" s="49"/>
      <c r="BAE21" s="49"/>
      <c r="BAF21" s="49"/>
      <c r="BAG21" s="49"/>
      <c r="BAH21" s="49"/>
      <c r="BAI21" s="49"/>
      <c r="BAJ21" s="49"/>
      <c r="BAK21" s="49"/>
      <c r="BAL21" s="49"/>
      <c r="BAM21" s="49"/>
      <c r="BAN21" s="49"/>
      <c r="BAO21" s="49"/>
      <c r="BAP21" s="49"/>
      <c r="BAQ21" s="49"/>
      <c r="BAR21" s="49"/>
      <c r="BAS21" s="49"/>
      <c r="BAT21" s="49"/>
      <c r="BAU21" s="49"/>
      <c r="BAV21" s="49"/>
      <c r="BAW21" s="49"/>
      <c r="BAX21" s="49"/>
      <c r="BAY21" s="49"/>
      <c r="BAZ21" s="49"/>
      <c r="BBA21" s="49"/>
      <c r="BBB21" s="49"/>
      <c r="BBC21" s="49"/>
      <c r="BBD21" s="49"/>
      <c r="BBE21" s="49"/>
      <c r="BBF21" s="49"/>
      <c r="BBG21" s="49"/>
      <c r="BBH21" s="49"/>
      <c r="BBI21" s="49"/>
      <c r="BBJ21" s="49"/>
      <c r="BBK21" s="49"/>
      <c r="BBL21" s="49"/>
      <c r="BBM21" s="49"/>
      <c r="BBN21" s="49"/>
      <c r="BBO21" s="49"/>
      <c r="BBP21" s="49"/>
      <c r="BBQ21" s="49"/>
      <c r="BBR21" s="49"/>
      <c r="BBS21" s="49"/>
      <c r="BBT21" s="49"/>
      <c r="BBU21" s="49"/>
      <c r="BBV21" s="49"/>
      <c r="BBW21" s="49"/>
      <c r="BBX21" s="49"/>
      <c r="BBY21" s="49"/>
      <c r="BBZ21" s="49"/>
      <c r="BCA21" s="49"/>
      <c r="BCB21" s="49"/>
      <c r="BCC21" s="49"/>
      <c r="BCD21" s="49"/>
      <c r="BCE21" s="49"/>
      <c r="BCF21" s="49"/>
      <c r="BCG21" s="49"/>
      <c r="BCH21" s="49"/>
      <c r="BCI21" s="49"/>
      <c r="BCJ21" s="49"/>
      <c r="BCK21" s="49"/>
      <c r="BCL21" s="49"/>
      <c r="BCM21" s="49"/>
      <c r="BCN21" s="49"/>
    </row>
    <row r="22" spans="1:1444" s="47" customFormat="1">
      <c r="A22" s="52"/>
      <c r="B22" s="94">
        <v>45765</v>
      </c>
      <c r="C22" s="94" t="s">
        <v>196</v>
      </c>
      <c r="D22" s="95">
        <v>54</v>
      </c>
      <c r="E22" s="95">
        <v>115.05000000001746</v>
      </c>
      <c r="F22" s="95">
        <v>0</v>
      </c>
      <c r="G22" s="95">
        <v>0</v>
      </c>
      <c r="H22" s="95">
        <v>44</v>
      </c>
      <c r="I22" s="95">
        <v>38</v>
      </c>
      <c r="J22" s="95">
        <v>1092.4299999999994</v>
      </c>
      <c r="K22" s="95">
        <v>1560.8710000012143</v>
      </c>
      <c r="L22" s="95">
        <v>0</v>
      </c>
      <c r="M22" s="155">
        <v>0</v>
      </c>
      <c r="N22" s="141">
        <f>'units overall'!O22</f>
        <v>2917.3510000012311</v>
      </c>
      <c r="O22" s="230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L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B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R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H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X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  <c r="II22" s="49"/>
      <c r="IJ22" s="49"/>
      <c r="IK22" s="49"/>
      <c r="IL22" s="49"/>
      <c r="IM22" s="49"/>
      <c r="IN22" s="49"/>
      <c r="IO22" s="49"/>
      <c r="IP22" s="49"/>
      <c r="IQ22" s="49"/>
      <c r="IR22" s="49"/>
      <c r="IS22" s="49"/>
      <c r="IT22" s="49"/>
      <c r="IU22" s="49"/>
      <c r="IV22" s="49"/>
      <c r="IW22" s="49"/>
      <c r="IX22" s="49"/>
      <c r="IY22" s="49"/>
      <c r="IZ22" s="49"/>
      <c r="JA22" s="49"/>
      <c r="JB22" s="49"/>
      <c r="JC22" s="49"/>
      <c r="JD22" s="49"/>
      <c r="JE22" s="49"/>
      <c r="JF22" s="49"/>
      <c r="JG22" s="49"/>
      <c r="JH22" s="49"/>
      <c r="JI22" s="49"/>
      <c r="JJ22" s="49"/>
      <c r="JK22" s="49"/>
      <c r="JL22" s="49"/>
      <c r="JM22" s="49"/>
      <c r="JN22" s="49"/>
      <c r="JO22" s="49"/>
      <c r="JP22" s="49"/>
      <c r="JQ22" s="49"/>
      <c r="JR22" s="49"/>
      <c r="JS22" s="49"/>
      <c r="JT22" s="49"/>
      <c r="JU22" s="49"/>
      <c r="JV22" s="49"/>
      <c r="JW22" s="49"/>
      <c r="JX22" s="49"/>
      <c r="JY22" s="49"/>
      <c r="JZ22" s="49"/>
      <c r="KA22" s="49"/>
      <c r="KB22" s="49"/>
      <c r="KC22" s="49"/>
      <c r="KD22" s="49"/>
      <c r="KE22" s="49"/>
      <c r="KF22" s="49"/>
      <c r="KG22" s="49"/>
      <c r="KH22" s="49"/>
      <c r="KI22" s="49"/>
      <c r="KJ22" s="49"/>
      <c r="KK22" s="49"/>
      <c r="KL22" s="49"/>
      <c r="KM22" s="49"/>
      <c r="KN22" s="49"/>
      <c r="KO22" s="49"/>
      <c r="KP22" s="49"/>
      <c r="KQ22" s="49"/>
      <c r="KR22" s="49"/>
      <c r="KS22" s="49"/>
      <c r="KT22" s="49"/>
      <c r="KU22" s="49"/>
      <c r="KV22" s="49"/>
      <c r="KW22" s="49"/>
      <c r="KX22" s="49"/>
      <c r="KY22" s="49"/>
      <c r="KZ22" s="49"/>
      <c r="LA22" s="49"/>
      <c r="LB22" s="49"/>
      <c r="LC22" s="49"/>
      <c r="LD22" s="49"/>
      <c r="LE22" s="49"/>
      <c r="LF22" s="49"/>
      <c r="LG22" s="49"/>
      <c r="LH22" s="49"/>
      <c r="LI22" s="49"/>
      <c r="LJ22" s="49"/>
      <c r="LK22" s="49"/>
      <c r="LL22" s="49"/>
      <c r="LM22" s="49"/>
      <c r="LN22" s="49"/>
      <c r="LO22" s="49"/>
      <c r="LP22" s="49"/>
      <c r="LQ22" s="49"/>
      <c r="LR22" s="49"/>
      <c r="LS22" s="49"/>
      <c r="LT22" s="49"/>
      <c r="LU22" s="49"/>
      <c r="LV22" s="49"/>
      <c r="LW22" s="49"/>
      <c r="LX22" s="49"/>
      <c r="LY22" s="49"/>
      <c r="LZ22" s="49"/>
      <c r="MA22" s="49"/>
      <c r="MB22" s="49"/>
      <c r="MC22" s="49"/>
      <c r="MD22" s="49"/>
      <c r="ME22" s="49"/>
      <c r="MF22" s="49"/>
      <c r="MG22" s="49"/>
      <c r="MH22" s="49"/>
      <c r="MI22" s="49"/>
      <c r="MJ22" s="49"/>
      <c r="MK22" s="49"/>
      <c r="ML22" s="49"/>
      <c r="MM22" s="49"/>
      <c r="MN22" s="49"/>
      <c r="MO22" s="49"/>
      <c r="MP22" s="49"/>
      <c r="MQ22" s="49"/>
      <c r="MR22" s="49"/>
      <c r="MS22" s="49"/>
      <c r="MT22" s="49"/>
      <c r="MU22" s="49"/>
      <c r="MV22" s="49"/>
      <c r="MW22" s="49"/>
      <c r="MX22" s="49"/>
      <c r="MY22" s="49"/>
      <c r="MZ22" s="49"/>
      <c r="NA22" s="49"/>
      <c r="NB22" s="49"/>
      <c r="NC22" s="49"/>
      <c r="ND22" s="49"/>
      <c r="NE22" s="49"/>
      <c r="NF22" s="49"/>
      <c r="NG22" s="49"/>
      <c r="NH22" s="49"/>
      <c r="NI22" s="49"/>
      <c r="NJ22" s="49"/>
      <c r="NK22" s="49"/>
      <c r="NL22" s="49"/>
      <c r="NM22" s="49"/>
      <c r="NN22" s="49"/>
      <c r="NO22" s="49"/>
      <c r="NP22" s="49"/>
      <c r="NQ22" s="49"/>
      <c r="NR22" s="49"/>
      <c r="NS22" s="49"/>
      <c r="NT22" s="49"/>
      <c r="NU22" s="49"/>
      <c r="NV22" s="49"/>
      <c r="NW22" s="49"/>
      <c r="NX22" s="49"/>
      <c r="NY22" s="49"/>
      <c r="NZ22" s="49"/>
      <c r="OA22" s="49"/>
      <c r="OB22" s="49"/>
      <c r="OC22" s="49"/>
      <c r="OD22" s="49"/>
      <c r="OE22" s="49"/>
      <c r="OF22" s="49"/>
      <c r="OG22" s="49"/>
      <c r="OH22" s="49"/>
      <c r="OI22" s="49"/>
      <c r="OJ22" s="49"/>
      <c r="OK22" s="49"/>
      <c r="OL22" s="49"/>
      <c r="OM22" s="49"/>
      <c r="ON22" s="49"/>
      <c r="OO22" s="49"/>
      <c r="OP22" s="49"/>
      <c r="OQ22" s="49"/>
      <c r="OR22" s="49"/>
      <c r="OS22" s="49"/>
      <c r="OT22" s="49"/>
      <c r="OU22" s="49"/>
      <c r="OV22" s="49"/>
      <c r="OW22" s="49"/>
      <c r="OX22" s="49"/>
      <c r="OY22" s="49"/>
      <c r="OZ22" s="49"/>
      <c r="PA22" s="49"/>
      <c r="PB22" s="49"/>
      <c r="PC22" s="49"/>
      <c r="PD22" s="49"/>
      <c r="PE22" s="49"/>
      <c r="PF22" s="49"/>
      <c r="PG22" s="49"/>
      <c r="PH22" s="49"/>
      <c r="PI22" s="49"/>
      <c r="PJ22" s="49"/>
      <c r="PK22" s="49"/>
      <c r="PL22" s="49"/>
      <c r="PM22" s="49"/>
      <c r="PN22" s="49"/>
      <c r="PO22" s="49"/>
      <c r="PP22" s="49"/>
      <c r="PQ22" s="49"/>
      <c r="PR22" s="49"/>
      <c r="PS22" s="49"/>
      <c r="PT22" s="49"/>
      <c r="PU22" s="49"/>
      <c r="PV22" s="49"/>
      <c r="PW22" s="49"/>
      <c r="PX22" s="49"/>
      <c r="PY22" s="49"/>
      <c r="PZ22" s="49"/>
      <c r="QA22" s="49"/>
      <c r="QB22" s="49"/>
      <c r="QC22" s="49"/>
      <c r="QD22" s="49"/>
      <c r="QE22" s="49"/>
      <c r="QF22" s="49"/>
      <c r="QG22" s="49"/>
      <c r="QH22" s="49"/>
      <c r="QI22" s="49"/>
      <c r="QJ22" s="49"/>
      <c r="QK22" s="49"/>
      <c r="QL22" s="49"/>
      <c r="QM22" s="49"/>
      <c r="QN22" s="49"/>
      <c r="QO22" s="49"/>
      <c r="QP22" s="49"/>
      <c r="QQ22" s="49"/>
      <c r="QR22" s="49"/>
      <c r="QS22" s="49"/>
      <c r="QT22" s="49"/>
      <c r="QU22" s="49"/>
      <c r="QV22" s="49"/>
      <c r="QW22" s="49"/>
      <c r="QX22" s="49"/>
      <c r="QY22" s="49"/>
      <c r="QZ22" s="49"/>
      <c r="RA22" s="49"/>
      <c r="RB22" s="49"/>
      <c r="RC22" s="49"/>
      <c r="RD22" s="49"/>
      <c r="RE22" s="49"/>
      <c r="RF22" s="49"/>
      <c r="RG22" s="49"/>
      <c r="RH22" s="49"/>
      <c r="RI22" s="49"/>
      <c r="RJ22" s="49"/>
      <c r="RK22" s="49"/>
      <c r="RL22" s="49"/>
      <c r="RM22" s="49"/>
      <c r="RN22" s="49"/>
      <c r="RO22" s="49"/>
      <c r="RP22" s="49"/>
      <c r="RQ22" s="49"/>
      <c r="RR22" s="49"/>
      <c r="RS22" s="49"/>
      <c r="RT22" s="49"/>
      <c r="RU22" s="49"/>
      <c r="RV22" s="49"/>
      <c r="RW22" s="49"/>
      <c r="RX22" s="49"/>
      <c r="RY22" s="49"/>
      <c r="RZ22" s="49"/>
      <c r="SA22" s="49"/>
      <c r="SB22" s="49"/>
      <c r="SC22" s="49"/>
      <c r="SD22" s="49"/>
      <c r="SE22" s="49"/>
      <c r="SF22" s="49"/>
      <c r="SG22" s="49"/>
      <c r="SH22" s="49"/>
      <c r="SI22" s="49"/>
      <c r="SJ22" s="49"/>
      <c r="SK22" s="49"/>
      <c r="SL22" s="49"/>
      <c r="SM22" s="49"/>
      <c r="SN22" s="49"/>
      <c r="SO22" s="49"/>
      <c r="SP22" s="49"/>
      <c r="SQ22" s="49"/>
      <c r="SR22" s="49"/>
      <c r="SS22" s="49"/>
      <c r="ST22" s="49"/>
      <c r="SU22" s="49"/>
      <c r="SV22" s="49"/>
      <c r="SW22" s="49"/>
      <c r="SX22" s="49"/>
      <c r="SY22" s="49"/>
      <c r="SZ22" s="49"/>
      <c r="TA22" s="49"/>
      <c r="TB22" s="49"/>
      <c r="TC22" s="49"/>
      <c r="TD22" s="49"/>
      <c r="TE22" s="49"/>
      <c r="TF22" s="49"/>
      <c r="TG22" s="49"/>
      <c r="TH22" s="49"/>
      <c r="TI22" s="49"/>
      <c r="TJ22" s="49"/>
      <c r="TK22" s="49"/>
      <c r="TL22" s="49"/>
      <c r="TM22" s="49"/>
      <c r="TN22" s="49"/>
      <c r="TO22" s="49"/>
      <c r="TP22" s="49"/>
      <c r="TQ22" s="49"/>
      <c r="TR22" s="49"/>
      <c r="TS22" s="49"/>
      <c r="TT22" s="49"/>
      <c r="TU22" s="49"/>
      <c r="TV22" s="49"/>
      <c r="TW22" s="49"/>
      <c r="TX22" s="49"/>
      <c r="TY22" s="49"/>
      <c r="TZ22" s="49"/>
      <c r="UA22" s="49"/>
      <c r="UB22" s="49"/>
      <c r="UC22" s="49"/>
      <c r="UD22" s="49"/>
      <c r="UE22" s="49"/>
      <c r="UF22" s="49"/>
      <c r="UG22" s="49"/>
      <c r="UH22" s="49"/>
      <c r="UI22" s="49"/>
      <c r="UJ22" s="49"/>
      <c r="UK22" s="49"/>
      <c r="UL22" s="49"/>
      <c r="UM22" s="49"/>
      <c r="UN22" s="49"/>
      <c r="UO22" s="49"/>
      <c r="UP22" s="49"/>
      <c r="UQ22" s="49"/>
      <c r="UR22" s="49"/>
      <c r="US22" s="49"/>
      <c r="UT22" s="49"/>
      <c r="UU22" s="49"/>
      <c r="UV22" s="49"/>
      <c r="UW22" s="49"/>
      <c r="UX22" s="49"/>
      <c r="UY22" s="49"/>
      <c r="UZ22" s="49"/>
      <c r="VA22" s="49"/>
      <c r="VB22" s="49"/>
      <c r="VC22" s="49"/>
      <c r="VD22" s="49"/>
      <c r="VE22" s="49"/>
      <c r="VF22" s="49"/>
      <c r="VG22" s="49"/>
      <c r="VH22" s="49"/>
      <c r="VI22" s="49"/>
      <c r="VJ22" s="49"/>
      <c r="VK22" s="49"/>
      <c r="VL22" s="49"/>
      <c r="VM22" s="49"/>
      <c r="VN22" s="49"/>
      <c r="VO22" s="49"/>
      <c r="VP22" s="49"/>
      <c r="VQ22" s="49"/>
      <c r="VR22" s="49"/>
      <c r="VS22" s="49"/>
      <c r="VT22" s="49"/>
      <c r="VU22" s="49"/>
      <c r="VV22" s="49"/>
      <c r="VW22" s="49"/>
      <c r="VX22" s="49"/>
      <c r="VY22" s="49"/>
      <c r="VZ22" s="49"/>
      <c r="WA22" s="49"/>
      <c r="WB22" s="49"/>
      <c r="WC22" s="49"/>
      <c r="WD22" s="49"/>
      <c r="WE22" s="49"/>
      <c r="WF22" s="49"/>
      <c r="WG22" s="49"/>
      <c r="WH22" s="49"/>
      <c r="WI22" s="49"/>
      <c r="WJ22" s="49"/>
      <c r="WK22" s="49"/>
      <c r="WL22" s="49"/>
      <c r="WM22" s="49"/>
      <c r="WN22" s="49"/>
      <c r="WO22" s="49"/>
      <c r="WP22" s="49"/>
      <c r="WQ22" s="49"/>
      <c r="WR22" s="49"/>
      <c r="WS22" s="49"/>
      <c r="WT22" s="49"/>
      <c r="WU22" s="49"/>
      <c r="WV22" s="49"/>
      <c r="WW22" s="49"/>
      <c r="WX22" s="49"/>
      <c r="WY22" s="49"/>
      <c r="WZ22" s="49"/>
      <c r="XA22" s="49"/>
      <c r="XB22" s="49"/>
      <c r="XC22" s="49"/>
      <c r="XD22" s="49"/>
      <c r="XE22" s="49"/>
      <c r="XF22" s="49"/>
      <c r="XG22" s="49"/>
      <c r="XH22" s="49"/>
      <c r="XI22" s="49"/>
      <c r="XJ22" s="49"/>
      <c r="XK22" s="49"/>
      <c r="XL22" s="49"/>
      <c r="XM22" s="49"/>
      <c r="XN22" s="49"/>
      <c r="XO22" s="49"/>
      <c r="XP22" s="49"/>
      <c r="XQ22" s="49"/>
      <c r="XR22" s="49"/>
      <c r="XS22" s="49"/>
      <c r="XT22" s="49"/>
      <c r="XU22" s="49"/>
      <c r="XV22" s="49"/>
      <c r="XW22" s="49"/>
      <c r="XX22" s="49"/>
      <c r="XY22" s="49"/>
      <c r="XZ22" s="49"/>
      <c r="YA22" s="49"/>
      <c r="YB22" s="49"/>
      <c r="YC22" s="49"/>
      <c r="YD22" s="49"/>
      <c r="YE22" s="49"/>
      <c r="YF22" s="49"/>
      <c r="YG22" s="49"/>
      <c r="YH22" s="49"/>
      <c r="YI22" s="49"/>
      <c r="YJ22" s="49"/>
      <c r="YK22" s="49"/>
      <c r="YL22" s="49"/>
      <c r="YM22" s="49"/>
      <c r="YN22" s="49"/>
      <c r="YO22" s="49"/>
      <c r="YP22" s="49"/>
      <c r="YQ22" s="49"/>
      <c r="YR22" s="49"/>
      <c r="YS22" s="49"/>
      <c r="YT22" s="49"/>
      <c r="YU22" s="49"/>
      <c r="YV22" s="49"/>
      <c r="YW22" s="49"/>
      <c r="YX22" s="49"/>
      <c r="YY22" s="49"/>
      <c r="YZ22" s="49"/>
      <c r="ZA22" s="49"/>
      <c r="ZB22" s="49"/>
      <c r="ZC22" s="49"/>
      <c r="ZD22" s="49"/>
      <c r="ZE22" s="49"/>
      <c r="ZF22" s="49"/>
      <c r="ZG22" s="49"/>
      <c r="ZH22" s="49"/>
      <c r="ZI22" s="49"/>
      <c r="ZJ22" s="49"/>
      <c r="ZK22" s="49"/>
      <c r="ZL22" s="49"/>
      <c r="ZM22" s="49"/>
      <c r="ZN22" s="49"/>
      <c r="ZO22" s="49"/>
      <c r="ZP22" s="49"/>
      <c r="ZQ22" s="49"/>
      <c r="ZR22" s="49"/>
      <c r="ZS22" s="49"/>
      <c r="ZT22" s="49"/>
      <c r="ZU22" s="49"/>
      <c r="ZV22" s="49"/>
      <c r="ZW22" s="49"/>
      <c r="ZX22" s="49"/>
      <c r="ZY22" s="49"/>
      <c r="ZZ22" s="49"/>
      <c r="AAA22" s="49"/>
      <c r="AAB22" s="49"/>
      <c r="AAC22" s="49"/>
      <c r="AAD22" s="49"/>
      <c r="AAE22" s="49"/>
      <c r="AAF22" s="49"/>
      <c r="AAG22" s="49"/>
      <c r="AAH22" s="49"/>
      <c r="AAI22" s="49"/>
      <c r="AAJ22" s="49"/>
      <c r="AAK22" s="49"/>
      <c r="AAL22" s="49"/>
      <c r="AAM22" s="49"/>
      <c r="AAN22" s="49"/>
      <c r="AAO22" s="49"/>
      <c r="AAP22" s="49"/>
      <c r="AAQ22" s="49"/>
      <c r="AAR22" s="49"/>
      <c r="AAS22" s="49"/>
      <c r="AAT22" s="49"/>
      <c r="AAU22" s="49"/>
      <c r="AAV22" s="49"/>
      <c r="AAW22" s="49"/>
      <c r="AAX22" s="49"/>
      <c r="AAY22" s="49"/>
      <c r="AAZ22" s="49"/>
      <c r="ABA22" s="49"/>
      <c r="ABB22" s="49"/>
      <c r="ABC22" s="49"/>
      <c r="ABD22" s="49"/>
      <c r="ABE22" s="49"/>
      <c r="ABF22" s="49"/>
      <c r="ABG22" s="49"/>
      <c r="ABH22" s="49"/>
      <c r="ABI22" s="49"/>
      <c r="ABJ22" s="49"/>
      <c r="ABK22" s="49"/>
      <c r="ABL22" s="49"/>
      <c r="ABM22" s="49"/>
      <c r="ABN22" s="49"/>
      <c r="ABO22" s="49"/>
      <c r="ABP22" s="49"/>
      <c r="ABQ22" s="49"/>
      <c r="ABR22" s="49"/>
      <c r="ABS22" s="49"/>
      <c r="ABT22" s="49"/>
      <c r="ABU22" s="49"/>
      <c r="ABV22" s="49"/>
      <c r="ABW22" s="49"/>
      <c r="ABX22" s="49"/>
      <c r="ABY22" s="49"/>
      <c r="ABZ22" s="49"/>
      <c r="ACA22" s="49"/>
      <c r="ACB22" s="49"/>
      <c r="ACC22" s="49"/>
      <c r="ACD22" s="49"/>
      <c r="ACE22" s="49"/>
      <c r="ACF22" s="49"/>
      <c r="ACG22" s="49"/>
      <c r="ACH22" s="49"/>
      <c r="ACI22" s="49"/>
      <c r="ACJ22" s="49"/>
      <c r="ACK22" s="49"/>
      <c r="ACL22" s="49"/>
      <c r="ACM22" s="49"/>
      <c r="ACN22" s="49"/>
      <c r="ACO22" s="49"/>
      <c r="ACP22" s="49"/>
      <c r="ACQ22" s="49"/>
      <c r="ACR22" s="49"/>
      <c r="ACS22" s="49"/>
      <c r="ACT22" s="49"/>
      <c r="ACU22" s="49"/>
      <c r="ACV22" s="49"/>
      <c r="ACW22" s="49"/>
      <c r="ACX22" s="49"/>
      <c r="ACY22" s="49"/>
      <c r="ACZ22" s="49"/>
      <c r="ADA22" s="49"/>
      <c r="ADB22" s="49"/>
      <c r="ADC22" s="49"/>
      <c r="ADD22" s="49"/>
      <c r="ADE22" s="49"/>
      <c r="ADF22" s="49"/>
      <c r="ADG22" s="49"/>
      <c r="ADH22" s="49"/>
      <c r="ADI22" s="49"/>
      <c r="ADJ22" s="49"/>
      <c r="ADK22" s="49"/>
      <c r="ADL22" s="49"/>
      <c r="ADM22" s="49"/>
      <c r="ADN22" s="49"/>
      <c r="ADO22" s="49"/>
      <c r="ADP22" s="49"/>
      <c r="ADQ22" s="49"/>
      <c r="ADR22" s="49"/>
      <c r="ADS22" s="49"/>
      <c r="ADT22" s="49"/>
      <c r="ADU22" s="49"/>
      <c r="ADV22" s="49"/>
      <c r="ADW22" s="49"/>
      <c r="ADX22" s="49"/>
      <c r="ADY22" s="49"/>
      <c r="ADZ22" s="49"/>
      <c r="AEA22" s="49"/>
      <c r="AEB22" s="49"/>
      <c r="AEC22" s="49"/>
      <c r="AED22" s="49"/>
      <c r="AEE22" s="49"/>
      <c r="AEF22" s="49"/>
      <c r="AEG22" s="49"/>
      <c r="AEH22" s="49"/>
      <c r="AEI22" s="49"/>
      <c r="AEJ22" s="49"/>
      <c r="AEK22" s="49"/>
      <c r="AEL22" s="49"/>
      <c r="AEM22" s="49"/>
      <c r="AEN22" s="49"/>
      <c r="AEO22" s="49"/>
      <c r="AEP22" s="49"/>
      <c r="AEQ22" s="49"/>
      <c r="AER22" s="49"/>
      <c r="AES22" s="49"/>
      <c r="AET22" s="49"/>
      <c r="AEU22" s="49"/>
      <c r="AEV22" s="49"/>
      <c r="AEW22" s="49"/>
      <c r="AEX22" s="49"/>
      <c r="AEY22" s="49"/>
      <c r="AEZ22" s="49"/>
      <c r="AFA22" s="49"/>
      <c r="AFB22" s="49"/>
      <c r="AFC22" s="49"/>
      <c r="AFD22" s="49"/>
      <c r="AFE22" s="49"/>
      <c r="AFF22" s="49"/>
      <c r="AFG22" s="49"/>
      <c r="AFH22" s="49"/>
      <c r="AFI22" s="49"/>
      <c r="AFJ22" s="49"/>
      <c r="AFK22" s="49"/>
      <c r="AFL22" s="49"/>
      <c r="AFM22" s="49"/>
      <c r="AFN22" s="49"/>
      <c r="AFO22" s="49"/>
      <c r="AFP22" s="49"/>
      <c r="AFQ22" s="49"/>
      <c r="AFR22" s="49"/>
      <c r="AFS22" s="49"/>
      <c r="AFT22" s="49"/>
      <c r="AFU22" s="49"/>
      <c r="AFV22" s="49"/>
      <c r="AFW22" s="49"/>
      <c r="AFX22" s="49"/>
      <c r="AFY22" s="49"/>
      <c r="AFZ22" s="49"/>
      <c r="AGA22" s="49"/>
      <c r="AGB22" s="49"/>
      <c r="AGC22" s="49"/>
      <c r="AGD22" s="49"/>
      <c r="AGE22" s="49"/>
      <c r="AGF22" s="49"/>
      <c r="AGG22" s="49"/>
      <c r="AGH22" s="49"/>
      <c r="AGI22" s="49"/>
      <c r="AGJ22" s="49"/>
      <c r="AGK22" s="49"/>
      <c r="AGL22" s="49"/>
      <c r="AGM22" s="49"/>
      <c r="AGN22" s="49"/>
      <c r="AGO22" s="49"/>
      <c r="AGP22" s="49"/>
      <c r="AGQ22" s="49"/>
      <c r="AGR22" s="49"/>
      <c r="AGS22" s="49"/>
      <c r="AGT22" s="49"/>
      <c r="AGU22" s="49"/>
      <c r="AGV22" s="49"/>
      <c r="AGW22" s="49"/>
      <c r="AGX22" s="49"/>
      <c r="AGY22" s="49"/>
      <c r="AGZ22" s="49"/>
      <c r="AHA22" s="49"/>
      <c r="AHB22" s="49"/>
      <c r="AHC22" s="49"/>
      <c r="AHD22" s="49"/>
      <c r="AHE22" s="49"/>
      <c r="AHF22" s="49"/>
      <c r="AHG22" s="49"/>
      <c r="AHH22" s="49"/>
      <c r="AHI22" s="49"/>
      <c r="AHJ22" s="49"/>
      <c r="AHK22" s="49"/>
      <c r="AHL22" s="49"/>
      <c r="AHM22" s="49"/>
      <c r="AHN22" s="49"/>
      <c r="AHO22" s="49"/>
      <c r="AHP22" s="49"/>
      <c r="AHQ22" s="49"/>
      <c r="AHR22" s="49"/>
      <c r="AHS22" s="49"/>
      <c r="AHT22" s="49"/>
      <c r="AHU22" s="49"/>
      <c r="AHV22" s="49"/>
      <c r="AHW22" s="49"/>
      <c r="AHX22" s="49"/>
      <c r="AHY22" s="49"/>
      <c r="AHZ22" s="49"/>
      <c r="AIA22" s="49"/>
      <c r="AIB22" s="49"/>
      <c r="AIC22" s="49"/>
      <c r="AID22" s="49"/>
      <c r="AIE22" s="49"/>
      <c r="AIF22" s="49"/>
      <c r="AIG22" s="49"/>
      <c r="AIH22" s="49"/>
      <c r="AII22" s="49"/>
      <c r="AIJ22" s="49"/>
      <c r="AIK22" s="49"/>
      <c r="AIL22" s="49"/>
      <c r="AIM22" s="49"/>
      <c r="AIN22" s="49"/>
      <c r="AIO22" s="49"/>
      <c r="AIP22" s="49"/>
      <c r="AIQ22" s="49"/>
      <c r="AIR22" s="49"/>
      <c r="AIS22" s="49"/>
      <c r="AIT22" s="49"/>
      <c r="AIU22" s="49"/>
      <c r="AIV22" s="49"/>
      <c r="AIW22" s="49"/>
      <c r="AIX22" s="49"/>
      <c r="AIY22" s="49"/>
      <c r="AIZ22" s="49"/>
      <c r="AJA22" s="49"/>
      <c r="AJB22" s="49"/>
      <c r="AJC22" s="49"/>
      <c r="AJD22" s="49"/>
      <c r="AJE22" s="49"/>
      <c r="AJF22" s="49"/>
      <c r="AJG22" s="49"/>
      <c r="AJH22" s="49"/>
      <c r="AJI22" s="49"/>
      <c r="AJJ22" s="49"/>
      <c r="AJK22" s="49"/>
      <c r="AJL22" s="49"/>
      <c r="AJM22" s="49"/>
      <c r="AJN22" s="49"/>
      <c r="AJO22" s="49"/>
      <c r="AJP22" s="49"/>
      <c r="AJQ22" s="49"/>
      <c r="AJR22" s="49"/>
      <c r="AJS22" s="49"/>
      <c r="AJT22" s="49"/>
      <c r="AJU22" s="49"/>
      <c r="AJV22" s="49"/>
      <c r="AJW22" s="49"/>
      <c r="AJX22" s="49"/>
      <c r="AJY22" s="49"/>
      <c r="AJZ22" s="49"/>
      <c r="AKA22" s="49"/>
      <c r="AKB22" s="49"/>
      <c r="AKC22" s="49"/>
      <c r="AKD22" s="49"/>
      <c r="AKE22" s="49"/>
      <c r="AKF22" s="49"/>
      <c r="AKG22" s="49"/>
      <c r="AKH22" s="49"/>
      <c r="AKI22" s="49"/>
      <c r="AKJ22" s="49"/>
      <c r="AKK22" s="49"/>
      <c r="AKL22" s="49"/>
      <c r="AKM22" s="49"/>
      <c r="AKN22" s="49"/>
      <c r="AKO22" s="49"/>
      <c r="AKP22" s="49"/>
      <c r="AKQ22" s="49"/>
      <c r="AKR22" s="49"/>
      <c r="AKS22" s="49"/>
      <c r="AKT22" s="49"/>
      <c r="AKU22" s="49"/>
      <c r="AKV22" s="49"/>
      <c r="AKW22" s="49"/>
      <c r="AKX22" s="49"/>
      <c r="AKY22" s="49"/>
      <c r="AKZ22" s="49"/>
      <c r="ALA22" s="49"/>
      <c r="ALB22" s="49"/>
      <c r="ALC22" s="49"/>
      <c r="ALD22" s="49"/>
      <c r="ALE22" s="49"/>
      <c r="ALF22" s="49"/>
      <c r="ALG22" s="49"/>
      <c r="ALH22" s="49"/>
      <c r="ALI22" s="49"/>
      <c r="ALJ22" s="49"/>
      <c r="ALK22" s="49"/>
      <c r="ALL22" s="49"/>
      <c r="ALM22" s="49"/>
      <c r="ALN22" s="49"/>
      <c r="ALO22" s="49"/>
      <c r="ALP22" s="49"/>
      <c r="ALQ22" s="49"/>
      <c r="ALR22" s="49"/>
      <c r="ALS22" s="49"/>
      <c r="ALT22" s="49"/>
      <c r="ALU22" s="49"/>
      <c r="ALV22" s="49"/>
      <c r="ALW22" s="49"/>
      <c r="ALX22" s="49"/>
      <c r="ALY22" s="49"/>
      <c r="ALZ22" s="49"/>
      <c r="AMA22" s="49"/>
      <c r="AMB22" s="49"/>
      <c r="AMC22" s="49"/>
      <c r="AMD22" s="49"/>
      <c r="AME22" s="49"/>
      <c r="AMF22" s="49"/>
      <c r="AMG22" s="49"/>
      <c r="AMH22" s="49"/>
      <c r="AMI22" s="49"/>
      <c r="AMJ22" s="49"/>
      <c r="AMK22" s="49"/>
      <c r="AML22" s="49"/>
      <c r="AMM22" s="49"/>
      <c r="AMN22" s="49"/>
      <c r="AMO22" s="49"/>
      <c r="AMP22" s="49"/>
      <c r="AMQ22" s="49"/>
      <c r="AMR22" s="49"/>
      <c r="AMS22" s="49"/>
      <c r="AMT22" s="49"/>
      <c r="AMU22" s="49"/>
      <c r="AMV22" s="49"/>
      <c r="AMW22" s="49"/>
      <c r="AMX22" s="49"/>
      <c r="AMY22" s="49"/>
      <c r="AMZ22" s="49"/>
      <c r="ANA22" s="49"/>
      <c r="ANB22" s="49"/>
      <c r="ANC22" s="49"/>
      <c r="AND22" s="49"/>
      <c r="ANE22" s="49"/>
      <c r="ANF22" s="49"/>
      <c r="ANG22" s="49"/>
      <c r="ANH22" s="49"/>
      <c r="ANI22" s="49"/>
      <c r="ANJ22" s="49"/>
      <c r="ANK22" s="49"/>
      <c r="ANL22" s="49"/>
      <c r="ANM22" s="49"/>
      <c r="ANN22" s="49"/>
      <c r="ANO22" s="49"/>
      <c r="ANP22" s="49"/>
      <c r="ANQ22" s="49"/>
      <c r="ANR22" s="49"/>
      <c r="ANS22" s="49"/>
      <c r="ANT22" s="49"/>
      <c r="ANU22" s="49"/>
      <c r="ANV22" s="49"/>
      <c r="ANW22" s="49"/>
      <c r="ANX22" s="49"/>
      <c r="ANY22" s="49"/>
      <c r="ANZ22" s="49"/>
      <c r="AOA22" s="49"/>
      <c r="AOB22" s="49"/>
      <c r="AOC22" s="49"/>
      <c r="AOD22" s="49"/>
      <c r="AOE22" s="49"/>
      <c r="AOF22" s="49"/>
      <c r="AOG22" s="49"/>
      <c r="AOH22" s="49"/>
      <c r="AOI22" s="49"/>
      <c r="AOJ22" s="49"/>
      <c r="AOK22" s="49"/>
      <c r="AOL22" s="49"/>
      <c r="AOM22" s="49"/>
      <c r="AON22" s="49"/>
      <c r="AOO22" s="49"/>
      <c r="AOP22" s="49"/>
      <c r="AOQ22" s="49"/>
      <c r="AOR22" s="49"/>
      <c r="AOS22" s="49"/>
      <c r="AOT22" s="49"/>
      <c r="AOU22" s="49"/>
      <c r="AOV22" s="49"/>
      <c r="AOW22" s="49"/>
      <c r="AOX22" s="49"/>
      <c r="AOY22" s="49"/>
      <c r="AOZ22" s="49"/>
      <c r="APA22" s="49"/>
      <c r="APB22" s="49"/>
      <c r="APC22" s="49"/>
      <c r="APD22" s="49"/>
      <c r="APE22" s="49"/>
      <c r="APF22" s="49"/>
      <c r="APG22" s="49"/>
      <c r="APH22" s="49"/>
      <c r="API22" s="49"/>
      <c r="APJ22" s="49"/>
      <c r="APK22" s="49"/>
      <c r="APL22" s="49"/>
      <c r="APM22" s="49"/>
      <c r="APN22" s="49"/>
      <c r="APO22" s="49"/>
      <c r="APP22" s="49"/>
      <c r="APQ22" s="49"/>
      <c r="APR22" s="49"/>
      <c r="APS22" s="49"/>
      <c r="APT22" s="49"/>
      <c r="APU22" s="49"/>
      <c r="APV22" s="49"/>
      <c r="APW22" s="49"/>
      <c r="APX22" s="49"/>
      <c r="APY22" s="49"/>
      <c r="APZ22" s="49"/>
      <c r="AQA22" s="49"/>
      <c r="AQB22" s="49"/>
      <c r="AQC22" s="49"/>
      <c r="AQD22" s="49"/>
      <c r="AQE22" s="49"/>
      <c r="AQF22" s="49"/>
      <c r="AQG22" s="49"/>
      <c r="AQH22" s="49"/>
      <c r="AQI22" s="49"/>
      <c r="AQJ22" s="49"/>
      <c r="AQK22" s="49"/>
      <c r="AQL22" s="49"/>
      <c r="AQM22" s="49"/>
      <c r="AQN22" s="49"/>
      <c r="AQO22" s="49"/>
      <c r="AQP22" s="49"/>
      <c r="AQQ22" s="49"/>
      <c r="AQR22" s="49"/>
      <c r="AQS22" s="49"/>
      <c r="AQT22" s="49"/>
      <c r="AQU22" s="49"/>
      <c r="AQV22" s="49"/>
      <c r="AQW22" s="49"/>
      <c r="AQX22" s="49"/>
      <c r="AQY22" s="49"/>
      <c r="AQZ22" s="49"/>
      <c r="ARA22" s="49"/>
      <c r="ARB22" s="49"/>
      <c r="ARC22" s="49"/>
      <c r="ARD22" s="49"/>
      <c r="ARE22" s="49"/>
      <c r="ARF22" s="49"/>
      <c r="ARG22" s="49"/>
      <c r="ARH22" s="49"/>
      <c r="ARI22" s="49"/>
      <c r="ARJ22" s="49"/>
      <c r="ARK22" s="49"/>
      <c r="ARL22" s="49"/>
      <c r="ARM22" s="49"/>
      <c r="ARN22" s="49"/>
      <c r="ARO22" s="49"/>
      <c r="ARP22" s="49"/>
      <c r="ARQ22" s="49"/>
      <c r="ARR22" s="49"/>
      <c r="ARS22" s="49"/>
      <c r="ART22" s="49"/>
      <c r="ARU22" s="49"/>
      <c r="ARV22" s="49"/>
      <c r="ARW22" s="49"/>
      <c r="ARX22" s="49"/>
      <c r="ARY22" s="49"/>
      <c r="ARZ22" s="49"/>
      <c r="ASA22" s="49"/>
      <c r="ASB22" s="49"/>
      <c r="ASC22" s="49"/>
      <c r="ASD22" s="49"/>
      <c r="ASE22" s="49"/>
      <c r="ASF22" s="49"/>
      <c r="ASG22" s="49"/>
      <c r="ASH22" s="49"/>
      <c r="ASI22" s="49"/>
      <c r="ASJ22" s="49"/>
      <c r="ASK22" s="49"/>
      <c r="ASL22" s="49"/>
      <c r="ASM22" s="49"/>
      <c r="ASN22" s="49"/>
      <c r="ASO22" s="49"/>
      <c r="ASP22" s="49"/>
      <c r="ASQ22" s="49"/>
      <c r="ASR22" s="49"/>
      <c r="ASS22" s="49"/>
      <c r="AST22" s="49"/>
      <c r="ASU22" s="49"/>
      <c r="ASV22" s="49"/>
      <c r="ASW22" s="49"/>
      <c r="ASX22" s="49"/>
      <c r="ASY22" s="49"/>
      <c r="ASZ22" s="49"/>
      <c r="ATA22" s="49"/>
      <c r="ATB22" s="49"/>
      <c r="ATC22" s="49"/>
      <c r="ATD22" s="49"/>
      <c r="ATE22" s="49"/>
      <c r="ATF22" s="49"/>
      <c r="ATG22" s="49"/>
      <c r="ATH22" s="49"/>
      <c r="ATI22" s="49"/>
      <c r="ATJ22" s="49"/>
      <c r="ATK22" s="49"/>
      <c r="ATL22" s="49"/>
      <c r="ATM22" s="49"/>
      <c r="ATN22" s="49"/>
      <c r="ATO22" s="49"/>
      <c r="ATP22" s="49"/>
      <c r="ATQ22" s="49"/>
      <c r="ATR22" s="49"/>
      <c r="ATS22" s="49"/>
      <c r="ATT22" s="49"/>
      <c r="ATU22" s="49"/>
      <c r="ATV22" s="49"/>
      <c r="ATW22" s="49"/>
      <c r="ATX22" s="49"/>
      <c r="ATY22" s="49"/>
      <c r="ATZ22" s="49"/>
      <c r="AUA22" s="49"/>
      <c r="AUB22" s="49"/>
      <c r="AUC22" s="49"/>
      <c r="AUD22" s="49"/>
      <c r="AUE22" s="49"/>
      <c r="AUF22" s="49"/>
      <c r="AUG22" s="49"/>
      <c r="AUH22" s="49"/>
      <c r="AUI22" s="49"/>
      <c r="AUJ22" s="49"/>
      <c r="AUK22" s="49"/>
      <c r="AUL22" s="49"/>
      <c r="AUM22" s="49"/>
      <c r="AUN22" s="49"/>
      <c r="AUO22" s="49"/>
      <c r="AUP22" s="49"/>
      <c r="AUQ22" s="49"/>
      <c r="AUR22" s="49"/>
      <c r="AUS22" s="49"/>
      <c r="AUT22" s="49"/>
      <c r="AUU22" s="49"/>
      <c r="AUV22" s="49"/>
      <c r="AUW22" s="49"/>
      <c r="AUX22" s="49"/>
      <c r="AUY22" s="49"/>
      <c r="AUZ22" s="49"/>
      <c r="AVA22" s="49"/>
      <c r="AVB22" s="49"/>
      <c r="AVC22" s="49"/>
      <c r="AVD22" s="49"/>
      <c r="AVE22" s="49"/>
      <c r="AVF22" s="49"/>
      <c r="AVG22" s="49"/>
      <c r="AVH22" s="49"/>
      <c r="AVI22" s="49"/>
      <c r="AVJ22" s="49"/>
      <c r="AVK22" s="49"/>
      <c r="AVL22" s="49"/>
      <c r="AVM22" s="49"/>
      <c r="AVN22" s="49"/>
      <c r="AVO22" s="49"/>
      <c r="AVP22" s="49"/>
      <c r="AVQ22" s="49"/>
      <c r="AVR22" s="49"/>
      <c r="AVS22" s="49"/>
      <c r="AVT22" s="49"/>
      <c r="AVU22" s="49"/>
      <c r="AVV22" s="49"/>
      <c r="AVW22" s="49"/>
      <c r="AVX22" s="49"/>
      <c r="AVY22" s="49"/>
      <c r="AVZ22" s="49"/>
      <c r="AWA22" s="49"/>
      <c r="AWB22" s="49"/>
      <c r="AWC22" s="49"/>
      <c r="AWD22" s="49"/>
      <c r="AWE22" s="49"/>
      <c r="AWF22" s="49"/>
      <c r="AWG22" s="49"/>
      <c r="AWH22" s="49"/>
      <c r="AWI22" s="49"/>
      <c r="AWJ22" s="49"/>
      <c r="AWK22" s="49"/>
      <c r="AWL22" s="49"/>
      <c r="AWM22" s="49"/>
      <c r="AWN22" s="49"/>
      <c r="AWO22" s="49"/>
      <c r="AWP22" s="49"/>
      <c r="AWQ22" s="49"/>
      <c r="AWR22" s="49"/>
      <c r="AWS22" s="49"/>
      <c r="AWT22" s="49"/>
      <c r="AWU22" s="49"/>
      <c r="AWV22" s="49"/>
      <c r="AWW22" s="49"/>
      <c r="AWX22" s="49"/>
      <c r="AWY22" s="49"/>
      <c r="AWZ22" s="49"/>
      <c r="AXA22" s="49"/>
      <c r="AXB22" s="49"/>
      <c r="AXC22" s="49"/>
      <c r="AXD22" s="49"/>
      <c r="AXE22" s="49"/>
      <c r="AXF22" s="49"/>
      <c r="AXG22" s="49"/>
      <c r="AXH22" s="49"/>
      <c r="AXI22" s="49"/>
      <c r="AXJ22" s="49"/>
      <c r="AXK22" s="49"/>
      <c r="AXL22" s="49"/>
      <c r="AXM22" s="49"/>
      <c r="AXN22" s="49"/>
      <c r="AXO22" s="49"/>
      <c r="AXP22" s="49"/>
      <c r="AXQ22" s="49"/>
      <c r="AXR22" s="49"/>
      <c r="AXS22" s="49"/>
      <c r="AXT22" s="49"/>
      <c r="AXU22" s="49"/>
      <c r="AXV22" s="49"/>
      <c r="AXW22" s="49"/>
      <c r="AXX22" s="49"/>
      <c r="AXY22" s="49"/>
      <c r="AXZ22" s="49"/>
      <c r="AYA22" s="49"/>
      <c r="AYB22" s="49"/>
      <c r="AYC22" s="49"/>
      <c r="AYD22" s="49"/>
      <c r="AYE22" s="49"/>
      <c r="AYF22" s="49"/>
      <c r="AYG22" s="49"/>
      <c r="AYH22" s="49"/>
      <c r="AYI22" s="49"/>
      <c r="AYJ22" s="49"/>
      <c r="AYK22" s="49"/>
      <c r="AYL22" s="49"/>
      <c r="AYM22" s="49"/>
      <c r="AYN22" s="49"/>
      <c r="AYO22" s="49"/>
      <c r="AYP22" s="49"/>
      <c r="AYQ22" s="49"/>
      <c r="AYR22" s="49"/>
      <c r="AYS22" s="49"/>
      <c r="AYT22" s="49"/>
      <c r="AYU22" s="49"/>
      <c r="AYV22" s="49"/>
      <c r="AYW22" s="49"/>
      <c r="AYX22" s="49"/>
      <c r="AYY22" s="49"/>
      <c r="AYZ22" s="49"/>
      <c r="AZA22" s="49"/>
      <c r="AZB22" s="49"/>
      <c r="AZC22" s="49"/>
      <c r="AZD22" s="49"/>
      <c r="AZE22" s="49"/>
      <c r="AZF22" s="49"/>
      <c r="AZG22" s="49"/>
      <c r="AZH22" s="49"/>
      <c r="AZI22" s="49"/>
      <c r="AZJ22" s="49"/>
      <c r="AZK22" s="49"/>
      <c r="AZL22" s="49"/>
      <c r="AZM22" s="49"/>
      <c r="AZN22" s="49"/>
      <c r="AZO22" s="49"/>
      <c r="AZP22" s="49"/>
      <c r="AZQ22" s="49"/>
      <c r="AZR22" s="49"/>
      <c r="AZS22" s="49"/>
      <c r="AZT22" s="49"/>
      <c r="AZU22" s="49"/>
      <c r="AZV22" s="49"/>
      <c r="AZW22" s="49"/>
      <c r="AZX22" s="49"/>
      <c r="AZY22" s="49"/>
      <c r="AZZ22" s="49"/>
      <c r="BAA22" s="49"/>
      <c r="BAB22" s="49"/>
      <c r="BAC22" s="49"/>
      <c r="BAD22" s="49"/>
      <c r="BAE22" s="49"/>
      <c r="BAF22" s="49"/>
      <c r="BAG22" s="49"/>
      <c r="BAH22" s="49"/>
      <c r="BAI22" s="49"/>
      <c r="BAJ22" s="49"/>
      <c r="BAK22" s="49"/>
      <c r="BAL22" s="49"/>
      <c r="BAM22" s="49"/>
      <c r="BAN22" s="49"/>
      <c r="BAO22" s="49"/>
      <c r="BAP22" s="49"/>
      <c r="BAQ22" s="49"/>
      <c r="BAR22" s="49"/>
      <c r="BAS22" s="49"/>
      <c r="BAT22" s="49"/>
      <c r="BAU22" s="49"/>
      <c r="BAV22" s="49"/>
      <c r="BAW22" s="49"/>
      <c r="BAX22" s="49"/>
      <c r="BAY22" s="49"/>
      <c r="BAZ22" s="49"/>
      <c r="BBA22" s="49"/>
      <c r="BBB22" s="49"/>
      <c r="BBC22" s="49"/>
      <c r="BBD22" s="49"/>
      <c r="BBE22" s="49"/>
      <c r="BBF22" s="49"/>
      <c r="BBG22" s="49"/>
      <c r="BBH22" s="49"/>
      <c r="BBI22" s="49"/>
      <c r="BBJ22" s="49"/>
      <c r="BBK22" s="49"/>
      <c r="BBL22" s="49"/>
      <c r="BBM22" s="49"/>
      <c r="BBN22" s="49"/>
      <c r="BBO22" s="49"/>
      <c r="BBP22" s="49"/>
      <c r="BBQ22" s="49"/>
      <c r="BBR22" s="49"/>
      <c r="BBS22" s="49"/>
      <c r="BBT22" s="49"/>
      <c r="BBU22" s="49"/>
      <c r="BBV22" s="49"/>
      <c r="BBW22" s="49"/>
      <c r="BBX22" s="49"/>
      <c r="BBY22" s="49"/>
      <c r="BBZ22" s="49"/>
      <c r="BCA22" s="49"/>
      <c r="BCB22" s="49"/>
      <c r="BCC22" s="49"/>
      <c r="BCD22" s="49"/>
      <c r="BCE22" s="49"/>
      <c r="BCF22" s="49"/>
      <c r="BCG22" s="49"/>
      <c r="BCH22" s="49"/>
      <c r="BCI22" s="49"/>
      <c r="BCJ22" s="49"/>
      <c r="BCK22" s="49"/>
      <c r="BCL22" s="49"/>
      <c r="BCM22" s="49"/>
      <c r="BCN22" s="49"/>
    </row>
    <row r="23" spans="1:1444" s="47" customFormat="1">
      <c r="A23" s="52"/>
      <c r="B23" s="94">
        <v>45766</v>
      </c>
      <c r="C23" s="94" t="s">
        <v>197</v>
      </c>
      <c r="D23" s="95">
        <v>45</v>
      </c>
      <c r="E23" s="95">
        <v>89.864999999961583</v>
      </c>
      <c r="F23" s="95">
        <v>0</v>
      </c>
      <c r="G23" s="95">
        <v>3.0599999999976717</v>
      </c>
      <c r="H23" s="95">
        <v>33</v>
      </c>
      <c r="I23" s="95">
        <v>38</v>
      </c>
      <c r="J23" s="95">
        <v>1045.5199999999995</v>
      </c>
      <c r="K23" s="95">
        <v>1245.1480000004822</v>
      </c>
      <c r="L23" s="95">
        <v>0</v>
      </c>
      <c r="M23" s="155">
        <v>0</v>
      </c>
      <c r="N23" s="141">
        <f>'units overall'!O23</f>
        <v>2512.593000000441</v>
      </c>
      <c r="O23" s="230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H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X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N23" s="49"/>
      <c r="IO23" s="49"/>
      <c r="IP23" s="49"/>
      <c r="IQ23" s="49"/>
      <c r="IR23" s="49"/>
      <c r="IS23" s="49"/>
      <c r="IT23" s="49"/>
      <c r="IU23" s="49"/>
      <c r="IV23" s="49"/>
      <c r="IW23" s="49"/>
      <c r="IX23" s="49"/>
      <c r="IY23" s="49"/>
      <c r="IZ23" s="49"/>
      <c r="JA23" s="49"/>
      <c r="JB23" s="49"/>
      <c r="JC23" s="49"/>
      <c r="JD23" s="49"/>
      <c r="JE23" s="49"/>
      <c r="JF23" s="49"/>
      <c r="JG23" s="49"/>
      <c r="JH23" s="49"/>
      <c r="JI23" s="49"/>
      <c r="JJ23" s="49"/>
      <c r="JK23" s="49"/>
      <c r="JL23" s="49"/>
      <c r="JM23" s="49"/>
      <c r="JN23" s="49"/>
      <c r="JO23" s="49"/>
      <c r="JP23" s="49"/>
      <c r="JQ23" s="49"/>
      <c r="JR23" s="49"/>
      <c r="JS23" s="49"/>
      <c r="JT23" s="49"/>
      <c r="JU23" s="49"/>
      <c r="JV23" s="49"/>
      <c r="JW23" s="49"/>
      <c r="JX23" s="49"/>
      <c r="JY23" s="49"/>
      <c r="JZ23" s="49"/>
      <c r="KA23" s="49"/>
      <c r="KB23" s="49"/>
      <c r="KC23" s="49"/>
      <c r="KD23" s="49"/>
      <c r="KE23" s="49"/>
      <c r="KF23" s="49"/>
      <c r="KG23" s="49"/>
      <c r="KH23" s="49"/>
      <c r="KI23" s="49"/>
      <c r="KJ23" s="49"/>
      <c r="KK23" s="49"/>
      <c r="KL23" s="49"/>
      <c r="KM23" s="49"/>
      <c r="KN23" s="49"/>
      <c r="KO23" s="49"/>
      <c r="KP23" s="49"/>
      <c r="KQ23" s="49"/>
      <c r="KR23" s="49"/>
      <c r="KS23" s="49"/>
      <c r="KT23" s="49"/>
      <c r="KU23" s="49"/>
      <c r="KV23" s="49"/>
      <c r="KW23" s="49"/>
      <c r="KX23" s="49"/>
      <c r="KY23" s="49"/>
      <c r="KZ23" s="49"/>
      <c r="LA23" s="49"/>
      <c r="LB23" s="49"/>
      <c r="LC23" s="49"/>
      <c r="LD23" s="49"/>
      <c r="LE23" s="49"/>
      <c r="LF23" s="49"/>
      <c r="LG23" s="49"/>
      <c r="LH23" s="49"/>
      <c r="LI23" s="49"/>
      <c r="LJ23" s="49"/>
      <c r="LK23" s="49"/>
      <c r="LL23" s="49"/>
      <c r="LM23" s="49"/>
      <c r="LN23" s="49"/>
      <c r="LO23" s="49"/>
      <c r="LP23" s="49"/>
      <c r="LQ23" s="49"/>
      <c r="LR23" s="49"/>
      <c r="LS23" s="49"/>
      <c r="LT23" s="49"/>
      <c r="LU23" s="49"/>
      <c r="LV23" s="49"/>
      <c r="LW23" s="49"/>
      <c r="LX23" s="49"/>
      <c r="LY23" s="49"/>
      <c r="LZ23" s="49"/>
      <c r="MA23" s="49"/>
      <c r="MB23" s="49"/>
      <c r="MC23" s="49"/>
      <c r="MD23" s="49"/>
      <c r="ME23" s="49"/>
      <c r="MF23" s="49"/>
      <c r="MG23" s="49"/>
      <c r="MH23" s="49"/>
      <c r="MI23" s="49"/>
      <c r="MJ23" s="49"/>
      <c r="MK23" s="49"/>
      <c r="ML23" s="49"/>
      <c r="MM23" s="49"/>
      <c r="MN23" s="49"/>
      <c r="MO23" s="49"/>
      <c r="MP23" s="49"/>
      <c r="MQ23" s="49"/>
      <c r="MR23" s="49"/>
      <c r="MS23" s="49"/>
      <c r="MT23" s="49"/>
      <c r="MU23" s="49"/>
      <c r="MV23" s="49"/>
      <c r="MW23" s="49"/>
      <c r="MX23" s="49"/>
      <c r="MY23" s="49"/>
      <c r="MZ23" s="49"/>
      <c r="NA23" s="49"/>
      <c r="NB23" s="49"/>
      <c r="NC23" s="49"/>
      <c r="ND23" s="49"/>
      <c r="NE23" s="49"/>
      <c r="NF23" s="49"/>
      <c r="NG23" s="49"/>
      <c r="NH23" s="49"/>
      <c r="NI23" s="49"/>
      <c r="NJ23" s="49"/>
      <c r="NK23" s="49"/>
      <c r="NL23" s="49"/>
      <c r="NM23" s="49"/>
      <c r="NN23" s="49"/>
      <c r="NO23" s="49"/>
      <c r="NP23" s="49"/>
      <c r="NQ23" s="49"/>
      <c r="NR23" s="49"/>
      <c r="NS23" s="49"/>
      <c r="NT23" s="49"/>
      <c r="NU23" s="49"/>
      <c r="NV23" s="49"/>
      <c r="NW23" s="49"/>
      <c r="NX23" s="49"/>
      <c r="NY23" s="49"/>
      <c r="NZ23" s="49"/>
      <c r="OA23" s="49"/>
      <c r="OB23" s="49"/>
      <c r="OC23" s="49"/>
      <c r="OD23" s="49"/>
      <c r="OE23" s="49"/>
      <c r="OF23" s="49"/>
      <c r="OG23" s="49"/>
      <c r="OH23" s="49"/>
      <c r="OI23" s="49"/>
      <c r="OJ23" s="49"/>
      <c r="OK23" s="49"/>
      <c r="OL23" s="49"/>
      <c r="OM23" s="49"/>
      <c r="ON23" s="49"/>
      <c r="OO23" s="49"/>
      <c r="OP23" s="49"/>
      <c r="OQ23" s="49"/>
      <c r="OR23" s="49"/>
      <c r="OS23" s="49"/>
      <c r="OT23" s="49"/>
      <c r="OU23" s="49"/>
      <c r="OV23" s="49"/>
      <c r="OW23" s="49"/>
      <c r="OX23" s="49"/>
      <c r="OY23" s="49"/>
      <c r="OZ23" s="49"/>
      <c r="PA23" s="49"/>
      <c r="PB23" s="49"/>
      <c r="PC23" s="49"/>
      <c r="PD23" s="49"/>
      <c r="PE23" s="49"/>
      <c r="PF23" s="49"/>
      <c r="PG23" s="49"/>
      <c r="PH23" s="49"/>
      <c r="PI23" s="49"/>
      <c r="PJ23" s="49"/>
      <c r="PK23" s="49"/>
      <c r="PL23" s="49"/>
      <c r="PM23" s="49"/>
      <c r="PN23" s="49"/>
      <c r="PO23" s="49"/>
      <c r="PP23" s="49"/>
      <c r="PQ23" s="49"/>
      <c r="PR23" s="49"/>
      <c r="PS23" s="49"/>
      <c r="PT23" s="49"/>
      <c r="PU23" s="49"/>
      <c r="PV23" s="49"/>
      <c r="PW23" s="49"/>
      <c r="PX23" s="49"/>
      <c r="PY23" s="49"/>
      <c r="PZ23" s="49"/>
      <c r="QA23" s="49"/>
      <c r="QB23" s="49"/>
      <c r="QC23" s="49"/>
      <c r="QD23" s="49"/>
      <c r="QE23" s="49"/>
      <c r="QF23" s="49"/>
      <c r="QG23" s="49"/>
      <c r="QH23" s="49"/>
      <c r="QI23" s="49"/>
      <c r="QJ23" s="49"/>
      <c r="QK23" s="49"/>
      <c r="QL23" s="49"/>
      <c r="QM23" s="49"/>
      <c r="QN23" s="49"/>
      <c r="QO23" s="49"/>
      <c r="QP23" s="49"/>
      <c r="QQ23" s="49"/>
      <c r="QR23" s="49"/>
      <c r="QS23" s="49"/>
      <c r="QT23" s="49"/>
      <c r="QU23" s="49"/>
      <c r="QV23" s="49"/>
      <c r="QW23" s="49"/>
      <c r="QX23" s="49"/>
      <c r="QY23" s="49"/>
      <c r="QZ23" s="49"/>
      <c r="RA23" s="49"/>
      <c r="RB23" s="49"/>
      <c r="RC23" s="49"/>
      <c r="RD23" s="49"/>
      <c r="RE23" s="49"/>
      <c r="RF23" s="49"/>
      <c r="RG23" s="49"/>
      <c r="RH23" s="49"/>
      <c r="RI23" s="49"/>
      <c r="RJ23" s="49"/>
      <c r="RK23" s="49"/>
      <c r="RL23" s="49"/>
      <c r="RM23" s="49"/>
      <c r="RN23" s="49"/>
      <c r="RO23" s="49"/>
      <c r="RP23" s="49"/>
      <c r="RQ23" s="49"/>
      <c r="RR23" s="49"/>
      <c r="RS23" s="49"/>
      <c r="RT23" s="49"/>
      <c r="RU23" s="49"/>
      <c r="RV23" s="49"/>
      <c r="RW23" s="49"/>
      <c r="RX23" s="49"/>
      <c r="RY23" s="49"/>
      <c r="RZ23" s="49"/>
      <c r="SA23" s="49"/>
      <c r="SB23" s="49"/>
      <c r="SC23" s="49"/>
      <c r="SD23" s="49"/>
      <c r="SE23" s="49"/>
      <c r="SF23" s="49"/>
      <c r="SG23" s="49"/>
      <c r="SH23" s="49"/>
      <c r="SI23" s="49"/>
      <c r="SJ23" s="49"/>
      <c r="SK23" s="49"/>
      <c r="SL23" s="49"/>
      <c r="SM23" s="49"/>
      <c r="SN23" s="49"/>
      <c r="SO23" s="49"/>
      <c r="SP23" s="49"/>
      <c r="SQ23" s="49"/>
      <c r="SR23" s="49"/>
      <c r="SS23" s="49"/>
      <c r="ST23" s="49"/>
      <c r="SU23" s="49"/>
      <c r="SV23" s="49"/>
      <c r="SW23" s="49"/>
      <c r="SX23" s="49"/>
      <c r="SY23" s="49"/>
      <c r="SZ23" s="49"/>
      <c r="TA23" s="49"/>
      <c r="TB23" s="49"/>
      <c r="TC23" s="49"/>
      <c r="TD23" s="49"/>
      <c r="TE23" s="49"/>
      <c r="TF23" s="49"/>
      <c r="TG23" s="49"/>
      <c r="TH23" s="49"/>
      <c r="TI23" s="49"/>
      <c r="TJ23" s="49"/>
      <c r="TK23" s="49"/>
      <c r="TL23" s="49"/>
      <c r="TM23" s="49"/>
      <c r="TN23" s="49"/>
      <c r="TO23" s="49"/>
      <c r="TP23" s="49"/>
      <c r="TQ23" s="49"/>
      <c r="TR23" s="49"/>
      <c r="TS23" s="49"/>
      <c r="TT23" s="49"/>
      <c r="TU23" s="49"/>
      <c r="TV23" s="49"/>
      <c r="TW23" s="49"/>
      <c r="TX23" s="49"/>
      <c r="TY23" s="49"/>
      <c r="TZ23" s="49"/>
      <c r="UA23" s="49"/>
      <c r="UB23" s="49"/>
      <c r="UC23" s="49"/>
      <c r="UD23" s="49"/>
      <c r="UE23" s="49"/>
      <c r="UF23" s="49"/>
      <c r="UG23" s="49"/>
      <c r="UH23" s="49"/>
      <c r="UI23" s="49"/>
      <c r="UJ23" s="49"/>
      <c r="UK23" s="49"/>
      <c r="UL23" s="49"/>
      <c r="UM23" s="49"/>
      <c r="UN23" s="49"/>
      <c r="UO23" s="49"/>
      <c r="UP23" s="49"/>
      <c r="UQ23" s="49"/>
      <c r="UR23" s="49"/>
      <c r="US23" s="49"/>
      <c r="UT23" s="49"/>
      <c r="UU23" s="49"/>
      <c r="UV23" s="49"/>
      <c r="UW23" s="49"/>
      <c r="UX23" s="49"/>
      <c r="UY23" s="49"/>
      <c r="UZ23" s="49"/>
      <c r="VA23" s="49"/>
      <c r="VB23" s="49"/>
      <c r="VC23" s="49"/>
      <c r="VD23" s="49"/>
      <c r="VE23" s="49"/>
      <c r="VF23" s="49"/>
      <c r="VG23" s="49"/>
      <c r="VH23" s="49"/>
      <c r="VI23" s="49"/>
      <c r="VJ23" s="49"/>
      <c r="VK23" s="49"/>
      <c r="VL23" s="49"/>
      <c r="VM23" s="49"/>
      <c r="VN23" s="49"/>
      <c r="VO23" s="49"/>
      <c r="VP23" s="49"/>
      <c r="VQ23" s="49"/>
      <c r="VR23" s="49"/>
      <c r="VS23" s="49"/>
      <c r="VT23" s="49"/>
      <c r="VU23" s="49"/>
      <c r="VV23" s="49"/>
      <c r="VW23" s="49"/>
      <c r="VX23" s="49"/>
      <c r="VY23" s="49"/>
      <c r="VZ23" s="49"/>
      <c r="WA23" s="49"/>
      <c r="WB23" s="49"/>
      <c r="WC23" s="49"/>
      <c r="WD23" s="49"/>
      <c r="WE23" s="49"/>
      <c r="WF23" s="49"/>
      <c r="WG23" s="49"/>
      <c r="WH23" s="49"/>
      <c r="WI23" s="49"/>
      <c r="WJ23" s="49"/>
      <c r="WK23" s="49"/>
      <c r="WL23" s="49"/>
      <c r="WM23" s="49"/>
      <c r="WN23" s="49"/>
      <c r="WO23" s="49"/>
      <c r="WP23" s="49"/>
      <c r="WQ23" s="49"/>
      <c r="WR23" s="49"/>
      <c r="WS23" s="49"/>
      <c r="WT23" s="49"/>
      <c r="WU23" s="49"/>
      <c r="WV23" s="49"/>
      <c r="WW23" s="49"/>
      <c r="WX23" s="49"/>
      <c r="WY23" s="49"/>
      <c r="WZ23" s="49"/>
      <c r="XA23" s="49"/>
      <c r="XB23" s="49"/>
      <c r="XC23" s="49"/>
      <c r="XD23" s="49"/>
      <c r="XE23" s="49"/>
      <c r="XF23" s="49"/>
      <c r="XG23" s="49"/>
      <c r="XH23" s="49"/>
      <c r="XI23" s="49"/>
      <c r="XJ23" s="49"/>
      <c r="XK23" s="49"/>
      <c r="XL23" s="49"/>
      <c r="XM23" s="49"/>
      <c r="XN23" s="49"/>
      <c r="XO23" s="49"/>
      <c r="XP23" s="49"/>
      <c r="XQ23" s="49"/>
      <c r="XR23" s="49"/>
      <c r="XS23" s="49"/>
      <c r="XT23" s="49"/>
      <c r="XU23" s="49"/>
      <c r="XV23" s="49"/>
      <c r="XW23" s="49"/>
      <c r="XX23" s="49"/>
      <c r="XY23" s="49"/>
      <c r="XZ23" s="49"/>
      <c r="YA23" s="49"/>
      <c r="YB23" s="49"/>
      <c r="YC23" s="49"/>
      <c r="YD23" s="49"/>
      <c r="YE23" s="49"/>
      <c r="YF23" s="49"/>
      <c r="YG23" s="49"/>
      <c r="YH23" s="49"/>
      <c r="YI23" s="49"/>
      <c r="YJ23" s="49"/>
      <c r="YK23" s="49"/>
      <c r="YL23" s="49"/>
      <c r="YM23" s="49"/>
      <c r="YN23" s="49"/>
      <c r="YO23" s="49"/>
      <c r="YP23" s="49"/>
      <c r="YQ23" s="49"/>
      <c r="YR23" s="49"/>
      <c r="YS23" s="49"/>
      <c r="YT23" s="49"/>
      <c r="YU23" s="49"/>
      <c r="YV23" s="49"/>
      <c r="YW23" s="49"/>
      <c r="YX23" s="49"/>
      <c r="YY23" s="49"/>
      <c r="YZ23" s="49"/>
      <c r="ZA23" s="49"/>
      <c r="ZB23" s="49"/>
      <c r="ZC23" s="49"/>
      <c r="ZD23" s="49"/>
      <c r="ZE23" s="49"/>
      <c r="ZF23" s="49"/>
      <c r="ZG23" s="49"/>
      <c r="ZH23" s="49"/>
      <c r="ZI23" s="49"/>
      <c r="ZJ23" s="49"/>
      <c r="ZK23" s="49"/>
      <c r="ZL23" s="49"/>
      <c r="ZM23" s="49"/>
      <c r="ZN23" s="49"/>
      <c r="ZO23" s="49"/>
      <c r="ZP23" s="49"/>
      <c r="ZQ23" s="49"/>
      <c r="ZR23" s="49"/>
      <c r="ZS23" s="49"/>
      <c r="ZT23" s="49"/>
      <c r="ZU23" s="49"/>
      <c r="ZV23" s="49"/>
      <c r="ZW23" s="49"/>
      <c r="ZX23" s="49"/>
      <c r="ZY23" s="49"/>
      <c r="ZZ23" s="49"/>
      <c r="AAA23" s="49"/>
      <c r="AAB23" s="49"/>
      <c r="AAC23" s="49"/>
      <c r="AAD23" s="49"/>
      <c r="AAE23" s="49"/>
      <c r="AAF23" s="49"/>
      <c r="AAG23" s="49"/>
      <c r="AAH23" s="49"/>
      <c r="AAI23" s="49"/>
      <c r="AAJ23" s="49"/>
      <c r="AAK23" s="49"/>
      <c r="AAL23" s="49"/>
      <c r="AAM23" s="49"/>
      <c r="AAN23" s="49"/>
      <c r="AAO23" s="49"/>
      <c r="AAP23" s="49"/>
      <c r="AAQ23" s="49"/>
      <c r="AAR23" s="49"/>
      <c r="AAS23" s="49"/>
      <c r="AAT23" s="49"/>
      <c r="AAU23" s="49"/>
      <c r="AAV23" s="49"/>
      <c r="AAW23" s="49"/>
      <c r="AAX23" s="49"/>
      <c r="AAY23" s="49"/>
      <c r="AAZ23" s="49"/>
      <c r="ABA23" s="49"/>
      <c r="ABB23" s="49"/>
      <c r="ABC23" s="49"/>
      <c r="ABD23" s="49"/>
      <c r="ABE23" s="49"/>
      <c r="ABF23" s="49"/>
      <c r="ABG23" s="49"/>
      <c r="ABH23" s="49"/>
      <c r="ABI23" s="49"/>
      <c r="ABJ23" s="49"/>
      <c r="ABK23" s="49"/>
      <c r="ABL23" s="49"/>
      <c r="ABM23" s="49"/>
      <c r="ABN23" s="49"/>
      <c r="ABO23" s="49"/>
      <c r="ABP23" s="49"/>
      <c r="ABQ23" s="49"/>
      <c r="ABR23" s="49"/>
      <c r="ABS23" s="49"/>
      <c r="ABT23" s="49"/>
      <c r="ABU23" s="49"/>
      <c r="ABV23" s="49"/>
      <c r="ABW23" s="49"/>
      <c r="ABX23" s="49"/>
      <c r="ABY23" s="49"/>
      <c r="ABZ23" s="49"/>
      <c r="ACA23" s="49"/>
      <c r="ACB23" s="49"/>
      <c r="ACC23" s="49"/>
      <c r="ACD23" s="49"/>
      <c r="ACE23" s="49"/>
      <c r="ACF23" s="49"/>
      <c r="ACG23" s="49"/>
      <c r="ACH23" s="49"/>
      <c r="ACI23" s="49"/>
      <c r="ACJ23" s="49"/>
      <c r="ACK23" s="49"/>
      <c r="ACL23" s="49"/>
      <c r="ACM23" s="49"/>
      <c r="ACN23" s="49"/>
      <c r="ACO23" s="49"/>
      <c r="ACP23" s="49"/>
      <c r="ACQ23" s="49"/>
      <c r="ACR23" s="49"/>
      <c r="ACS23" s="49"/>
      <c r="ACT23" s="49"/>
      <c r="ACU23" s="49"/>
      <c r="ACV23" s="49"/>
      <c r="ACW23" s="49"/>
      <c r="ACX23" s="49"/>
      <c r="ACY23" s="49"/>
      <c r="ACZ23" s="49"/>
      <c r="ADA23" s="49"/>
      <c r="ADB23" s="49"/>
      <c r="ADC23" s="49"/>
      <c r="ADD23" s="49"/>
      <c r="ADE23" s="49"/>
      <c r="ADF23" s="49"/>
      <c r="ADG23" s="49"/>
      <c r="ADH23" s="49"/>
      <c r="ADI23" s="49"/>
      <c r="ADJ23" s="49"/>
      <c r="ADK23" s="49"/>
      <c r="ADL23" s="49"/>
      <c r="ADM23" s="49"/>
      <c r="ADN23" s="49"/>
      <c r="ADO23" s="49"/>
      <c r="ADP23" s="49"/>
      <c r="ADQ23" s="49"/>
      <c r="ADR23" s="49"/>
      <c r="ADS23" s="49"/>
      <c r="ADT23" s="49"/>
      <c r="ADU23" s="49"/>
      <c r="ADV23" s="49"/>
      <c r="ADW23" s="49"/>
      <c r="ADX23" s="49"/>
      <c r="ADY23" s="49"/>
      <c r="ADZ23" s="49"/>
      <c r="AEA23" s="49"/>
      <c r="AEB23" s="49"/>
      <c r="AEC23" s="49"/>
      <c r="AED23" s="49"/>
      <c r="AEE23" s="49"/>
      <c r="AEF23" s="49"/>
      <c r="AEG23" s="49"/>
      <c r="AEH23" s="49"/>
      <c r="AEI23" s="49"/>
      <c r="AEJ23" s="49"/>
      <c r="AEK23" s="49"/>
      <c r="AEL23" s="49"/>
      <c r="AEM23" s="49"/>
      <c r="AEN23" s="49"/>
      <c r="AEO23" s="49"/>
      <c r="AEP23" s="49"/>
      <c r="AEQ23" s="49"/>
      <c r="AER23" s="49"/>
      <c r="AES23" s="49"/>
      <c r="AET23" s="49"/>
      <c r="AEU23" s="49"/>
      <c r="AEV23" s="49"/>
      <c r="AEW23" s="49"/>
      <c r="AEX23" s="49"/>
      <c r="AEY23" s="49"/>
      <c r="AEZ23" s="49"/>
      <c r="AFA23" s="49"/>
      <c r="AFB23" s="49"/>
      <c r="AFC23" s="49"/>
      <c r="AFD23" s="49"/>
      <c r="AFE23" s="49"/>
      <c r="AFF23" s="49"/>
      <c r="AFG23" s="49"/>
      <c r="AFH23" s="49"/>
      <c r="AFI23" s="49"/>
      <c r="AFJ23" s="49"/>
      <c r="AFK23" s="49"/>
      <c r="AFL23" s="49"/>
      <c r="AFM23" s="49"/>
      <c r="AFN23" s="49"/>
      <c r="AFO23" s="49"/>
      <c r="AFP23" s="49"/>
      <c r="AFQ23" s="49"/>
      <c r="AFR23" s="49"/>
      <c r="AFS23" s="49"/>
      <c r="AFT23" s="49"/>
      <c r="AFU23" s="49"/>
      <c r="AFV23" s="49"/>
      <c r="AFW23" s="49"/>
      <c r="AFX23" s="49"/>
      <c r="AFY23" s="49"/>
      <c r="AFZ23" s="49"/>
      <c r="AGA23" s="49"/>
      <c r="AGB23" s="49"/>
      <c r="AGC23" s="49"/>
      <c r="AGD23" s="49"/>
      <c r="AGE23" s="49"/>
      <c r="AGF23" s="49"/>
      <c r="AGG23" s="49"/>
      <c r="AGH23" s="49"/>
      <c r="AGI23" s="49"/>
      <c r="AGJ23" s="49"/>
      <c r="AGK23" s="49"/>
      <c r="AGL23" s="49"/>
      <c r="AGM23" s="49"/>
      <c r="AGN23" s="49"/>
      <c r="AGO23" s="49"/>
      <c r="AGP23" s="49"/>
      <c r="AGQ23" s="49"/>
      <c r="AGR23" s="49"/>
      <c r="AGS23" s="49"/>
      <c r="AGT23" s="49"/>
      <c r="AGU23" s="49"/>
      <c r="AGV23" s="49"/>
      <c r="AGW23" s="49"/>
      <c r="AGX23" s="49"/>
      <c r="AGY23" s="49"/>
      <c r="AGZ23" s="49"/>
      <c r="AHA23" s="49"/>
      <c r="AHB23" s="49"/>
      <c r="AHC23" s="49"/>
      <c r="AHD23" s="49"/>
      <c r="AHE23" s="49"/>
      <c r="AHF23" s="49"/>
      <c r="AHG23" s="49"/>
      <c r="AHH23" s="49"/>
      <c r="AHI23" s="49"/>
      <c r="AHJ23" s="49"/>
      <c r="AHK23" s="49"/>
      <c r="AHL23" s="49"/>
      <c r="AHM23" s="49"/>
      <c r="AHN23" s="49"/>
      <c r="AHO23" s="49"/>
      <c r="AHP23" s="49"/>
      <c r="AHQ23" s="49"/>
      <c r="AHR23" s="49"/>
      <c r="AHS23" s="49"/>
      <c r="AHT23" s="49"/>
      <c r="AHU23" s="49"/>
      <c r="AHV23" s="49"/>
      <c r="AHW23" s="49"/>
      <c r="AHX23" s="49"/>
      <c r="AHY23" s="49"/>
      <c r="AHZ23" s="49"/>
      <c r="AIA23" s="49"/>
      <c r="AIB23" s="49"/>
      <c r="AIC23" s="49"/>
      <c r="AID23" s="49"/>
      <c r="AIE23" s="49"/>
      <c r="AIF23" s="49"/>
      <c r="AIG23" s="49"/>
      <c r="AIH23" s="49"/>
      <c r="AII23" s="49"/>
      <c r="AIJ23" s="49"/>
      <c r="AIK23" s="49"/>
      <c r="AIL23" s="49"/>
      <c r="AIM23" s="49"/>
      <c r="AIN23" s="49"/>
      <c r="AIO23" s="49"/>
      <c r="AIP23" s="49"/>
      <c r="AIQ23" s="49"/>
      <c r="AIR23" s="49"/>
      <c r="AIS23" s="49"/>
      <c r="AIT23" s="49"/>
      <c r="AIU23" s="49"/>
      <c r="AIV23" s="49"/>
      <c r="AIW23" s="49"/>
      <c r="AIX23" s="49"/>
      <c r="AIY23" s="49"/>
      <c r="AIZ23" s="49"/>
      <c r="AJA23" s="49"/>
      <c r="AJB23" s="49"/>
      <c r="AJC23" s="49"/>
      <c r="AJD23" s="49"/>
      <c r="AJE23" s="49"/>
      <c r="AJF23" s="49"/>
      <c r="AJG23" s="49"/>
      <c r="AJH23" s="49"/>
      <c r="AJI23" s="49"/>
      <c r="AJJ23" s="49"/>
      <c r="AJK23" s="49"/>
      <c r="AJL23" s="49"/>
      <c r="AJM23" s="49"/>
      <c r="AJN23" s="49"/>
      <c r="AJO23" s="49"/>
      <c r="AJP23" s="49"/>
      <c r="AJQ23" s="49"/>
      <c r="AJR23" s="49"/>
      <c r="AJS23" s="49"/>
      <c r="AJT23" s="49"/>
      <c r="AJU23" s="49"/>
      <c r="AJV23" s="49"/>
      <c r="AJW23" s="49"/>
      <c r="AJX23" s="49"/>
      <c r="AJY23" s="49"/>
      <c r="AJZ23" s="49"/>
      <c r="AKA23" s="49"/>
      <c r="AKB23" s="49"/>
      <c r="AKC23" s="49"/>
      <c r="AKD23" s="49"/>
      <c r="AKE23" s="49"/>
      <c r="AKF23" s="49"/>
      <c r="AKG23" s="49"/>
      <c r="AKH23" s="49"/>
      <c r="AKI23" s="49"/>
      <c r="AKJ23" s="49"/>
      <c r="AKK23" s="49"/>
      <c r="AKL23" s="49"/>
      <c r="AKM23" s="49"/>
      <c r="AKN23" s="49"/>
      <c r="AKO23" s="49"/>
      <c r="AKP23" s="49"/>
      <c r="AKQ23" s="49"/>
      <c r="AKR23" s="49"/>
      <c r="AKS23" s="49"/>
      <c r="AKT23" s="49"/>
      <c r="AKU23" s="49"/>
      <c r="AKV23" s="49"/>
      <c r="AKW23" s="49"/>
      <c r="AKX23" s="49"/>
      <c r="AKY23" s="49"/>
      <c r="AKZ23" s="49"/>
      <c r="ALA23" s="49"/>
      <c r="ALB23" s="49"/>
      <c r="ALC23" s="49"/>
      <c r="ALD23" s="49"/>
      <c r="ALE23" s="49"/>
      <c r="ALF23" s="49"/>
      <c r="ALG23" s="49"/>
      <c r="ALH23" s="49"/>
      <c r="ALI23" s="49"/>
      <c r="ALJ23" s="49"/>
      <c r="ALK23" s="49"/>
      <c r="ALL23" s="49"/>
      <c r="ALM23" s="49"/>
      <c r="ALN23" s="49"/>
      <c r="ALO23" s="49"/>
      <c r="ALP23" s="49"/>
      <c r="ALQ23" s="49"/>
      <c r="ALR23" s="49"/>
      <c r="ALS23" s="49"/>
      <c r="ALT23" s="49"/>
      <c r="ALU23" s="49"/>
      <c r="ALV23" s="49"/>
      <c r="ALW23" s="49"/>
      <c r="ALX23" s="49"/>
      <c r="ALY23" s="49"/>
      <c r="ALZ23" s="49"/>
      <c r="AMA23" s="49"/>
      <c r="AMB23" s="49"/>
      <c r="AMC23" s="49"/>
      <c r="AMD23" s="49"/>
      <c r="AME23" s="49"/>
      <c r="AMF23" s="49"/>
      <c r="AMG23" s="49"/>
      <c r="AMH23" s="49"/>
      <c r="AMI23" s="49"/>
      <c r="AMJ23" s="49"/>
      <c r="AMK23" s="49"/>
      <c r="AML23" s="49"/>
      <c r="AMM23" s="49"/>
      <c r="AMN23" s="49"/>
      <c r="AMO23" s="49"/>
      <c r="AMP23" s="49"/>
      <c r="AMQ23" s="49"/>
      <c r="AMR23" s="49"/>
      <c r="AMS23" s="49"/>
      <c r="AMT23" s="49"/>
      <c r="AMU23" s="49"/>
      <c r="AMV23" s="49"/>
      <c r="AMW23" s="49"/>
      <c r="AMX23" s="49"/>
      <c r="AMY23" s="49"/>
      <c r="AMZ23" s="49"/>
      <c r="ANA23" s="49"/>
      <c r="ANB23" s="49"/>
      <c r="ANC23" s="49"/>
      <c r="AND23" s="49"/>
      <c r="ANE23" s="49"/>
      <c r="ANF23" s="49"/>
      <c r="ANG23" s="49"/>
      <c r="ANH23" s="49"/>
      <c r="ANI23" s="49"/>
      <c r="ANJ23" s="49"/>
      <c r="ANK23" s="49"/>
      <c r="ANL23" s="49"/>
      <c r="ANM23" s="49"/>
      <c r="ANN23" s="49"/>
      <c r="ANO23" s="49"/>
      <c r="ANP23" s="49"/>
      <c r="ANQ23" s="49"/>
      <c r="ANR23" s="49"/>
      <c r="ANS23" s="49"/>
      <c r="ANT23" s="49"/>
      <c r="ANU23" s="49"/>
      <c r="ANV23" s="49"/>
      <c r="ANW23" s="49"/>
      <c r="ANX23" s="49"/>
      <c r="ANY23" s="49"/>
      <c r="ANZ23" s="49"/>
      <c r="AOA23" s="49"/>
      <c r="AOB23" s="49"/>
      <c r="AOC23" s="49"/>
      <c r="AOD23" s="49"/>
      <c r="AOE23" s="49"/>
      <c r="AOF23" s="49"/>
      <c r="AOG23" s="49"/>
      <c r="AOH23" s="49"/>
      <c r="AOI23" s="49"/>
      <c r="AOJ23" s="49"/>
      <c r="AOK23" s="49"/>
      <c r="AOL23" s="49"/>
      <c r="AOM23" s="49"/>
      <c r="AON23" s="49"/>
      <c r="AOO23" s="49"/>
      <c r="AOP23" s="49"/>
      <c r="AOQ23" s="49"/>
      <c r="AOR23" s="49"/>
      <c r="AOS23" s="49"/>
      <c r="AOT23" s="49"/>
      <c r="AOU23" s="49"/>
      <c r="AOV23" s="49"/>
      <c r="AOW23" s="49"/>
      <c r="AOX23" s="49"/>
      <c r="AOY23" s="49"/>
      <c r="AOZ23" s="49"/>
      <c r="APA23" s="49"/>
      <c r="APB23" s="49"/>
      <c r="APC23" s="49"/>
      <c r="APD23" s="49"/>
      <c r="APE23" s="49"/>
      <c r="APF23" s="49"/>
      <c r="APG23" s="49"/>
      <c r="APH23" s="49"/>
      <c r="API23" s="49"/>
      <c r="APJ23" s="49"/>
      <c r="APK23" s="49"/>
      <c r="APL23" s="49"/>
      <c r="APM23" s="49"/>
      <c r="APN23" s="49"/>
      <c r="APO23" s="49"/>
      <c r="APP23" s="49"/>
      <c r="APQ23" s="49"/>
      <c r="APR23" s="49"/>
      <c r="APS23" s="49"/>
      <c r="APT23" s="49"/>
      <c r="APU23" s="49"/>
      <c r="APV23" s="49"/>
      <c r="APW23" s="49"/>
      <c r="APX23" s="49"/>
      <c r="APY23" s="49"/>
      <c r="APZ23" s="49"/>
      <c r="AQA23" s="49"/>
      <c r="AQB23" s="49"/>
      <c r="AQC23" s="49"/>
      <c r="AQD23" s="49"/>
      <c r="AQE23" s="49"/>
      <c r="AQF23" s="49"/>
      <c r="AQG23" s="49"/>
      <c r="AQH23" s="49"/>
      <c r="AQI23" s="49"/>
      <c r="AQJ23" s="49"/>
      <c r="AQK23" s="49"/>
      <c r="AQL23" s="49"/>
      <c r="AQM23" s="49"/>
      <c r="AQN23" s="49"/>
      <c r="AQO23" s="49"/>
      <c r="AQP23" s="49"/>
      <c r="AQQ23" s="49"/>
      <c r="AQR23" s="49"/>
      <c r="AQS23" s="49"/>
      <c r="AQT23" s="49"/>
      <c r="AQU23" s="49"/>
      <c r="AQV23" s="49"/>
      <c r="AQW23" s="49"/>
      <c r="AQX23" s="49"/>
      <c r="AQY23" s="49"/>
      <c r="AQZ23" s="49"/>
      <c r="ARA23" s="49"/>
      <c r="ARB23" s="49"/>
      <c r="ARC23" s="49"/>
      <c r="ARD23" s="49"/>
      <c r="ARE23" s="49"/>
      <c r="ARF23" s="49"/>
      <c r="ARG23" s="49"/>
      <c r="ARH23" s="49"/>
      <c r="ARI23" s="49"/>
      <c r="ARJ23" s="49"/>
      <c r="ARK23" s="49"/>
      <c r="ARL23" s="49"/>
      <c r="ARM23" s="49"/>
      <c r="ARN23" s="49"/>
      <c r="ARO23" s="49"/>
      <c r="ARP23" s="49"/>
      <c r="ARQ23" s="49"/>
      <c r="ARR23" s="49"/>
      <c r="ARS23" s="49"/>
      <c r="ART23" s="49"/>
      <c r="ARU23" s="49"/>
      <c r="ARV23" s="49"/>
      <c r="ARW23" s="49"/>
      <c r="ARX23" s="49"/>
      <c r="ARY23" s="49"/>
      <c r="ARZ23" s="49"/>
      <c r="ASA23" s="49"/>
      <c r="ASB23" s="49"/>
      <c r="ASC23" s="49"/>
      <c r="ASD23" s="49"/>
      <c r="ASE23" s="49"/>
      <c r="ASF23" s="49"/>
      <c r="ASG23" s="49"/>
      <c r="ASH23" s="49"/>
      <c r="ASI23" s="49"/>
      <c r="ASJ23" s="49"/>
      <c r="ASK23" s="49"/>
      <c r="ASL23" s="49"/>
      <c r="ASM23" s="49"/>
      <c r="ASN23" s="49"/>
      <c r="ASO23" s="49"/>
      <c r="ASP23" s="49"/>
      <c r="ASQ23" s="49"/>
      <c r="ASR23" s="49"/>
      <c r="ASS23" s="49"/>
      <c r="AST23" s="49"/>
      <c r="ASU23" s="49"/>
      <c r="ASV23" s="49"/>
      <c r="ASW23" s="49"/>
      <c r="ASX23" s="49"/>
      <c r="ASY23" s="49"/>
      <c r="ASZ23" s="49"/>
      <c r="ATA23" s="49"/>
      <c r="ATB23" s="49"/>
      <c r="ATC23" s="49"/>
      <c r="ATD23" s="49"/>
      <c r="ATE23" s="49"/>
      <c r="ATF23" s="49"/>
      <c r="ATG23" s="49"/>
      <c r="ATH23" s="49"/>
      <c r="ATI23" s="49"/>
      <c r="ATJ23" s="49"/>
      <c r="ATK23" s="49"/>
      <c r="ATL23" s="49"/>
      <c r="ATM23" s="49"/>
      <c r="ATN23" s="49"/>
      <c r="ATO23" s="49"/>
      <c r="ATP23" s="49"/>
      <c r="ATQ23" s="49"/>
      <c r="ATR23" s="49"/>
      <c r="ATS23" s="49"/>
      <c r="ATT23" s="49"/>
      <c r="ATU23" s="49"/>
      <c r="ATV23" s="49"/>
      <c r="ATW23" s="49"/>
      <c r="ATX23" s="49"/>
      <c r="ATY23" s="49"/>
      <c r="ATZ23" s="49"/>
      <c r="AUA23" s="49"/>
      <c r="AUB23" s="49"/>
      <c r="AUC23" s="49"/>
      <c r="AUD23" s="49"/>
      <c r="AUE23" s="49"/>
      <c r="AUF23" s="49"/>
      <c r="AUG23" s="49"/>
      <c r="AUH23" s="49"/>
      <c r="AUI23" s="49"/>
      <c r="AUJ23" s="49"/>
      <c r="AUK23" s="49"/>
      <c r="AUL23" s="49"/>
      <c r="AUM23" s="49"/>
      <c r="AUN23" s="49"/>
      <c r="AUO23" s="49"/>
      <c r="AUP23" s="49"/>
      <c r="AUQ23" s="49"/>
      <c r="AUR23" s="49"/>
      <c r="AUS23" s="49"/>
      <c r="AUT23" s="49"/>
      <c r="AUU23" s="49"/>
      <c r="AUV23" s="49"/>
      <c r="AUW23" s="49"/>
      <c r="AUX23" s="49"/>
      <c r="AUY23" s="49"/>
      <c r="AUZ23" s="49"/>
      <c r="AVA23" s="49"/>
      <c r="AVB23" s="49"/>
      <c r="AVC23" s="49"/>
      <c r="AVD23" s="49"/>
      <c r="AVE23" s="49"/>
      <c r="AVF23" s="49"/>
      <c r="AVG23" s="49"/>
      <c r="AVH23" s="49"/>
      <c r="AVI23" s="49"/>
      <c r="AVJ23" s="49"/>
      <c r="AVK23" s="49"/>
      <c r="AVL23" s="49"/>
      <c r="AVM23" s="49"/>
      <c r="AVN23" s="49"/>
      <c r="AVO23" s="49"/>
      <c r="AVP23" s="49"/>
      <c r="AVQ23" s="49"/>
      <c r="AVR23" s="49"/>
      <c r="AVS23" s="49"/>
      <c r="AVT23" s="49"/>
      <c r="AVU23" s="49"/>
      <c r="AVV23" s="49"/>
      <c r="AVW23" s="49"/>
      <c r="AVX23" s="49"/>
      <c r="AVY23" s="49"/>
      <c r="AVZ23" s="49"/>
      <c r="AWA23" s="49"/>
      <c r="AWB23" s="49"/>
      <c r="AWC23" s="49"/>
      <c r="AWD23" s="49"/>
      <c r="AWE23" s="49"/>
      <c r="AWF23" s="49"/>
      <c r="AWG23" s="49"/>
      <c r="AWH23" s="49"/>
      <c r="AWI23" s="49"/>
      <c r="AWJ23" s="49"/>
      <c r="AWK23" s="49"/>
      <c r="AWL23" s="49"/>
      <c r="AWM23" s="49"/>
      <c r="AWN23" s="49"/>
      <c r="AWO23" s="49"/>
      <c r="AWP23" s="49"/>
      <c r="AWQ23" s="49"/>
      <c r="AWR23" s="49"/>
      <c r="AWS23" s="49"/>
      <c r="AWT23" s="49"/>
      <c r="AWU23" s="49"/>
      <c r="AWV23" s="49"/>
      <c r="AWW23" s="49"/>
      <c r="AWX23" s="49"/>
      <c r="AWY23" s="49"/>
      <c r="AWZ23" s="49"/>
      <c r="AXA23" s="49"/>
      <c r="AXB23" s="49"/>
      <c r="AXC23" s="49"/>
      <c r="AXD23" s="49"/>
      <c r="AXE23" s="49"/>
      <c r="AXF23" s="49"/>
      <c r="AXG23" s="49"/>
      <c r="AXH23" s="49"/>
      <c r="AXI23" s="49"/>
      <c r="AXJ23" s="49"/>
      <c r="AXK23" s="49"/>
      <c r="AXL23" s="49"/>
      <c r="AXM23" s="49"/>
      <c r="AXN23" s="49"/>
      <c r="AXO23" s="49"/>
      <c r="AXP23" s="49"/>
      <c r="AXQ23" s="49"/>
      <c r="AXR23" s="49"/>
      <c r="AXS23" s="49"/>
      <c r="AXT23" s="49"/>
      <c r="AXU23" s="49"/>
      <c r="AXV23" s="49"/>
      <c r="AXW23" s="49"/>
      <c r="AXX23" s="49"/>
      <c r="AXY23" s="49"/>
      <c r="AXZ23" s="49"/>
      <c r="AYA23" s="49"/>
      <c r="AYB23" s="49"/>
      <c r="AYC23" s="49"/>
      <c r="AYD23" s="49"/>
      <c r="AYE23" s="49"/>
      <c r="AYF23" s="49"/>
      <c r="AYG23" s="49"/>
      <c r="AYH23" s="49"/>
      <c r="AYI23" s="49"/>
      <c r="AYJ23" s="49"/>
      <c r="AYK23" s="49"/>
      <c r="AYL23" s="49"/>
      <c r="AYM23" s="49"/>
      <c r="AYN23" s="49"/>
      <c r="AYO23" s="49"/>
      <c r="AYP23" s="49"/>
      <c r="AYQ23" s="49"/>
      <c r="AYR23" s="49"/>
      <c r="AYS23" s="49"/>
      <c r="AYT23" s="49"/>
      <c r="AYU23" s="49"/>
      <c r="AYV23" s="49"/>
      <c r="AYW23" s="49"/>
      <c r="AYX23" s="49"/>
      <c r="AYY23" s="49"/>
      <c r="AYZ23" s="49"/>
      <c r="AZA23" s="49"/>
      <c r="AZB23" s="49"/>
      <c r="AZC23" s="49"/>
      <c r="AZD23" s="49"/>
      <c r="AZE23" s="49"/>
      <c r="AZF23" s="49"/>
      <c r="AZG23" s="49"/>
      <c r="AZH23" s="49"/>
      <c r="AZI23" s="49"/>
      <c r="AZJ23" s="49"/>
      <c r="AZK23" s="49"/>
      <c r="AZL23" s="49"/>
      <c r="AZM23" s="49"/>
      <c r="AZN23" s="49"/>
      <c r="AZO23" s="49"/>
      <c r="AZP23" s="49"/>
      <c r="AZQ23" s="49"/>
      <c r="AZR23" s="49"/>
      <c r="AZS23" s="49"/>
      <c r="AZT23" s="49"/>
      <c r="AZU23" s="49"/>
      <c r="AZV23" s="49"/>
      <c r="AZW23" s="49"/>
      <c r="AZX23" s="49"/>
      <c r="AZY23" s="49"/>
      <c r="AZZ23" s="49"/>
      <c r="BAA23" s="49"/>
      <c r="BAB23" s="49"/>
      <c r="BAC23" s="49"/>
      <c r="BAD23" s="49"/>
      <c r="BAE23" s="49"/>
      <c r="BAF23" s="49"/>
      <c r="BAG23" s="49"/>
      <c r="BAH23" s="49"/>
      <c r="BAI23" s="49"/>
      <c r="BAJ23" s="49"/>
      <c r="BAK23" s="49"/>
      <c r="BAL23" s="49"/>
      <c r="BAM23" s="49"/>
      <c r="BAN23" s="49"/>
      <c r="BAO23" s="49"/>
      <c r="BAP23" s="49"/>
      <c r="BAQ23" s="49"/>
      <c r="BAR23" s="49"/>
      <c r="BAS23" s="49"/>
      <c r="BAT23" s="49"/>
      <c r="BAU23" s="49"/>
      <c r="BAV23" s="49"/>
      <c r="BAW23" s="49"/>
      <c r="BAX23" s="49"/>
      <c r="BAY23" s="49"/>
      <c r="BAZ23" s="49"/>
      <c r="BBA23" s="49"/>
      <c r="BBB23" s="49"/>
      <c r="BBC23" s="49"/>
      <c r="BBD23" s="49"/>
      <c r="BBE23" s="49"/>
      <c r="BBF23" s="49"/>
      <c r="BBG23" s="49"/>
      <c r="BBH23" s="49"/>
      <c r="BBI23" s="49"/>
      <c r="BBJ23" s="49"/>
      <c r="BBK23" s="49"/>
      <c r="BBL23" s="49"/>
      <c r="BBM23" s="49"/>
      <c r="BBN23" s="49"/>
      <c r="BBO23" s="49"/>
      <c r="BBP23" s="49"/>
      <c r="BBQ23" s="49"/>
      <c r="BBR23" s="49"/>
      <c r="BBS23" s="49"/>
      <c r="BBT23" s="49"/>
      <c r="BBU23" s="49"/>
      <c r="BBV23" s="49"/>
      <c r="BBW23" s="49"/>
      <c r="BBX23" s="49"/>
      <c r="BBY23" s="49"/>
      <c r="BBZ23" s="49"/>
      <c r="BCA23" s="49"/>
      <c r="BCB23" s="49"/>
      <c r="BCC23" s="49"/>
      <c r="BCD23" s="49"/>
      <c r="BCE23" s="49"/>
      <c r="BCF23" s="49"/>
      <c r="BCG23" s="49"/>
      <c r="BCH23" s="49"/>
      <c r="BCI23" s="49"/>
      <c r="BCJ23" s="49"/>
      <c r="BCK23" s="49"/>
      <c r="BCL23" s="49"/>
      <c r="BCM23" s="49"/>
      <c r="BCN23" s="49"/>
    </row>
    <row r="24" spans="1:1444" s="47" customFormat="1">
      <c r="A24" s="52"/>
      <c r="B24" s="190">
        <v>45767</v>
      </c>
      <c r="C24" s="190" t="s">
        <v>198</v>
      </c>
      <c r="D24" s="191">
        <v>30</v>
      </c>
      <c r="E24" s="191">
        <v>79.050000000017462</v>
      </c>
      <c r="F24" s="191">
        <v>0</v>
      </c>
      <c r="G24" s="191">
        <v>4.25</v>
      </c>
      <c r="H24" s="191">
        <v>20</v>
      </c>
      <c r="I24" s="191">
        <v>38</v>
      </c>
      <c r="J24" s="191">
        <v>1225.6999999999998</v>
      </c>
      <c r="K24" s="191">
        <v>802.35239999905707</v>
      </c>
      <c r="L24" s="191">
        <v>0</v>
      </c>
      <c r="M24" s="257">
        <v>0</v>
      </c>
      <c r="N24" s="189">
        <f>'units overall'!O24</f>
        <v>2212.3523999990744</v>
      </c>
      <c r="O24" s="230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B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R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H24" s="49"/>
      <c r="HI24" s="49"/>
      <c r="HJ24" s="49"/>
      <c r="HK24" s="49"/>
      <c r="HL24" s="49"/>
      <c r="HM24" s="49"/>
      <c r="HN24" s="49"/>
      <c r="HO24" s="49"/>
      <c r="HP24" s="49"/>
      <c r="HQ24" s="49"/>
      <c r="HR24" s="49"/>
      <c r="HS24" s="49"/>
      <c r="HT24" s="49"/>
      <c r="HU24" s="49"/>
      <c r="HV24" s="49"/>
      <c r="HW24" s="49"/>
      <c r="HX24" s="49"/>
      <c r="HY24" s="49"/>
      <c r="HZ24" s="49"/>
      <c r="IA24" s="49"/>
      <c r="IB24" s="49"/>
      <c r="IC24" s="49"/>
      <c r="ID24" s="49"/>
      <c r="IE24" s="49"/>
      <c r="IF24" s="49"/>
      <c r="IG24" s="49"/>
      <c r="IH24" s="49"/>
      <c r="II24" s="49"/>
      <c r="IJ24" s="49"/>
      <c r="IK24" s="49"/>
      <c r="IL24" s="49"/>
      <c r="IM24" s="49"/>
      <c r="IN24" s="49"/>
      <c r="IO24" s="49"/>
      <c r="IP24" s="49"/>
      <c r="IQ24" s="49"/>
      <c r="IR24" s="49"/>
      <c r="IS24" s="49"/>
      <c r="IT24" s="49"/>
      <c r="IU24" s="49"/>
      <c r="IV24" s="49"/>
      <c r="IW24" s="49"/>
      <c r="IX24" s="49"/>
      <c r="IY24" s="49"/>
      <c r="IZ24" s="49"/>
      <c r="JA24" s="49"/>
      <c r="JB24" s="49"/>
      <c r="JC24" s="49"/>
      <c r="JD24" s="49"/>
      <c r="JE24" s="49"/>
      <c r="JF24" s="49"/>
      <c r="JG24" s="49"/>
      <c r="JH24" s="49"/>
      <c r="JI24" s="49"/>
      <c r="JJ24" s="49"/>
      <c r="JK24" s="49"/>
      <c r="JL24" s="49"/>
      <c r="JM24" s="49"/>
      <c r="JN24" s="49"/>
      <c r="JO24" s="49"/>
      <c r="JP24" s="49"/>
      <c r="JQ24" s="49"/>
      <c r="JR24" s="49"/>
      <c r="JS24" s="49"/>
      <c r="JT24" s="49"/>
      <c r="JU24" s="49"/>
      <c r="JV24" s="49"/>
      <c r="JW24" s="49"/>
      <c r="JX24" s="49"/>
      <c r="JY24" s="49"/>
      <c r="JZ24" s="49"/>
      <c r="KA24" s="49"/>
      <c r="KB24" s="49"/>
      <c r="KC24" s="49"/>
      <c r="KD24" s="49"/>
      <c r="KE24" s="49"/>
      <c r="KF24" s="49"/>
      <c r="KG24" s="49"/>
      <c r="KH24" s="49"/>
      <c r="KI24" s="49"/>
      <c r="KJ24" s="49"/>
      <c r="KK24" s="49"/>
      <c r="KL24" s="49"/>
      <c r="KM24" s="49"/>
      <c r="KN24" s="49"/>
      <c r="KO24" s="49"/>
      <c r="KP24" s="49"/>
      <c r="KQ24" s="49"/>
      <c r="KR24" s="49"/>
      <c r="KS24" s="49"/>
      <c r="KT24" s="49"/>
      <c r="KU24" s="49"/>
      <c r="KV24" s="49"/>
      <c r="KW24" s="49"/>
      <c r="KX24" s="49"/>
      <c r="KY24" s="49"/>
      <c r="KZ24" s="49"/>
      <c r="LA24" s="49"/>
      <c r="LB24" s="49"/>
      <c r="LC24" s="49"/>
      <c r="LD24" s="49"/>
      <c r="LE24" s="49"/>
      <c r="LF24" s="49"/>
      <c r="LG24" s="49"/>
      <c r="LH24" s="49"/>
      <c r="LI24" s="49"/>
      <c r="LJ24" s="49"/>
      <c r="LK24" s="49"/>
      <c r="LL24" s="49"/>
      <c r="LM24" s="49"/>
      <c r="LN24" s="49"/>
      <c r="LO24" s="49"/>
      <c r="LP24" s="49"/>
      <c r="LQ24" s="49"/>
      <c r="LR24" s="49"/>
      <c r="LS24" s="49"/>
      <c r="LT24" s="49"/>
      <c r="LU24" s="49"/>
      <c r="LV24" s="49"/>
      <c r="LW24" s="49"/>
      <c r="LX24" s="49"/>
      <c r="LY24" s="49"/>
      <c r="LZ24" s="49"/>
      <c r="MA24" s="49"/>
      <c r="MB24" s="49"/>
      <c r="MC24" s="49"/>
      <c r="MD24" s="49"/>
      <c r="ME24" s="49"/>
      <c r="MF24" s="49"/>
      <c r="MG24" s="49"/>
      <c r="MH24" s="49"/>
      <c r="MI24" s="49"/>
      <c r="MJ24" s="49"/>
      <c r="MK24" s="49"/>
      <c r="ML24" s="49"/>
      <c r="MM24" s="49"/>
      <c r="MN24" s="49"/>
      <c r="MO24" s="49"/>
      <c r="MP24" s="49"/>
      <c r="MQ24" s="49"/>
      <c r="MR24" s="49"/>
      <c r="MS24" s="49"/>
      <c r="MT24" s="49"/>
      <c r="MU24" s="49"/>
      <c r="MV24" s="49"/>
      <c r="MW24" s="49"/>
      <c r="MX24" s="49"/>
      <c r="MY24" s="49"/>
      <c r="MZ24" s="49"/>
      <c r="NA24" s="49"/>
      <c r="NB24" s="49"/>
      <c r="NC24" s="49"/>
      <c r="ND24" s="49"/>
      <c r="NE24" s="49"/>
      <c r="NF24" s="49"/>
      <c r="NG24" s="49"/>
      <c r="NH24" s="49"/>
      <c r="NI24" s="49"/>
      <c r="NJ24" s="49"/>
      <c r="NK24" s="49"/>
      <c r="NL24" s="49"/>
      <c r="NM24" s="49"/>
      <c r="NN24" s="49"/>
      <c r="NO24" s="49"/>
      <c r="NP24" s="49"/>
      <c r="NQ24" s="49"/>
      <c r="NR24" s="49"/>
      <c r="NS24" s="49"/>
      <c r="NT24" s="49"/>
      <c r="NU24" s="49"/>
      <c r="NV24" s="49"/>
      <c r="NW24" s="49"/>
      <c r="NX24" s="49"/>
      <c r="NY24" s="49"/>
      <c r="NZ24" s="49"/>
      <c r="OA24" s="49"/>
      <c r="OB24" s="49"/>
      <c r="OC24" s="49"/>
      <c r="OD24" s="49"/>
      <c r="OE24" s="49"/>
      <c r="OF24" s="49"/>
      <c r="OG24" s="49"/>
      <c r="OH24" s="49"/>
      <c r="OI24" s="49"/>
      <c r="OJ24" s="49"/>
      <c r="OK24" s="49"/>
      <c r="OL24" s="49"/>
      <c r="OM24" s="49"/>
      <c r="ON24" s="49"/>
      <c r="OO24" s="49"/>
      <c r="OP24" s="49"/>
      <c r="OQ24" s="49"/>
      <c r="OR24" s="49"/>
      <c r="OS24" s="49"/>
      <c r="OT24" s="49"/>
      <c r="OU24" s="49"/>
      <c r="OV24" s="49"/>
      <c r="OW24" s="49"/>
      <c r="OX24" s="49"/>
      <c r="OY24" s="49"/>
      <c r="OZ24" s="49"/>
      <c r="PA24" s="49"/>
      <c r="PB24" s="49"/>
      <c r="PC24" s="49"/>
      <c r="PD24" s="49"/>
      <c r="PE24" s="49"/>
      <c r="PF24" s="49"/>
      <c r="PG24" s="49"/>
      <c r="PH24" s="49"/>
      <c r="PI24" s="49"/>
      <c r="PJ24" s="49"/>
      <c r="PK24" s="49"/>
      <c r="PL24" s="49"/>
      <c r="PM24" s="49"/>
      <c r="PN24" s="49"/>
      <c r="PO24" s="49"/>
      <c r="PP24" s="49"/>
      <c r="PQ24" s="49"/>
      <c r="PR24" s="49"/>
      <c r="PS24" s="49"/>
      <c r="PT24" s="49"/>
      <c r="PU24" s="49"/>
      <c r="PV24" s="49"/>
      <c r="PW24" s="49"/>
      <c r="PX24" s="49"/>
      <c r="PY24" s="49"/>
      <c r="PZ24" s="49"/>
      <c r="QA24" s="49"/>
      <c r="QB24" s="49"/>
      <c r="QC24" s="49"/>
      <c r="QD24" s="49"/>
      <c r="QE24" s="49"/>
      <c r="QF24" s="49"/>
      <c r="QG24" s="49"/>
      <c r="QH24" s="49"/>
      <c r="QI24" s="49"/>
      <c r="QJ24" s="49"/>
      <c r="QK24" s="49"/>
      <c r="QL24" s="49"/>
      <c r="QM24" s="49"/>
      <c r="QN24" s="49"/>
      <c r="QO24" s="49"/>
      <c r="QP24" s="49"/>
      <c r="QQ24" s="49"/>
      <c r="QR24" s="49"/>
      <c r="QS24" s="49"/>
      <c r="QT24" s="49"/>
      <c r="QU24" s="49"/>
      <c r="QV24" s="49"/>
      <c r="QW24" s="49"/>
      <c r="QX24" s="49"/>
      <c r="QY24" s="49"/>
      <c r="QZ24" s="49"/>
      <c r="RA24" s="49"/>
      <c r="RB24" s="49"/>
      <c r="RC24" s="49"/>
      <c r="RD24" s="49"/>
      <c r="RE24" s="49"/>
      <c r="RF24" s="49"/>
      <c r="RG24" s="49"/>
      <c r="RH24" s="49"/>
      <c r="RI24" s="49"/>
      <c r="RJ24" s="49"/>
      <c r="RK24" s="49"/>
      <c r="RL24" s="49"/>
      <c r="RM24" s="49"/>
      <c r="RN24" s="49"/>
      <c r="RO24" s="49"/>
      <c r="RP24" s="49"/>
      <c r="RQ24" s="49"/>
      <c r="RR24" s="49"/>
      <c r="RS24" s="49"/>
      <c r="RT24" s="49"/>
      <c r="RU24" s="49"/>
      <c r="RV24" s="49"/>
      <c r="RW24" s="49"/>
      <c r="RX24" s="49"/>
      <c r="RY24" s="49"/>
      <c r="RZ24" s="49"/>
      <c r="SA24" s="49"/>
      <c r="SB24" s="49"/>
      <c r="SC24" s="49"/>
      <c r="SD24" s="49"/>
      <c r="SE24" s="49"/>
      <c r="SF24" s="49"/>
      <c r="SG24" s="49"/>
      <c r="SH24" s="49"/>
      <c r="SI24" s="49"/>
      <c r="SJ24" s="49"/>
      <c r="SK24" s="49"/>
      <c r="SL24" s="49"/>
      <c r="SM24" s="49"/>
      <c r="SN24" s="49"/>
      <c r="SO24" s="49"/>
      <c r="SP24" s="49"/>
      <c r="SQ24" s="49"/>
      <c r="SR24" s="49"/>
      <c r="SS24" s="49"/>
      <c r="ST24" s="49"/>
      <c r="SU24" s="49"/>
      <c r="SV24" s="49"/>
      <c r="SW24" s="49"/>
      <c r="SX24" s="49"/>
      <c r="SY24" s="49"/>
      <c r="SZ24" s="49"/>
      <c r="TA24" s="49"/>
      <c r="TB24" s="49"/>
      <c r="TC24" s="49"/>
      <c r="TD24" s="49"/>
      <c r="TE24" s="49"/>
      <c r="TF24" s="49"/>
      <c r="TG24" s="49"/>
      <c r="TH24" s="49"/>
      <c r="TI24" s="49"/>
      <c r="TJ24" s="49"/>
      <c r="TK24" s="49"/>
      <c r="TL24" s="49"/>
      <c r="TM24" s="49"/>
      <c r="TN24" s="49"/>
      <c r="TO24" s="49"/>
      <c r="TP24" s="49"/>
      <c r="TQ24" s="49"/>
      <c r="TR24" s="49"/>
      <c r="TS24" s="49"/>
      <c r="TT24" s="49"/>
      <c r="TU24" s="49"/>
      <c r="TV24" s="49"/>
      <c r="TW24" s="49"/>
      <c r="TX24" s="49"/>
      <c r="TY24" s="49"/>
      <c r="TZ24" s="49"/>
      <c r="UA24" s="49"/>
      <c r="UB24" s="49"/>
      <c r="UC24" s="49"/>
      <c r="UD24" s="49"/>
      <c r="UE24" s="49"/>
      <c r="UF24" s="49"/>
      <c r="UG24" s="49"/>
      <c r="UH24" s="49"/>
      <c r="UI24" s="49"/>
      <c r="UJ24" s="49"/>
      <c r="UK24" s="49"/>
      <c r="UL24" s="49"/>
      <c r="UM24" s="49"/>
      <c r="UN24" s="49"/>
      <c r="UO24" s="49"/>
      <c r="UP24" s="49"/>
      <c r="UQ24" s="49"/>
      <c r="UR24" s="49"/>
      <c r="US24" s="49"/>
      <c r="UT24" s="49"/>
      <c r="UU24" s="49"/>
      <c r="UV24" s="49"/>
      <c r="UW24" s="49"/>
      <c r="UX24" s="49"/>
      <c r="UY24" s="49"/>
      <c r="UZ24" s="49"/>
      <c r="VA24" s="49"/>
      <c r="VB24" s="49"/>
      <c r="VC24" s="49"/>
      <c r="VD24" s="49"/>
      <c r="VE24" s="49"/>
      <c r="VF24" s="49"/>
      <c r="VG24" s="49"/>
      <c r="VH24" s="49"/>
      <c r="VI24" s="49"/>
      <c r="VJ24" s="49"/>
      <c r="VK24" s="49"/>
      <c r="VL24" s="49"/>
      <c r="VM24" s="49"/>
      <c r="VN24" s="49"/>
      <c r="VO24" s="49"/>
      <c r="VP24" s="49"/>
      <c r="VQ24" s="49"/>
      <c r="VR24" s="49"/>
      <c r="VS24" s="49"/>
      <c r="VT24" s="49"/>
      <c r="VU24" s="49"/>
      <c r="VV24" s="49"/>
      <c r="VW24" s="49"/>
      <c r="VX24" s="49"/>
      <c r="VY24" s="49"/>
      <c r="VZ24" s="49"/>
      <c r="WA24" s="49"/>
      <c r="WB24" s="49"/>
      <c r="WC24" s="49"/>
      <c r="WD24" s="49"/>
      <c r="WE24" s="49"/>
      <c r="WF24" s="49"/>
      <c r="WG24" s="49"/>
      <c r="WH24" s="49"/>
      <c r="WI24" s="49"/>
      <c r="WJ24" s="49"/>
      <c r="WK24" s="49"/>
      <c r="WL24" s="49"/>
      <c r="WM24" s="49"/>
      <c r="WN24" s="49"/>
      <c r="WO24" s="49"/>
      <c r="WP24" s="49"/>
      <c r="WQ24" s="49"/>
      <c r="WR24" s="49"/>
      <c r="WS24" s="49"/>
      <c r="WT24" s="49"/>
      <c r="WU24" s="49"/>
      <c r="WV24" s="49"/>
      <c r="WW24" s="49"/>
      <c r="WX24" s="49"/>
      <c r="WY24" s="49"/>
      <c r="WZ24" s="49"/>
      <c r="XA24" s="49"/>
      <c r="XB24" s="49"/>
      <c r="XC24" s="49"/>
      <c r="XD24" s="49"/>
      <c r="XE24" s="49"/>
      <c r="XF24" s="49"/>
      <c r="XG24" s="49"/>
      <c r="XH24" s="49"/>
      <c r="XI24" s="49"/>
      <c r="XJ24" s="49"/>
      <c r="XK24" s="49"/>
      <c r="XL24" s="49"/>
      <c r="XM24" s="49"/>
      <c r="XN24" s="49"/>
      <c r="XO24" s="49"/>
      <c r="XP24" s="49"/>
      <c r="XQ24" s="49"/>
      <c r="XR24" s="49"/>
      <c r="XS24" s="49"/>
      <c r="XT24" s="49"/>
      <c r="XU24" s="49"/>
      <c r="XV24" s="49"/>
      <c r="XW24" s="49"/>
      <c r="XX24" s="49"/>
      <c r="XY24" s="49"/>
      <c r="XZ24" s="49"/>
      <c r="YA24" s="49"/>
      <c r="YB24" s="49"/>
      <c r="YC24" s="49"/>
      <c r="YD24" s="49"/>
      <c r="YE24" s="49"/>
      <c r="YF24" s="49"/>
      <c r="YG24" s="49"/>
      <c r="YH24" s="49"/>
      <c r="YI24" s="49"/>
      <c r="YJ24" s="49"/>
      <c r="YK24" s="49"/>
      <c r="YL24" s="49"/>
      <c r="YM24" s="49"/>
      <c r="YN24" s="49"/>
      <c r="YO24" s="49"/>
      <c r="YP24" s="49"/>
      <c r="YQ24" s="49"/>
      <c r="YR24" s="49"/>
      <c r="YS24" s="49"/>
      <c r="YT24" s="49"/>
      <c r="YU24" s="49"/>
      <c r="YV24" s="49"/>
      <c r="YW24" s="49"/>
      <c r="YX24" s="49"/>
      <c r="YY24" s="49"/>
      <c r="YZ24" s="49"/>
      <c r="ZA24" s="49"/>
      <c r="ZB24" s="49"/>
      <c r="ZC24" s="49"/>
      <c r="ZD24" s="49"/>
      <c r="ZE24" s="49"/>
      <c r="ZF24" s="49"/>
      <c r="ZG24" s="49"/>
      <c r="ZH24" s="49"/>
      <c r="ZI24" s="49"/>
      <c r="ZJ24" s="49"/>
      <c r="ZK24" s="49"/>
      <c r="ZL24" s="49"/>
      <c r="ZM24" s="49"/>
      <c r="ZN24" s="49"/>
      <c r="ZO24" s="49"/>
      <c r="ZP24" s="49"/>
      <c r="ZQ24" s="49"/>
      <c r="ZR24" s="49"/>
      <c r="ZS24" s="49"/>
      <c r="ZT24" s="49"/>
      <c r="ZU24" s="49"/>
      <c r="ZV24" s="49"/>
      <c r="ZW24" s="49"/>
      <c r="ZX24" s="49"/>
      <c r="ZY24" s="49"/>
      <c r="ZZ24" s="49"/>
      <c r="AAA24" s="49"/>
      <c r="AAB24" s="49"/>
      <c r="AAC24" s="49"/>
      <c r="AAD24" s="49"/>
      <c r="AAE24" s="49"/>
      <c r="AAF24" s="49"/>
      <c r="AAG24" s="49"/>
      <c r="AAH24" s="49"/>
      <c r="AAI24" s="49"/>
      <c r="AAJ24" s="49"/>
      <c r="AAK24" s="49"/>
      <c r="AAL24" s="49"/>
      <c r="AAM24" s="49"/>
      <c r="AAN24" s="49"/>
      <c r="AAO24" s="49"/>
      <c r="AAP24" s="49"/>
      <c r="AAQ24" s="49"/>
      <c r="AAR24" s="49"/>
      <c r="AAS24" s="49"/>
      <c r="AAT24" s="49"/>
      <c r="AAU24" s="49"/>
      <c r="AAV24" s="49"/>
      <c r="AAW24" s="49"/>
      <c r="AAX24" s="49"/>
      <c r="AAY24" s="49"/>
      <c r="AAZ24" s="49"/>
      <c r="ABA24" s="49"/>
      <c r="ABB24" s="49"/>
      <c r="ABC24" s="49"/>
      <c r="ABD24" s="49"/>
      <c r="ABE24" s="49"/>
      <c r="ABF24" s="49"/>
      <c r="ABG24" s="49"/>
      <c r="ABH24" s="49"/>
      <c r="ABI24" s="49"/>
      <c r="ABJ24" s="49"/>
      <c r="ABK24" s="49"/>
      <c r="ABL24" s="49"/>
      <c r="ABM24" s="49"/>
      <c r="ABN24" s="49"/>
      <c r="ABO24" s="49"/>
      <c r="ABP24" s="49"/>
      <c r="ABQ24" s="49"/>
      <c r="ABR24" s="49"/>
      <c r="ABS24" s="49"/>
      <c r="ABT24" s="49"/>
      <c r="ABU24" s="49"/>
      <c r="ABV24" s="49"/>
      <c r="ABW24" s="49"/>
      <c r="ABX24" s="49"/>
      <c r="ABY24" s="49"/>
      <c r="ABZ24" s="49"/>
      <c r="ACA24" s="49"/>
      <c r="ACB24" s="49"/>
      <c r="ACC24" s="49"/>
      <c r="ACD24" s="49"/>
      <c r="ACE24" s="49"/>
      <c r="ACF24" s="49"/>
      <c r="ACG24" s="49"/>
      <c r="ACH24" s="49"/>
      <c r="ACI24" s="49"/>
      <c r="ACJ24" s="49"/>
      <c r="ACK24" s="49"/>
      <c r="ACL24" s="49"/>
      <c r="ACM24" s="49"/>
      <c r="ACN24" s="49"/>
      <c r="ACO24" s="49"/>
      <c r="ACP24" s="49"/>
      <c r="ACQ24" s="49"/>
      <c r="ACR24" s="49"/>
      <c r="ACS24" s="49"/>
      <c r="ACT24" s="49"/>
      <c r="ACU24" s="49"/>
      <c r="ACV24" s="49"/>
      <c r="ACW24" s="49"/>
      <c r="ACX24" s="49"/>
      <c r="ACY24" s="49"/>
      <c r="ACZ24" s="49"/>
      <c r="ADA24" s="49"/>
      <c r="ADB24" s="49"/>
      <c r="ADC24" s="49"/>
      <c r="ADD24" s="49"/>
      <c r="ADE24" s="49"/>
      <c r="ADF24" s="49"/>
      <c r="ADG24" s="49"/>
      <c r="ADH24" s="49"/>
      <c r="ADI24" s="49"/>
      <c r="ADJ24" s="49"/>
      <c r="ADK24" s="49"/>
      <c r="ADL24" s="49"/>
      <c r="ADM24" s="49"/>
      <c r="ADN24" s="49"/>
      <c r="ADO24" s="49"/>
      <c r="ADP24" s="49"/>
      <c r="ADQ24" s="49"/>
      <c r="ADR24" s="49"/>
      <c r="ADS24" s="49"/>
      <c r="ADT24" s="49"/>
      <c r="ADU24" s="49"/>
      <c r="ADV24" s="49"/>
      <c r="ADW24" s="49"/>
      <c r="ADX24" s="49"/>
      <c r="ADY24" s="49"/>
      <c r="ADZ24" s="49"/>
      <c r="AEA24" s="49"/>
      <c r="AEB24" s="49"/>
      <c r="AEC24" s="49"/>
      <c r="AED24" s="49"/>
      <c r="AEE24" s="49"/>
      <c r="AEF24" s="49"/>
      <c r="AEG24" s="49"/>
      <c r="AEH24" s="49"/>
      <c r="AEI24" s="49"/>
      <c r="AEJ24" s="49"/>
      <c r="AEK24" s="49"/>
      <c r="AEL24" s="49"/>
      <c r="AEM24" s="49"/>
      <c r="AEN24" s="49"/>
      <c r="AEO24" s="49"/>
      <c r="AEP24" s="49"/>
      <c r="AEQ24" s="49"/>
      <c r="AER24" s="49"/>
      <c r="AES24" s="49"/>
      <c r="AET24" s="49"/>
      <c r="AEU24" s="49"/>
      <c r="AEV24" s="49"/>
      <c r="AEW24" s="49"/>
      <c r="AEX24" s="49"/>
      <c r="AEY24" s="49"/>
      <c r="AEZ24" s="49"/>
      <c r="AFA24" s="49"/>
      <c r="AFB24" s="49"/>
      <c r="AFC24" s="49"/>
      <c r="AFD24" s="49"/>
      <c r="AFE24" s="49"/>
      <c r="AFF24" s="49"/>
      <c r="AFG24" s="49"/>
      <c r="AFH24" s="49"/>
      <c r="AFI24" s="49"/>
      <c r="AFJ24" s="49"/>
      <c r="AFK24" s="49"/>
      <c r="AFL24" s="49"/>
      <c r="AFM24" s="49"/>
      <c r="AFN24" s="49"/>
      <c r="AFO24" s="49"/>
      <c r="AFP24" s="49"/>
      <c r="AFQ24" s="49"/>
      <c r="AFR24" s="49"/>
      <c r="AFS24" s="49"/>
      <c r="AFT24" s="49"/>
      <c r="AFU24" s="49"/>
      <c r="AFV24" s="49"/>
      <c r="AFW24" s="49"/>
      <c r="AFX24" s="49"/>
      <c r="AFY24" s="49"/>
      <c r="AFZ24" s="49"/>
      <c r="AGA24" s="49"/>
      <c r="AGB24" s="49"/>
      <c r="AGC24" s="49"/>
      <c r="AGD24" s="49"/>
      <c r="AGE24" s="49"/>
      <c r="AGF24" s="49"/>
      <c r="AGG24" s="49"/>
      <c r="AGH24" s="49"/>
      <c r="AGI24" s="49"/>
      <c r="AGJ24" s="49"/>
      <c r="AGK24" s="49"/>
      <c r="AGL24" s="49"/>
      <c r="AGM24" s="49"/>
      <c r="AGN24" s="49"/>
      <c r="AGO24" s="49"/>
      <c r="AGP24" s="49"/>
      <c r="AGQ24" s="49"/>
      <c r="AGR24" s="49"/>
      <c r="AGS24" s="49"/>
      <c r="AGT24" s="49"/>
      <c r="AGU24" s="49"/>
      <c r="AGV24" s="49"/>
      <c r="AGW24" s="49"/>
      <c r="AGX24" s="49"/>
      <c r="AGY24" s="49"/>
      <c r="AGZ24" s="49"/>
      <c r="AHA24" s="49"/>
      <c r="AHB24" s="49"/>
      <c r="AHC24" s="49"/>
      <c r="AHD24" s="49"/>
      <c r="AHE24" s="49"/>
      <c r="AHF24" s="49"/>
      <c r="AHG24" s="49"/>
      <c r="AHH24" s="49"/>
      <c r="AHI24" s="49"/>
      <c r="AHJ24" s="49"/>
      <c r="AHK24" s="49"/>
      <c r="AHL24" s="49"/>
      <c r="AHM24" s="49"/>
      <c r="AHN24" s="49"/>
      <c r="AHO24" s="49"/>
      <c r="AHP24" s="49"/>
      <c r="AHQ24" s="49"/>
      <c r="AHR24" s="49"/>
      <c r="AHS24" s="49"/>
      <c r="AHT24" s="49"/>
      <c r="AHU24" s="49"/>
      <c r="AHV24" s="49"/>
      <c r="AHW24" s="49"/>
      <c r="AHX24" s="49"/>
      <c r="AHY24" s="49"/>
      <c r="AHZ24" s="49"/>
      <c r="AIA24" s="49"/>
      <c r="AIB24" s="49"/>
      <c r="AIC24" s="49"/>
      <c r="AID24" s="49"/>
      <c r="AIE24" s="49"/>
      <c r="AIF24" s="49"/>
      <c r="AIG24" s="49"/>
      <c r="AIH24" s="49"/>
      <c r="AII24" s="49"/>
      <c r="AIJ24" s="49"/>
      <c r="AIK24" s="49"/>
      <c r="AIL24" s="49"/>
      <c r="AIM24" s="49"/>
      <c r="AIN24" s="49"/>
      <c r="AIO24" s="49"/>
      <c r="AIP24" s="49"/>
      <c r="AIQ24" s="49"/>
      <c r="AIR24" s="49"/>
      <c r="AIS24" s="49"/>
      <c r="AIT24" s="49"/>
      <c r="AIU24" s="49"/>
      <c r="AIV24" s="49"/>
      <c r="AIW24" s="49"/>
      <c r="AIX24" s="49"/>
      <c r="AIY24" s="49"/>
      <c r="AIZ24" s="49"/>
      <c r="AJA24" s="49"/>
      <c r="AJB24" s="49"/>
      <c r="AJC24" s="49"/>
      <c r="AJD24" s="49"/>
      <c r="AJE24" s="49"/>
      <c r="AJF24" s="49"/>
      <c r="AJG24" s="49"/>
      <c r="AJH24" s="49"/>
      <c r="AJI24" s="49"/>
      <c r="AJJ24" s="49"/>
      <c r="AJK24" s="49"/>
      <c r="AJL24" s="49"/>
      <c r="AJM24" s="49"/>
      <c r="AJN24" s="49"/>
      <c r="AJO24" s="49"/>
      <c r="AJP24" s="49"/>
      <c r="AJQ24" s="49"/>
      <c r="AJR24" s="49"/>
      <c r="AJS24" s="49"/>
      <c r="AJT24" s="49"/>
      <c r="AJU24" s="49"/>
      <c r="AJV24" s="49"/>
      <c r="AJW24" s="49"/>
      <c r="AJX24" s="49"/>
      <c r="AJY24" s="49"/>
      <c r="AJZ24" s="49"/>
      <c r="AKA24" s="49"/>
      <c r="AKB24" s="49"/>
      <c r="AKC24" s="49"/>
      <c r="AKD24" s="49"/>
      <c r="AKE24" s="49"/>
      <c r="AKF24" s="49"/>
      <c r="AKG24" s="49"/>
      <c r="AKH24" s="49"/>
      <c r="AKI24" s="49"/>
      <c r="AKJ24" s="49"/>
      <c r="AKK24" s="49"/>
      <c r="AKL24" s="49"/>
      <c r="AKM24" s="49"/>
      <c r="AKN24" s="49"/>
      <c r="AKO24" s="49"/>
      <c r="AKP24" s="49"/>
      <c r="AKQ24" s="49"/>
      <c r="AKR24" s="49"/>
      <c r="AKS24" s="49"/>
      <c r="AKT24" s="49"/>
      <c r="AKU24" s="49"/>
      <c r="AKV24" s="49"/>
      <c r="AKW24" s="49"/>
      <c r="AKX24" s="49"/>
      <c r="AKY24" s="49"/>
      <c r="AKZ24" s="49"/>
      <c r="ALA24" s="49"/>
      <c r="ALB24" s="49"/>
      <c r="ALC24" s="49"/>
      <c r="ALD24" s="49"/>
      <c r="ALE24" s="49"/>
      <c r="ALF24" s="49"/>
      <c r="ALG24" s="49"/>
      <c r="ALH24" s="49"/>
      <c r="ALI24" s="49"/>
      <c r="ALJ24" s="49"/>
      <c r="ALK24" s="49"/>
      <c r="ALL24" s="49"/>
      <c r="ALM24" s="49"/>
      <c r="ALN24" s="49"/>
      <c r="ALO24" s="49"/>
      <c r="ALP24" s="49"/>
      <c r="ALQ24" s="49"/>
      <c r="ALR24" s="49"/>
      <c r="ALS24" s="49"/>
      <c r="ALT24" s="49"/>
      <c r="ALU24" s="49"/>
      <c r="ALV24" s="49"/>
      <c r="ALW24" s="49"/>
      <c r="ALX24" s="49"/>
      <c r="ALY24" s="49"/>
      <c r="ALZ24" s="49"/>
      <c r="AMA24" s="49"/>
      <c r="AMB24" s="49"/>
      <c r="AMC24" s="49"/>
      <c r="AMD24" s="49"/>
      <c r="AME24" s="49"/>
      <c r="AMF24" s="49"/>
      <c r="AMG24" s="49"/>
      <c r="AMH24" s="49"/>
      <c r="AMI24" s="49"/>
      <c r="AMJ24" s="49"/>
      <c r="AMK24" s="49"/>
      <c r="AML24" s="49"/>
      <c r="AMM24" s="49"/>
      <c r="AMN24" s="49"/>
      <c r="AMO24" s="49"/>
      <c r="AMP24" s="49"/>
      <c r="AMQ24" s="49"/>
      <c r="AMR24" s="49"/>
      <c r="AMS24" s="49"/>
      <c r="AMT24" s="49"/>
      <c r="AMU24" s="49"/>
      <c r="AMV24" s="49"/>
      <c r="AMW24" s="49"/>
      <c r="AMX24" s="49"/>
      <c r="AMY24" s="49"/>
      <c r="AMZ24" s="49"/>
      <c r="ANA24" s="49"/>
      <c r="ANB24" s="49"/>
      <c r="ANC24" s="49"/>
      <c r="AND24" s="49"/>
      <c r="ANE24" s="49"/>
      <c r="ANF24" s="49"/>
      <c r="ANG24" s="49"/>
      <c r="ANH24" s="49"/>
      <c r="ANI24" s="49"/>
      <c r="ANJ24" s="49"/>
      <c r="ANK24" s="49"/>
      <c r="ANL24" s="49"/>
      <c r="ANM24" s="49"/>
      <c r="ANN24" s="49"/>
      <c r="ANO24" s="49"/>
      <c r="ANP24" s="49"/>
      <c r="ANQ24" s="49"/>
      <c r="ANR24" s="49"/>
      <c r="ANS24" s="49"/>
      <c r="ANT24" s="49"/>
      <c r="ANU24" s="49"/>
      <c r="ANV24" s="49"/>
      <c r="ANW24" s="49"/>
      <c r="ANX24" s="49"/>
      <c r="ANY24" s="49"/>
      <c r="ANZ24" s="49"/>
      <c r="AOA24" s="49"/>
      <c r="AOB24" s="49"/>
      <c r="AOC24" s="49"/>
      <c r="AOD24" s="49"/>
      <c r="AOE24" s="49"/>
      <c r="AOF24" s="49"/>
      <c r="AOG24" s="49"/>
      <c r="AOH24" s="49"/>
      <c r="AOI24" s="49"/>
      <c r="AOJ24" s="49"/>
      <c r="AOK24" s="49"/>
      <c r="AOL24" s="49"/>
      <c r="AOM24" s="49"/>
      <c r="AON24" s="49"/>
      <c r="AOO24" s="49"/>
      <c r="AOP24" s="49"/>
      <c r="AOQ24" s="49"/>
      <c r="AOR24" s="49"/>
      <c r="AOS24" s="49"/>
      <c r="AOT24" s="49"/>
      <c r="AOU24" s="49"/>
      <c r="AOV24" s="49"/>
      <c r="AOW24" s="49"/>
      <c r="AOX24" s="49"/>
      <c r="AOY24" s="49"/>
      <c r="AOZ24" s="49"/>
      <c r="APA24" s="49"/>
      <c r="APB24" s="49"/>
      <c r="APC24" s="49"/>
      <c r="APD24" s="49"/>
      <c r="APE24" s="49"/>
      <c r="APF24" s="49"/>
      <c r="APG24" s="49"/>
      <c r="APH24" s="49"/>
      <c r="API24" s="49"/>
      <c r="APJ24" s="49"/>
      <c r="APK24" s="49"/>
      <c r="APL24" s="49"/>
      <c r="APM24" s="49"/>
      <c r="APN24" s="49"/>
      <c r="APO24" s="49"/>
      <c r="APP24" s="49"/>
      <c r="APQ24" s="49"/>
      <c r="APR24" s="49"/>
      <c r="APS24" s="49"/>
      <c r="APT24" s="49"/>
      <c r="APU24" s="49"/>
      <c r="APV24" s="49"/>
      <c r="APW24" s="49"/>
      <c r="APX24" s="49"/>
      <c r="APY24" s="49"/>
      <c r="APZ24" s="49"/>
      <c r="AQA24" s="49"/>
      <c r="AQB24" s="49"/>
      <c r="AQC24" s="49"/>
      <c r="AQD24" s="49"/>
      <c r="AQE24" s="49"/>
      <c r="AQF24" s="49"/>
      <c r="AQG24" s="49"/>
      <c r="AQH24" s="49"/>
      <c r="AQI24" s="49"/>
      <c r="AQJ24" s="49"/>
      <c r="AQK24" s="49"/>
      <c r="AQL24" s="49"/>
      <c r="AQM24" s="49"/>
      <c r="AQN24" s="49"/>
      <c r="AQO24" s="49"/>
      <c r="AQP24" s="49"/>
      <c r="AQQ24" s="49"/>
      <c r="AQR24" s="49"/>
      <c r="AQS24" s="49"/>
      <c r="AQT24" s="49"/>
      <c r="AQU24" s="49"/>
      <c r="AQV24" s="49"/>
      <c r="AQW24" s="49"/>
      <c r="AQX24" s="49"/>
      <c r="AQY24" s="49"/>
      <c r="AQZ24" s="49"/>
      <c r="ARA24" s="49"/>
      <c r="ARB24" s="49"/>
      <c r="ARC24" s="49"/>
      <c r="ARD24" s="49"/>
      <c r="ARE24" s="49"/>
      <c r="ARF24" s="49"/>
      <c r="ARG24" s="49"/>
      <c r="ARH24" s="49"/>
      <c r="ARI24" s="49"/>
      <c r="ARJ24" s="49"/>
      <c r="ARK24" s="49"/>
      <c r="ARL24" s="49"/>
      <c r="ARM24" s="49"/>
      <c r="ARN24" s="49"/>
      <c r="ARO24" s="49"/>
      <c r="ARP24" s="49"/>
      <c r="ARQ24" s="49"/>
      <c r="ARR24" s="49"/>
      <c r="ARS24" s="49"/>
      <c r="ART24" s="49"/>
      <c r="ARU24" s="49"/>
      <c r="ARV24" s="49"/>
      <c r="ARW24" s="49"/>
      <c r="ARX24" s="49"/>
      <c r="ARY24" s="49"/>
      <c r="ARZ24" s="49"/>
      <c r="ASA24" s="49"/>
      <c r="ASB24" s="49"/>
      <c r="ASC24" s="49"/>
      <c r="ASD24" s="49"/>
      <c r="ASE24" s="49"/>
      <c r="ASF24" s="49"/>
      <c r="ASG24" s="49"/>
      <c r="ASH24" s="49"/>
      <c r="ASI24" s="49"/>
      <c r="ASJ24" s="49"/>
      <c r="ASK24" s="49"/>
      <c r="ASL24" s="49"/>
      <c r="ASM24" s="49"/>
      <c r="ASN24" s="49"/>
      <c r="ASO24" s="49"/>
      <c r="ASP24" s="49"/>
      <c r="ASQ24" s="49"/>
      <c r="ASR24" s="49"/>
      <c r="ASS24" s="49"/>
      <c r="AST24" s="49"/>
      <c r="ASU24" s="49"/>
      <c r="ASV24" s="49"/>
      <c r="ASW24" s="49"/>
      <c r="ASX24" s="49"/>
      <c r="ASY24" s="49"/>
      <c r="ASZ24" s="49"/>
      <c r="ATA24" s="49"/>
      <c r="ATB24" s="49"/>
      <c r="ATC24" s="49"/>
      <c r="ATD24" s="49"/>
      <c r="ATE24" s="49"/>
      <c r="ATF24" s="49"/>
      <c r="ATG24" s="49"/>
      <c r="ATH24" s="49"/>
      <c r="ATI24" s="49"/>
      <c r="ATJ24" s="49"/>
      <c r="ATK24" s="49"/>
      <c r="ATL24" s="49"/>
      <c r="ATM24" s="49"/>
      <c r="ATN24" s="49"/>
      <c r="ATO24" s="49"/>
      <c r="ATP24" s="49"/>
      <c r="ATQ24" s="49"/>
      <c r="ATR24" s="49"/>
      <c r="ATS24" s="49"/>
      <c r="ATT24" s="49"/>
      <c r="ATU24" s="49"/>
      <c r="ATV24" s="49"/>
      <c r="ATW24" s="49"/>
      <c r="ATX24" s="49"/>
      <c r="ATY24" s="49"/>
      <c r="ATZ24" s="49"/>
      <c r="AUA24" s="49"/>
      <c r="AUB24" s="49"/>
      <c r="AUC24" s="49"/>
      <c r="AUD24" s="49"/>
      <c r="AUE24" s="49"/>
      <c r="AUF24" s="49"/>
      <c r="AUG24" s="49"/>
      <c r="AUH24" s="49"/>
      <c r="AUI24" s="49"/>
      <c r="AUJ24" s="49"/>
      <c r="AUK24" s="49"/>
      <c r="AUL24" s="49"/>
      <c r="AUM24" s="49"/>
      <c r="AUN24" s="49"/>
      <c r="AUO24" s="49"/>
      <c r="AUP24" s="49"/>
      <c r="AUQ24" s="49"/>
      <c r="AUR24" s="49"/>
      <c r="AUS24" s="49"/>
      <c r="AUT24" s="49"/>
      <c r="AUU24" s="49"/>
      <c r="AUV24" s="49"/>
      <c r="AUW24" s="49"/>
      <c r="AUX24" s="49"/>
      <c r="AUY24" s="49"/>
      <c r="AUZ24" s="49"/>
      <c r="AVA24" s="49"/>
      <c r="AVB24" s="49"/>
      <c r="AVC24" s="49"/>
      <c r="AVD24" s="49"/>
      <c r="AVE24" s="49"/>
      <c r="AVF24" s="49"/>
      <c r="AVG24" s="49"/>
      <c r="AVH24" s="49"/>
      <c r="AVI24" s="49"/>
      <c r="AVJ24" s="49"/>
      <c r="AVK24" s="49"/>
      <c r="AVL24" s="49"/>
      <c r="AVM24" s="49"/>
      <c r="AVN24" s="49"/>
      <c r="AVO24" s="49"/>
      <c r="AVP24" s="49"/>
      <c r="AVQ24" s="49"/>
      <c r="AVR24" s="49"/>
      <c r="AVS24" s="49"/>
      <c r="AVT24" s="49"/>
      <c r="AVU24" s="49"/>
      <c r="AVV24" s="49"/>
      <c r="AVW24" s="49"/>
      <c r="AVX24" s="49"/>
      <c r="AVY24" s="49"/>
      <c r="AVZ24" s="49"/>
      <c r="AWA24" s="49"/>
      <c r="AWB24" s="49"/>
      <c r="AWC24" s="49"/>
      <c r="AWD24" s="49"/>
      <c r="AWE24" s="49"/>
      <c r="AWF24" s="49"/>
      <c r="AWG24" s="49"/>
      <c r="AWH24" s="49"/>
      <c r="AWI24" s="49"/>
      <c r="AWJ24" s="49"/>
      <c r="AWK24" s="49"/>
      <c r="AWL24" s="49"/>
      <c r="AWM24" s="49"/>
      <c r="AWN24" s="49"/>
      <c r="AWO24" s="49"/>
      <c r="AWP24" s="49"/>
      <c r="AWQ24" s="49"/>
      <c r="AWR24" s="49"/>
      <c r="AWS24" s="49"/>
      <c r="AWT24" s="49"/>
      <c r="AWU24" s="49"/>
      <c r="AWV24" s="49"/>
      <c r="AWW24" s="49"/>
      <c r="AWX24" s="49"/>
      <c r="AWY24" s="49"/>
      <c r="AWZ24" s="49"/>
      <c r="AXA24" s="49"/>
      <c r="AXB24" s="49"/>
      <c r="AXC24" s="49"/>
      <c r="AXD24" s="49"/>
      <c r="AXE24" s="49"/>
      <c r="AXF24" s="49"/>
      <c r="AXG24" s="49"/>
      <c r="AXH24" s="49"/>
      <c r="AXI24" s="49"/>
      <c r="AXJ24" s="49"/>
      <c r="AXK24" s="49"/>
      <c r="AXL24" s="49"/>
      <c r="AXM24" s="49"/>
      <c r="AXN24" s="49"/>
      <c r="AXO24" s="49"/>
      <c r="AXP24" s="49"/>
      <c r="AXQ24" s="49"/>
      <c r="AXR24" s="49"/>
      <c r="AXS24" s="49"/>
      <c r="AXT24" s="49"/>
      <c r="AXU24" s="49"/>
      <c r="AXV24" s="49"/>
      <c r="AXW24" s="49"/>
      <c r="AXX24" s="49"/>
      <c r="AXY24" s="49"/>
      <c r="AXZ24" s="49"/>
      <c r="AYA24" s="49"/>
      <c r="AYB24" s="49"/>
      <c r="AYC24" s="49"/>
      <c r="AYD24" s="49"/>
      <c r="AYE24" s="49"/>
      <c r="AYF24" s="49"/>
      <c r="AYG24" s="49"/>
      <c r="AYH24" s="49"/>
      <c r="AYI24" s="49"/>
      <c r="AYJ24" s="49"/>
      <c r="AYK24" s="49"/>
      <c r="AYL24" s="49"/>
      <c r="AYM24" s="49"/>
      <c r="AYN24" s="49"/>
      <c r="AYO24" s="49"/>
      <c r="AYP24" s="49"/>
      <c r="AYQ24" s="49"/>
      <c r="AYR24" s="49"/>
      <c r="AYS24" s="49"/>
      <c r="AYT24" s="49"/>
      <c r="AYU24" s="49"/>
      <c r="AYV24" s="49"/>
      <c r="AYW24" s="49"/>
      <c r="AYX24" s="49"/>
      <c r="AYY24" s="49"/>
      <c r="AYZ24" s="49"/>
      <c r="AZA24" s="49"/>
      <c r="AZB24" s="49"/>
      <c r="AZC24" s="49"/>
      <c r="AZD24" s="49"/>
      <c r="AZE24" s="49"/>
      <c r="AZF24" s="49"/>
      <c r="AZG24" s="49"/>
      <c r="AZH24" s="49"/>
      <c r="AZI24" s="49"/>
      <c r="AZJ24" s="49"/>
      <c r="AZK24" s="49"/>
      <c r="AZL24" s="49"/>
      <c r="AZM24" s="49"/>
      <c r="AZN24" s="49"/>
      <c r="AZO24" s="49"/>
      <c r="AZP24" s="49"/>
      <c r="AZQ24" s="49"/>
      <c r="AZR24" s="49"/>
      <c r="AZS24" s="49"/>
      <c r="AZT24" s="49"/>
      <c r="AZU24" s="49"/>
      <c r="AZV24" s="49"/>
      <c r="AZW24" s="49"/>
      <c r="AZX24" s="49"/>
      <c r="AZY24" s="49"/>
      <c r="AZZ24" s="49"/>
      <c r="BAA24" s="49"/>
      <c r="BAB24" s="49"/>
      <c r="BAC24" s="49"/>
      <c r="BAD24" s="49"/>
      <c r="BAE24" s="49"/>
      <c r="BAF24" s="49"/>
      <c r="BAG24" s="49"/>
      <c r="BAH24" s="49"/>
      <c r="BAI24" s="49"/>
      <c r="BAJ24" s="49"/>
      <c r="BAK24" s="49"/>
      <c r="BAL24" s="49"/>
      <c r="BAM24" s="49"/>
      <c r="BAN24" s="49"/>
      <c r="BAO24" s="49"/>
      <c r="BAP24" s="49"/>
      <c r="BAQ24" s="49"/>
      <c r="BAR24" s="49"/>
      <c r="BAS24" s="49"/>
      <c r="BAT24" s="49"/>
      <c r="BAU24" s="49"/>
      <c r="BAV24" s="49"/>
      <c r="BAW24" s="49"/>
      <c r="BAX24" s="49"/>
      <c r="BAY24" s="49"/>
      <c r="BAZ24" s="49"/>
      <c r="BBA24" s="49"/>
      <c r="BBB24" s="49"/>
      <c r="BBC24" s="49"/>
      <c r="BBD24" s="49"/>
      <c r="BBE24" s="49"/>
      <c r="BBF24" s="49"/>
      <c r="BBG24" s="49"/>
      <c r="BBH24" s="49"/>
      <c r="BBI24" s="49"/>
      <c r="BBJ24" s="49"/>
      <c r="BBK24" s="49"/>
      <c r="BBL24" s="49"/>
      <c r="BBM24" s="49"/>
      <c r="BBN24" s="49"/>
      <c r="BBO24" s="49"/>
      <c r="BBP24" s="49"/>
      <c r="BBQ24" s="49"/>
      <c r="BBR24" s="49"/>
      <c r="BBS24" s="49"/>
      <c r="BBT24" s="49"/>
      <c r="BBU24" s="49"/>
      <c r="BBV24" s="49"/>
      <c r="BBW24" s="49"/>
      <c r="BBX24" s="49"/>
      <c r="BBY24" s="49"/>
      <c r="BBZ24" s="49"/>
      <c r="BCA24" s="49"/>
      <c r="BCB24" s="49"/>
      <c r="BCC24" s="49"/>
      <c r="BCD24" s="49"/>
      <c r="BCE24" s="49"/>
      <c r="BCF24" s="49"/>
      <c r="BCG24" s="49"/>
      <c r="BCH24" s="49"/>
      <c r="BCI24" s="49"/>
      <c r="BCJ24" s="49"/>
      <c r="BCK24" s="49"/>
      <c r="BCL24" s="49"/>
      <c r="BCM24" s="49"/>
      <c r="BCN24" s="49"/>
    </row>
    <row r="25" spans="1:1444" s="47" customFormat="1">
      <c r="A25" s="52"/>
      <c r="B25" s="94">
        <v>45768</v>
      </c>
      <c r="C25" s="94" t="s">
        <v>192</v>
      </c>
      <c r="D25" s="95">
        <v>60</v>
      </c>
      <c r="E25" s="95">
        <v>122.16000000000349</v>
      </c>
      <c r="F25" s="95">
        <v>0</v>
      </c>
      <c r="G25" s="95">
        <v>0</v>
      </c>
      <c r="H25" s="95">
        <v>48</v>
      </c>
      <c r="I25" s="95">
        <v>38</v>
      </c>
      <c r="J25" s="95">
        <v>1093.5900000000001</v>
      </c>
      <c r="K25" s="95">
        <v>1260.1255000001102</v>
      </c>
      <c r="L25" s="95">
        <v>0</v>
      </c>
      <c r="M25" s="155">
        <v>0</v>
      </c>
      <c r="N25" s="141">
        <f>'units overall'!O25</f>
        <v>2634.8755000001138</v>
      </c>
      <c r="O25" s="230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P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V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L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  <c r="FZ25" s="49"/>
      <c r="GA25" s="49"/>
      <c r="GB25" s="49"/>
      <c r="GC25" s="49"/>
      <c r="GD25" s="49"/>
      <c r="GE25" s="49"/>
      <c r="GF25" s="49"/>
      <c r="GG25" s="49"/>
      <c r="GH25" s="49"/>
      <c r="GI25" s="49"/>
      <c r="GJ25" s="49"/>
      <c r="GK25" s="49"/>
      <c r="GL25" s="49"/>
      <c r="GM25" s="49"/>
      <c r="GN25" s="49"/>
      <c r="GO25" s="49"/>
      <c r="GP25" s="49"/>
      <c r="GQ25" s="49"/>
      <c r="GR25" s="49"/>
      <c r="GS25" s="49"/>
      <c r="GT25" s="49"/>
      <c r="GU25" s="49"/>
      <c r="GV25" s="49"/>
      <c r="GW25" s="49"/>
      <c r="GX25" s="49"/>
      <c r="GY25" s="49"/>
      <c r="GZ25" s="49"/>
      <c r="HA25" s="49"/>
      <c r="HB25" s="49"/>
      <c r="HC25" s="49"/>
      <c r="HD25" s="49"/>
      <c r="HE25" s="49"/>
      <c r="HF25" s="49"/>
      <c r="HG25" s="49"/>
      <c r="HH25" s="49"/>
      <c r="HI25" s="49"/>
      <c r="HJ25" s="49"/>
      <c r="HK25" s="49"/>
      <c r="HL25" s="49"/>
      <c r="HM25" s="49"/>
      <c r="HN25" s="49"/>
      <c r="HO25" s="49"/>
      <c r="HP25" s="49"/>
      <c r="HQ25" s="49"/>
      <c r="HR25" s="49"/>
      <c r="HS25" s="49"/>
      <c r="HT25" s="49"/>
      <c r="HU25" s="49"/>
      <c r="HV25" s="49"/>
      <c r="HW25" s="49"/>
      <c r="HX25" s="49"/>
      <c r="HY25" s="49"/>
      <c r="HZ25" s="49"/>
      <c r="IA25" s="49"/>
      <c r="IB25" s="49"/>
      <c r="IC25" s="49"/>
      <c r="ID25" s="49"/>
      <c r="IE25" s="49"/>
      <c r="IF25" s="49"/>
      <c r="IG25" s="49"/>
      <c r="IH25" s="49"/>
      <c r="II25" s="49"/>
      <c r="IJ25" s="49"/>
      <c r="IK25" s="49"/>
      <c r="IL25" s="49"/>
      <c r="IM25" s="49"/>
      <c r="IN25" s="49"/>
      <c r="IO25" s="49"/>
      <c r="IP25" s="49"/>
      <c r="IQ25" s="49"/>
      <c r="IR25" s="49"/>
      <c r="IS25" s="49"/>
      <c r="IT25" s="49"/>
      <c r="IU25" s="49"/>
      <c r="IV25" s="49"/>
      <c r="IW25" s="49"/>
      <c r="IX25" s="49"/>
      <c r="IY25" s="49"/>
      <c r="IZ25" s="49"/>
      <c r="JA25" s="49"/>
      <c r="JB25" s="49"/>
      <c r="JC25" s="49"/>
      <c r="JD25" s="49"/>
      <c r="JE25" s="49"/>
      <c r="JF25" s="49"/>
      <c r="JG25" s="49"/>
      <c r="JH25" s="49"/>
      <c r="JI25" s="49"/>
      <c r="JJ25" s="49"/>
      <c r="JK25" s="49"/>
      <c r="JL25" s="49"/>
      <c r="JM25" s="49"/>
      <c r="JN25" s="49"/>
      <c r="JO25" s="49"/>
      <c r="JP25" s="49"/>
      <c r="JQ25" s="49"/>
      <c r="JR25" s="49"/>
      <c r="JS25" s="49"/>
      <c r="JT25" s="49"/>
      <c r="JU25" s="49"/>
      <c r="JV25" s="49"/>
      <c r="JW25" s="49"/>
      <c r="JX25" s="49"/>
      <c r="JY25" s="49"/>
      <c r="JZ25" s="49"/>
      <c r="KA25" s="49"/>
      <c r="KB25" s="49"/>
      <c r="KC25" s="49"/>
      <c r="KD25" s="49"/>
      <c r="KE25" s="49"/>
      <c r="KF25" s="49"/>
      <c r="KG25" s="49"/>
      <c r="KH25" s="49"/>
      <c r="KI25" s="49"/>
      <c r="KJ25" s="49"/>
      <c r="KK25" s="49"/>
      <c r="KL25" s="49"/>
      <c r="KM25" s="49"/>
      <c r="KN25" s="49"/>
      <c r="KO25" s="49"/>
      <c r="KP25" s="49"/>
      <c r="KQ25" s="49"/>
      <c r="KR25" s="49"/>
      <c r="KS25" s="49"/>
      <c r="KT25" s="49"/>
      <c r="KU25" s="49"/>
      <c r="KV25" s="49"/>
      <c r="KW25" s="49"/>
      <c r="KX25" s="49"/>
      <c r="KY25" s="49"/>
      <c r="KZ25" s="49"/>
      <c r="LA25" s="49"/>
      <c r="LB25" s="49"/>
      <c r="LC25" s="49"/>
      <c r="LD25" s="49"/>
      <c r="LE25" s="49"/>
      <c r="LF25" s="49"/>
      <c r="LG25" s="49"/>
      <c r="LH25" s="49"/>
      <c r="LI25" s="49"/>
      <c r="LJ25" s="49"/>
      <c r="LK25" s="49"/>
      <c r="LL25" s="49"/>
      <c r="LM25" s="49"/>
      <c r="LN25" s="49"/>
      <c r="LO25" s="49"/>
      <c r="LP25" s="49"/>
      <c r="LQ25" s="49"/>
      <c r="LR25" s="49"/>
      <c r="LS25" s="49"/>
      <c r="LT25" s="49"/>
      <c r="LU25" s="49"/>
      <c r="LV25" s="49"/>
      <c r="LW25" s="49"/>
      <c r="LX25" s="49"/>
      <c r="LY25" s="49"/>
      <c r="LZ25" s="49"/>
      <c r="MA25" s="49"/>
      <c r="MB25" s="49"/>
      <c r="MC25" s="49"/>
      <c r="MD25" s="49"/>
      <c r="ME25" s="49"/>
      <c r="MF25" s="49"/>
      <c r="MG25" s="49"/>
      <c r="MH25" s="49"/>
      <c r="MI25" s="49"/>
      <c r="MJ25" s="49"/>
      <c r="MK25" s="49"/>
      <c r="ML25" s="49"/>
      <c r="MM25" s="49"/>
      <c r="MN25" s="49"/>
      <c r="MO25" s="49"/>
      <c r="MP25" s="49"/>
      <c r="MQ25" s="49"/>
      <c r="MR25" s="49"/>
      <c r="MS25" s="49"/>
      <c r="MT25" s="49"/>
      <c r="MU25" s="49"/>
      <c r="MV25" s="49"/>
      <c r="MW25" s="49"/>
      <c r="MX25" s="49"/>
      <c r="MY25" s="49"/>
      <c r="MZ25" s="49"/>
      <c r="NA25" s="49"/>
      <c r="NB25" s="49"/>
      <c r="NC25" s="49"/>
      <c r="ND25" s="49"/>
      <c r="NE25" s="49"/>
      <c r="NF25" s="49"/>
      <c r="NG25" s="49"/>
      <c r="NH25" s="49"/>
      <c r="NI25" s="49"/>
      <c r="NJ25" s="49"/>
      <c r="NK25" s="49"/>
      <c r="NL25" s="49"/>
      <c r="NM25" s="49"/>
      <c r="NN25" s="49"/>
      <c r="NO25" s="49"/>
      <c r="NP25" s="49"/>
      <c r="NQ25" s="49"/>
      <c r="NR25" s="49"/>
      <c r="NS25" s="49"/>
      <c r="NT25" s="49"/>
      <c r="NU25" s="49"/>
      <c r="NV25" s="49"/>
      <c r="NW25" s="49"/>
      <c r="NX25" s="49"/>
      <c r="NY25" s="49"/>
      <c r="NZ25" s="49"/>
      <c r="OA25" s="49"/>
      <c r="OB25" s="49"/>
      <c r="OC25" s="49"/>
      <c r="OD25" s="49"/>
      <c r="OE25" s="49"/>
      <c r="OF25" s="49"/>
      <c r="OG25" s="49"/>
      <c r="OH25" s="49"/>
      <c r="OI25" s="49"/>
      <c r="OJ25" s="49"/>
      <c r="OK25" s="49"/>
      <c r="OL25" s="49"/>
      <c r="OM25" s="49"/>
      <c r="ON25" s="49"/>
      <c r="OO25" s="49"/>
      <c r="OP25" s="49"/>
      <c r="OQ25" s="49"/>
      <c r="OR25" s="49"/>
      <c r="OS25" s="49"/>
      <c r="OT25" s="49"/>
      <c r="OU25" s="49"/>
      <c r="OV25" s="49"/>
      <c r="OW25" s="49"/>
      <c r="OX25" s="49"/>
      <c r="OY25" s="49"/>
      <c r="OZ25" s="49"/>
      <c r="PA25" s="49"/>
      <c r="PB25" s="49"/>
      <c r="PC25" s="49"/>
      <c r="PD25" s="49"/>
      <c r="PE25" s="49"/>
      <c r="PF25" s="49"/>
      <c r="PG25" s="49"/>
      <c r="PH25" s="49"/>
      <c r="PI25" s="49"/>
      <c r="PJ25" s="49"/>
      <c r="PK25" s="49"/>
      <c r="PL25" s="49"/>
      <c r="PM25" s="49"/>
      <c r="PN25" s="49"/>
      <c r="PO25" s="49"/>
      <c r="PP25" s="49"/>
      <c r="PQ25" s="49"/>
      <c r="PR25" s="49"/>
      <c r="PS25" s="49"/>
      <c r="PT25" s="49"/>
      <c r="PU25" s="49"/>
      <c r="PV25" s="49"/>
      <c r="PW25" s="49"/>
      <c r="PX25" s="49"/>
      <c r="PY25" s="49"/>
      <c r="PZ25" s="49"/>
      <c r="QA25" s="49"/>
      <c r="QB25" s="49"/>
      <c r="QC25" s="49"/>
      <c r="QD25" s="49"/>
      <c r="QE25" s="49"/>
      <c r="QF25" s="49"/>
      <c r="QG25" s="49"/>
      <c r="QH25" s="49"/>
      <c r="QI25" s="49"/>
      <c r="QJ25" s="49"/>
      <c r="QK25" s="49"/>
      <c r="QL25" s="49"/>
      <c r="QM25" s="49"/>
      <c r="QN25" s="49"/>
      <c r="QO25" s="49"/>
      <c r="QP25" s="49"/>
      <c r="QQ25" s="49"/>
      <c r="QR25" s="49"/>
      <c r="QS25" s="49"/>
      <c r="QT25" s="49"/>
      <c r="QU25" s="49"/>
      <c r="QV25" s="49"/>
      <c r="QW25" s="49"/>
      <c r="QX25" s="49"/>
      <c r="QY25" s="49"/>
      <c r="QZ25" s="49"/>
      <c r="RA25" s="49"/>
      <c r="RB25" s="49"/>
      <c r="RC25" s="49"/>
      <c r="RD25" s="49"/>
      <c r="RE25" s="49"/>
      <c r="RF25" s="49"/>
      <c r="RG25" s="49"/>
      <c r="RH25" s="49"/>
      <c r="RI25" s="49"/>
      <c r="RJ25" s="49"/>
      <c r="RK25" s="49"/>
      <c r="RL25" s="49"/>
      <c r="RM25" s="49"/>
      <c r="RN25" s="49"/>
      <c r="RO25" s="49"/>
      <c r="RP25" s="49"/>
      <c r="RQ25" s="49"/>
      <c r="RR25" s="49"/>
      <c r="RS25" s="49"/>
      <c r="RT25" s="49"/>
      <c r="RU25" s="49"/>
      <c r="RV25" s="49"/>
      <c r="RW25" s="49"/>
      <c r="RX25" s="49"/>
      <c r="RY25" s="49"/>
      <c r="RZ25" s="49"/>
      <c r="SA25" s="49"/>
      <c r="SB25" s="49"/>
      <c r="SC25" s="49"/>
      <c r="SD25" s="49"/>
      <c r="SE25" s="49"/>
      <c r="SF25" s="49"/>
      <c r="SG25" s="49"/>
      <c r="SH25" s="49"/>
      <c r="SI25" s="49"/>
      <c r="SJ25" s="49"/>
      <c r="SK25" s="49"/>
      <c r="SL25" s="49"/>
      <c r="SM25" s="49"/>
      <c r="SN25" s="49"/>
      <c r="SO25" s="49"/>
      <c r="SP25" s="49"/>
      <c r="SQ25" s="49"/>
      <c r="SR25" s="49"/>
      <c r="SS25" s="49"/>
      <c r="ST25" s="49"/>
      <c r="SU25" s="49"/>
      <c r="SV25" s="49"/>
      <c r="SW25" s="49"/>
      <c r="SX25" s="49"/>
      <c r="SY25" s="49"/>
      <c r="SZ25" s="49"/>
      <c r="TA25" s="49"/>
      <c r="TB25" s="49"/>
      <c r="TC25" s="49"/>
      <c r="TD25" s="49"/>
      <c r="TE25" s="49"/>
      <c r="TF25" s="49"/>
      <c r="TG25" s="49"/>
      <c r="TH25" s="49"/>
      <c r="TI25" s="49"/>
      <c r="TJ25" s="49"/>
      <c r="TK25" s="49"/>
      <c r="TL25" s="49"/>
      <c r="TM25" s="49"/>
      <c r="TN25" s="49"/>
      <c r="TO25" s="49"/>
      <c r="TP25" s="49"/>
      <c r="TQ25" s="49"/>
      <c r="TR25" s="49"/>
      <c r="TS25" s="49"/>
      <c r="TT25" s="49"/>
      <c r="TU25" s="49"/>
      <c r="TV25" s="49"/>
      <c r="TW25" s="49"/>
      <c r="TX25" s="49"/>
      <c r="TY25" s="49"/>
      <c r="TZ25" s="49"/>
      <c r="UA25" s="49"/>
      <c r="UB25" s="49"/>
      <c r="UC25" s="49"/>
      <c r="UD25" s="49"/>
      <c r="UE25" s="49"/>
      <c r="UF25" s="49"/>
      <c r="UG25" s="49"/>
      <c r="UH25" s="49"/>
      <c r="UI25" s="49"/>
      <c r="UJ25" s="49"/>
      <c r="UK25" s="49"/>
      <c r="UL25" s="49"/>
      <c r="UM25" s="49"/>
      <c r="UN25" s="49"/>
      <c r="UO25" s="49"/>
      <c r="UP25" s="49"/>
      <c r="UQ25" s="49"/>
      <c r="UR25" s="49"/>
      <c r="US25" s="49"/>
      <c r="UT25" s="49"/>
      <c r="UU25" s="49"/>
      <c r="UV25" s="49"/>
      <c r="UW25" s="49"/>
      <c r="UX25" s="49"/>
      <c r="UY25" s="49"/>
      <c r="UZ25" s="49"/>
      <c r="VA25" s="49"/>
      <c r="VB25" s="49"/>
      <c r="VC25" s="49"/>
      <c r="VD25" s="49"/>
      <c r="VE25" s="49"/>
      <c r="VF25" s="49"/>
      <c r="VG25" s="49"/>
      <c r="VH25" s="49"/>
      <c r="VI25" s="49"/>
      <c r="VJ25" s="49"/>
      <c r="VK25" s="49"/>
      <c r="VL25" s="49"/>
      <c r="VM25" s="49"/>
      <c r="VN25" s="49"/>
      <c r="VO25" s="49"/>
      <c r="VP25" s="49"/>
      <c r="VQ25" s="49"/>
      <c r="VR25" s="49"/>
      <c r="VS25" s="49"/>
      <c r="VT25" s="49"/>
      <c r="VU25" s="49"/>
      <c r="VV25" s="49"/>
      <c r="VW25" s="49"/>
      <c r="VX25" s="49"/>
      <c r="VY25" s="49"/>
      <c r="VZ25" s="49"/>
      <c r="WA25" s="49"/>
      <c r="WB25" s="49"/>
      <c r="WC25" s="49"/>
      <c r="WD25" s="49"/>
      <c r="WE25" s="49"/>
      <c r="WF25" s="49"/>
      <c r="WG25" s="49"/>
      <c r="WH25" s="49"/>
      <c r="WI25" s="49"/>
      <c r="WJ25" s="49"/>
      <c r="WK25" s="49"/>
      <c r="WL25" s="49"/>
      <c r="WM25" s="49"/>
      <c r="WN25" s="49"/>
      <c r="WO25" s="49"/>
      <c r="WP25" s="49"/>
      <c r="WQ25" s="49"/>
      <c r="WR25" s="49"/>
      <c r="WS25" s="49"/>
      <c r="WT25" s="49"/>
      <c r="WU25" s="49"/>
      <c r="WV25" s="49"/>
      <c r="WW25" s="49"/>
      <c r="WX25" s="49"/>
      <c r="WY25" s="49"/>
      <c r="WZ25" s="49"/>
      <c r="XA25" s="49"/>
      <c r="XB25" s="49"/>
      <c r="XC25" s="49"/>
      <c r="XD25" s="49"/>
      <c r="XE25" s="49"/>
      <c r="XF25" s="49"/>
      <c r="XG25" s="49"/>
      <c r="XH25" s="49"/>
      <c r="XI25" s="49"/>
      <c r="XJ25" s="49"/>
      <c r="XK25" s="49"/>
      <c r="XL25" s="49"/>
      <c r="XM25" s="49"/>
      <c r="XN25" s="49"/>
      <c r="XO25" s="49"/>
      <c r="XP25" s="49"/>
      <c r="XQ25" s="49"/>
      <c r="XR25" s="49"/>
      <c r="XS25" s="49"/>
      <c r="XT25" s="49"/>
      <c r="XU25" s="49"/>
      <c r="XV25" s="49"/>
      <c r="XW25" s="49"/>
      <c r="XX25" s="49"/>
      <c r="XY25" s="49"/>
      <c r="XZ25" s="49"/>
      <c r="YA25" s="49"/>
      <c r="YB25" s="49"/>
      <c r="YC25" s="49"/>
      <c r="YD25" s="49"/>
      <c r="YE25" s="49"/>
      <c r="YF25" s="49"/>
      <c r="YG25" s="49"/>
      <c r="YH25" s="49"/>
      <c r="YI25" s="49"/>
      <c r="YJ25" s="49"/>
      <c r="YK25" s="49"/>
      <c r="YL25" s="49"/>
      <c r="YM25" s="49"/>
      <c r="YN25" s="49"/>
      <c r="YO25" s="49"/>
      <c r="YP25" s="49"/>
      <c r="YQ25" s="49"/>
      <c r="YR25" s="49"/>
      <c r="YS25" s="49"/>
      <c r="YT25" s="49"/>
      <c r="YU25" s="49"/>
      <c r="YV25" s="49"/>
      <c r="YW25" s="49"/>
      <c r="YX25" s="49"/>
      <c r="YY25" s="49"/>
      <c r="YZ25" s="49"/>
      <c r="ZA25" s="49"/>
      <c r="ZB25" s="49"/>
      <c r="ZC25" s="49"/>
      <c r="ZD25" s="49"/>
      <c r="ZE25" s="49"/>
      <c r="ZF25" s="49"/>
      <c r="ZG25" s="49"/>
      <c r="ZH25" s="49"/>
      <c r="ZI25" s="49"/>
      <c r="ZJ25" s="49"/>
      <c r="ZK25" s="49"/>
      <c r="ZL25" s="49"/>
      <c r="ZM25" s="49"/>
      <c r="ZN25" s="49"/>
      <c r="ZO25" s="49"/>
      <c r="ZP25" s="49"/>
      <c r="ZQ25" s="49"/>
      <c r="ZR25" s="49"/>
      <c r="ZS25" s="49"/>
      <c r="ZT25" s="49"/>
      <c r="ZU25" s="49"/>
      <c r="ZV25" s="49"/>
      <c r="ZW25" s="49"/>
      <c r="ZX25" s="49"/>
      <c r="ZY25" s="49"/>
      <c r="ZZ25" s="49"/>
      <c r="AAA25" s="49"/>
      <c r="AAB25" s="49"/>
      <c r="AAC25" s="49"/>
      <c r="AAD25" s="49"/>
      <c r="AAE25" s="49"/>
      <c r="AAF25" s="49"/>
      <c r="AAG25" s="49"/>
      <c r="AAH25" s="49"/>
      <c r="AAI25" s="49"/>
      <c r="AAJ25" s="49"/>
      <c r="AAK25" s="49"/>
      <c r="AAL25" s="49"/>
      <c r="AAM25" s="49"/>
      <c r="AAN25" s="49"/>
      <c r="AAO25" s="49"/>
      <c r="AAP25" s="49"/>
      <c r="AAQ25" s="49"/>
      <c r="AAR25" s="49"/>
      <c r="AAS25" s="49"/>
      <c r="AAT25" s="49"/>
      <c r="AAU25" s="49"/>
      <c r="AAV25" s="49"/>
      <c r="AAW25" s="49"/>
      <c r="AAX25" s="49"/>
      <c r="AAY25" s="49"/>
      <c r="AAZ25" s="49"/>
      <c r="ABA25" s="49"/>
      <c r="ABB25" s="49"/>
      <c r="ABC25" s="49"/>
      <c r="ABD25" s="49"/>
      <c r="ABE25" s="49"/>
      <c r="ABF25" s="49"/>
      <c r="ABG25" s="49"/>
      <c r="ABH25" s="49"/>
      <c r="ABI25" s="49"/>
      <c r="ABJ25" s="49"/>
      <c r="ABK25" s="49"/>
      <c r="ABL25" s="49"/>
      <c r="ABM25" s="49"/>
      <c r="ABN25" s="49"/>
      <c r="ABO25" s="49"/>
      <c r="ABP25" s="49"/>
      <c r="ABQ25" s="49"/>
      <c r="ABR25" s="49"/>
      <c r="ABS25" s="49"/>
      <c r="ABT25" s="49"/>
      <c r="ABU25" s="49"/>
      <c r="ABV25" s="49"/>
      <c r="ABW25" s="49"/>
      <c r="ABX25" s="49"/>
      <c r="ABY25" s="49"/>
      <c r="ABZ25" s="49"/>
      <c r="ACA25" s="49"/>
      <c r="ACB25" s="49"/>
      <c r="ACC25" s="49"/>
      <c r="ACD25" s="49"/>
      <c r="ACE25" s="49"/>
      <c r="ACF25" s="49"/>
      <c r="ACG25" s="49"/>
      <c r="ACH25" s="49"/>
      <c r="ACI25" s="49"/>
      <c r="ACJ25" s="49"/>
      <c r="ACK25" s="49"/>
      <c r="ACL25" s="49"/>
      <c r="ACM25" s="49"/>
      <c r="ACN25" s="49"/>
      <c r="ACO25" s="49"/>
      <c r="ACP25" s="49"/>
      <c r="ACQ25" s="49"/>
      <c r="ACR25" s="49"/>
      <c r="ACS25" s="49"/>
      <c r="ACT25" s="49"/>
      <c r="ACU25" s="49"/>
      <c r="ACV25" s="49"/>
      <c r="ACW25" s="49"/>
      <c r="ACX25" s="49"/>
      <c r="ACY25" s="49"/>
      <c r="ACZ25" s="49"/>
      <c r="ADA25" s="49"/>
      <c r="ADB25" s="49"/>
      <c r="ADC25" s="49"/>
      <c r="ADD25" s="49"/>
      <c r="ADE25" s="49"/>
      <c r="ADF25" s="49"/>
      <c r="ADG25" s="49"/>
      <c r="ADH25" s="49"/>
      <c r="ADI25" s="49"/>
      <c r="ADJ25" s="49"/>
      <c r="ADK25" s="49"/>
      <c r="ADL25" s="49"/>
      <c r="ADM25" s="49"/>
      <c r="ADN25" s="49"/>
      <c r="ADO25" s="49"/>
      <c r="ADP25" s="49"/>
      <c r="ADQ25" s="49"/>
      <c r="ADR25" s="49"/>
      <c r="ADS25" s="49"/>
      <c r="ADT25" s="49"/>
      <c r="ADU25" s="49"/>
      <c r="ADV25" s="49"/>
      <c r="ADW25" s="49"/>
      <c r="ADX25" s="49"/>
      <c r="ADY25" s="49"/>
      <c r="ADZ25" s="49"/>
      <c r="AEA25" s="49"/>
      <c r="AEB25" s="49"/>
      <c r="AEC25" s="49"/>
      <c r="AED25" s="49"/>
      <c r="AEE25" s="49"/>
      <c r="AEF25" s="49"/>
      <c r="AEG25" s="49"/>
      <c r="AEH25" s="49"/>
      <c r="AEI25" s="49"/>
      <c r="AEJ25" s="49"/>
      <c r="AEK25" s="49"/>
      <c r="AEL25" s="49"/>
      <c r="AEM25" s="49"/>
      <c r="AEN25" s="49"/>
      <c r="AEO25" s="49"/>
      <c r="AEP25" s="49"/>
      <c r="AEQ25" s="49"/>
      <c r="AER25" s="49"/>
      <c r="AES25" s="49"/>
      <c r="AET25" s="49"/>
      <c r="AEU25" s="49"/>
      <c r="AEV25" s="49"/>
      <c r="AEW25" s="49"/>
      <c r="AEX25" s="49"/>
      <c r="AEY25" s="49"/>
      <c r="AEZ25" s="49"/>
      <c r="AFA25" s="49"/>
      <c r="AFB25" s="49"/>
      <c r="AFC25" s="49"/>
      <c r="AFD25" s="49"/>
      <c r="AFE25" s="49"/>
      <c r="AFF25" s="49"/>
      <c r="AFG25" s="49"/>
      <c r="AFH25" s="49"/>
      <c r="AFI25" s="49"/>
      <c r="AFJ25" s="49"/>
      <c r="AFK25" s="49"/>
      <c r="AFL25" s="49"/>
      <c r="AFM25" s="49"/>
      <c r="AFN25" s="49"/>
      <c r="AFO25" s="49"/>
      <c r="AFP25" s="49"/>
      <c r="AFQ25" s="49"/>
      <c r="AFR25" s="49"/>
      <c r="AFS25" s="49"/>
      <c r="AFT25" s="49"/>
      <c r="AFU25" s="49"/>
      <c r="AFV25" s="49"/>
      <c r="AFW25" s="49"/>
      <c r="AFX25" s="49"/>
      <c r="AFY25" s="49"/>
      <c r="AFZ25" s="49"/>
      <c r="AGA25" s="49"/>
      <c r="AGB25" s="49"/>
      <c r="AGC25" s="49"/>
      <c r="AGD25" s="49"/>
      <c r="AGE25" s="49"/>
      <c r="AGF25" s="49"/>
      <c r="AGG25" s="49"/>
      <c r="AGH25" s="49"/>
      <c r="AGI25" s="49"/>
      <c r="AGJ25" s="49"/>
      <c r="AGK25" s="49"/>
      <c r="AGL25" s="49"/>
      <c r="AGM25" s="49"/>
      <c r="AGN25" s="49"/>
      <c r="AGO25" s="49"/>
      <c r="AGP25" s="49"/>
      <c r="AGQ25" s="49"/>
      <c r="AGR25" s="49"/>
      <c r="AGS25" s="49"/>
      <c r="AGT25" s="49"/>
      <c r="AGU25" s="49"/>
      <c r="AGV25" s="49"/>
      <c r="AGW25" s="49"/>
      <c r="AGX25" s="49"/>
      <c r="AGY25" s="49"/>
      <c r="AGZ25" s="49"/>
      <c r="AHA25" s="49"/>
      <c r="AHB25" s="49"/>
      <c r="AHC25" s="49"/>
      <c r="AHD25" s="49"/>
      <c r="AHE25" s="49"/>
      <c r="AHF25" s="49"/>
      <c r="AHG25" s="49"/>
      <c r="AHH25" s="49"/>
      <c r="AHI25" s="49"/>
      <c r="AHJ25" s="49"/>
      <c r="AHK25" s="49"/>
      <c r="AHL25" s="49"/>
      <c r="AHM25" s="49"/>
      <c r="AHN25" s="49"/>
      <c r="AHO25" s="49"/>
      <c r="AHP25" s="49"/>
      <c r="AHQ25" s="49"/>
      <c r="AHR25" s="49"/>
      <c r="AHS25" s="49"/>
      <c r="AHT25" s="49"/>
      <c r="AHU25" s="49"/>
      <c r="AHV25" s="49"/>
      <c r="AHW25" s="49"/>
      <c r="AHX25" s="49"/>
      <c r="AHY25" s="49"/>
      <c r="AHZ25" s="49"/>
      <c r="AIA25" s="49"/>
      <c r="AIB25" s="49"/>
      <c r="AIC25" s="49"/>
      <c r="AID25" s="49"/>
      <c r="AIE25" s="49"/>
      <c r="AIF25" s="49"/>
      <c r="AIG25" s="49"/>
      <c r="AIH25" s="49"/>
      <c r="AII25" s="49"/>
      <c r="AIJ25" s="49"/>
      <c r="AIK25" s="49"/>
      <c r="AIL25" s="49"/>
      <c r="AIM25" s="49"/>
      <c r="AIN25" s="49"/>
      <c r="AIO25" s="49"/>
      <c r="AIP25" s="49"/>
      <c r="AIQ25" s="49"/>
      <c r="AIR25" s="49"/>
      <c r="AIS25" s="49"/>
      <c r="AIT25" s="49"/>
      <c r="AIU25" s="49"/>
      <c r="AIV25" s="49"/>
      <c r="AIW25" s="49"/>
      <c r="AIX25" s="49"/>
      <c r="AIY25" s="49"/>
      <c r="AIZ25" s="49"/>
      <c r="AJA25" s="49"/>
      <c r="AJB25" s="49"/>
      <c r="AJC25" s="49"/>
      <c r="AJD25" s="49"/>
      <c r="AJE25" s="49"/>
      <c r="AJF25" s="49"/>
      <c r="AJG25" s="49"/>
      <c r="AJH25" s="49"/>
      <c r="AJI25" s="49"/>
      <c r="AJJ25" s="49"/>
      <c r="AJK25" s="49"/>
      <c r="AJL25" s="49"/>
      <c r="AJM25" s="49"/>
      <c r="AJN25" s="49"/>
      <c r="AJO25" s="49"/>
      <c r="AJP25" s="49"/>
      <c r="AJQ25" s="49"/>
      <c r="AJR25" s="49"/>
      <c r="AJS25" s="49"/>
      <c r="AJT25" s="49"/>
      <c r="AJU25" s="49"/>
      <c r="AJV25" s="49"/>
      <c r="AJW25" s="49"/>
      <c r="AJX25" s="49"/>
      <c r="AJY25" s="49"/>
      <c r="AJZ25" s="49"/>
      <c r="AKA25" s="49"/>
      <c r="AKB25" s="49"/>
      <c r="AKC25" s="49"/>
      <c r="AKD25" s="49"/>
      <c r="AKE25" s="49"/>
      <c r="AKF25" s="49"/>
      <c r="AKG25" s="49"/>
      <c r="AKH25" s="49"/>
      <c r="AKI25" s="49"/>
      <c r="AKJ25" s="49"/>
      <c r="AKK25" s="49"/>
      <c r="AKL25" s="49"/>
      <c r="AKM25" s="49"/>
      <c r="AKN25" s="49"/>
      <c r="AKO25" s="49"/>
      <c r="AKP25" s="49"/>
      <c r="AKQ25" s="49"/>
      <c r="AKR25" s="49"/>
      <c r="AKS25" s="49"/>
      <c r="AKT25" s="49"/>
      <c r="AKU25" s="49"/>
      <c r="AKV25" s="49"/>
      <c r="AKW25" s="49"/>
      <c r="AKX25" s="49"/>
      <c r="AKY25" s="49"/>
      <c r="AKZ25" s="49"/>
      <c r="ALA25" s="49"/>
      <c r="ALB25" s="49"/>
      <c r="ALC25" s="49"/>
      <c r="ALD25" s="49"/>
      <c r="ALE25" s="49"/>
      <c r="ALF25" s="49"/>
      <c r="ALG25" s="49"/>
      <c r="ALH25" s="49"/>
      <c r="ALI25" s="49"/>
      <c r="ALJ25" s="49"/>
      <c r="ALK25" s="49"/>
      <c r="ALL25" s="49"/>
      <c r="ALM25" s="49"/>
      <c r="ALN25" s="49"/>
      <c r="ALO25" s="49"/>
      <c r="ALP25" s="49"/>
      <c r="ALQ25" s="49"/>
      <c r="ALR25" s="49"/>
      <c r="ALS25" s="49"/>
      <c r="ALT25" s="49"/>
      <c r="ALU25" s="49"/>
      <c r="ALV25" s="49"/>
      <c r="ALW25" s="49"/>
      <c r="ALX25" s="49"/>
      <c r="ALY25" s="49"/>
      <c r="ALZ25" s="49"/>
      <c r="AMA25" s="49"/>
      <c r="AMB25" s="49"/>
      <c r="AMC25" s="49"/>
      <c r="AMD25" s="49"/>
      <c r="AME25" s="49"/>
      <c r="AMF25" s="49"/>
      <c r="AMG25" s="49"/>
      <c r="AMH25" s="49"/>
      <c r="AMI25" s="49"/>
      <c r="AMJ25" s="49"/>
      <c r="AMK25" s="49"/>
      <c r="AML25" s="49"/>
      <c r="AMM25" s="49"/>
      <c r="AMN25" s="49"/>
      <c r="AMO25" s="49"/>
      <c r="AMP25" s="49"/>
      <c r="AMQ25" s="49"/>
      <c r="AMR25" s="49"/>
      <c r="AMS25" s="49"/>
      <c r="AMT25" s="49"/>
      <c r="AMU25" s="49"/>
      <c r="AMV25" s="49"/>
      <c r="AMW25" s="49"/>
      <c r="AMX25" s="49"/>
      <c r="AMY25" s="49"/>
      <c r="AMZ25" s="49"/>
      <c r="ANA25" s="49"/>
      <c r="ANB25" s="49"/>
      <c r="ANC25" s="49"/>
      <c r="AND25" s="49"/>
      <c r="ANE25" s="49"/>
      <c r="ANF25" s="49"/>
      <c r="ANG25" s="49"/>
      <c r="ANH25" s="49"/>
      <c r="ANI25" s="49"/>
      <c r="ANJ25" s="49"/>
      <c r="ANK25" s="49"/>
      <c r="ANL25" s="49"/>
      <c r="ANM25" s="49"/>
      <c r="ANN25" s="49"/>
      <c r="ANO25" s="49"/>
      <c r="ANP25" s="49"/>
      <c r="ANQ25" s="49"/>
      <c r="ANR25" s="49"/>
      <c r="ANS25" s="49"/>
      <c r="ANT25" s="49"/>
      <c r="ANU25" s="49"/>
      <c r="ANV25" s="49"/>
      <c r="ANW25" s="49"/>
      <c r="ANX25" s="49"/>
      <c r="ANY25" s="49"/>
      <c r="ANZ25" s="49"/>
      <c r="AOA25" s="49"/>
      <c r="AOB25" s="49"/>
      <c r="AOC25" s="49"/>
      <c r="AOD25" s="49"/>
      <c r="AOE25" s="49"/>
      <c r="AOF25" s="49"/>
      <c r="AOG25" s="49"/>
      <c r="AOH25" s="49"/>
      <c r="AOI25" s="49"/>
      <c r="AOJ25" s="49"/>
      <c r="AOK25" s="49"/>
      <c r="AOL25" s="49"/>
      <c r="AOM25" s="49"/>
      <c r="AON25" s="49"/>
      <c r="AOO25" s="49"/>
      <c r="AOP25" s="49"/>
      <c r="AOQ25" s="49"/>
      <c r="AOR25" s="49"/>
      <c r="AOS25" s="49"/>
      <c r="AOT25" s="49"/>
      <c r="AOU25" s="49"/>
      <c r="AOV25" s="49"/>
      <c r="AOW25" s="49"/>
      <c r="AOX25" s="49"/>
      <c r="AOY25" s="49"/>
      <c r="AOZ25" s="49"/>
      <c r="APA25" s="49"/>
      <c r="APB25" s="49"/>
      <c r="APC25" s="49"/>
      <c r="APD25" s="49"/>
      <c r="APE25" s="49"/>
      <c r="APF25" s="49"/>
      <c r="APG25" s="49"/>
      <c r="APH25" s="49"/>
      <c r="API25" s="49"/>
      <c r="APJ25" s="49"/>
      <c r="APK25" s="49"/>
      <c r="APL25" s="49"/>
      <c r="APM25" s="49"/>
      <c r="APN25" s="49"/>
      <c r="APO25" s="49"/>
      <c r="APP25" s="49"/>
      <c r="APQ25" s="49"/>
      <c r="APR25" s="49"/>
      <c r="APS25" s="49"/>
      <c r="APT25" s="49"/>
      <c r="APU25" s="49"/>
      <c r="APV25" s="49"/>
      <c r="APW25" s="49"/>
      <c r="APX25" s="49"/>
      <c r="APY25" s="49"/>
      <c r="APZ25" s="49"/>
      <c r="AQA25" s="49"/>
      <c r="AQB25" s="49"/>
      <c r="AQC25" s="49"/>
      <c r="AQD25" s="49"/>
      <c r="AQE25" s="49"/>
      <c r="AQF25" s="49"/>
      <c r="AQG25" s="49"/>
      <c r="AQH25" s="49"/>
      <c r="AQI25" s="49"/>
      <c r="AQJ25" s="49"/>
      <c r="AQK25" s="49"/>
      <c r="AQL25" s="49"/>
      <c r="AQM25" s="49"/>
      <c r="AQN25" s="49"/>
      <c r="AQO25" s="49"/>
      <c r="AQP25" s="49"/>
      <c r="AQQ25" s="49"/>
      <c r="AQR25" s="49"/>
      <c r="AQS25" s="49"/>
      <c r="AQT25" s="49"/>
      <c r="AQU25" s="49"/>
      <c r="AQV25" s="49"/>
      <c r="AQW25" s="49"/>
      <c r="AQX25" s="49"/>
      <c r="AQY25" s="49"/>
      <c r="AQZ25" s="49"/>
      <c r="ARA25" s="49"/>
      <c r="ARB25" s="49"/>
      <c r="ARC25" s="49"/>
      <c r="ARD25" s="49"/>
      <c r="ARE25" s="49"/>
      <c r="ARF25" s="49"/>
      <c r="ARG25" s="49"/>
      <c r="ARH25" s="49"/>
      <c r="ARI25" s="49"/>
      <c r="ARJ25" s="49"/>
      <c r="ARK25" s="49"/>
      <c r="ARL25" s="49"/>
      <c r="ARM25" s="49"/>
      <c r="ARN25" s="49"/>
      <c r="ARO25" s="49"/>
      <c r="ARP25" s="49"/>
      <c r="ARQ25" s="49"/>
      <c r="ARR25" s="49"/>
      <c r="ARS25" s="49"/>
      <c r="ART25" s="49"/>
      <c r="ARU25" s="49"/>
      <c r="ARV25" s="49"/>
      <c r="ARW25" s="49"/>
      <c r="ARX25" s="49"/>
      <c r="ARY25" s="49"/>
      <c r="ARZ25" s="49"/>
      <c r="ASA25" s="49"/>
      <c r="ASB25" s="49"/>
      <c r="ASC25" s="49"/>
      <c r="ASD25" s="49"/>
      <c r="ASE25" s="49"/>
      <c r="ASF25" s="49"/>
      <c r="ASG25" s="49"/>
      <c r="ASH25" s="49"/>
      <c r="ASI25" s="49"/>
      <c r="ASJ25" s="49"/>
      <c r="ASK25" s="49"/>
      <c r="ASL25" s="49"/>
      <c r="ASM25" s="49"/>
      <c r="ASN25" s="49"/>
      <c r="ASO25" s="49"/>
      <c r="ASP25" s="49"/>
      <c r="ASQ25" s="49"/>
      <c r="ASR25" s="49"/>
      <c r="ASS25" s="49"/>
      <c r="AST25" s="49"/>
      <c r="ASU25" s="49"/>
      <c r="ASV25" s="49"/>
      <c r="ASW25" s="49"/>
      <c r="ASX25" s="49"/>
      <c r="ASY25" s="49"/>
      <c r="ASZ25" s="49"/>
      <c r="ATA25" s="49"/>
      <c r="ATB25" s="49"/>
      <c r="ATC25" s="49"/>
      <c r="ATD25" s="49"/>
      <c r="ATE25" s="49"/>
      <c r="ATF25" s="49"/>
      <c r="ATG25" s="49"/>
      <c r="ATH25" s="49"/>
      <c r="ATI25" s="49"/>
      <c r="ATJ25" s="49"/>
      <c r="ATK25" s="49"/>
      <c r="ATL25" s="49"/>
      <c r="ATM25" s="49"/>
      <c r="ATN25" s="49"/>
      <c r="ATO25" s="49"/>
      <c r="ATP25" s="49"/>
      <c r="ATQ25" s="49"/>
      <c r="ATR25" s="49"/>
      <c r="ATS25" s="49"/>
      <c r="ATT25" s="49"/>
      <c r="ATU25" s="49"/>
      <c r="ATV25" s="49"/>
      <c r="ATW25" s="49"/>
      <c r="ATX25" s="49"/>
      <c r="ATY25" s="49"/>
      <c r="ATZ25" s="49"/>
      <c r="AUA25" s="49"/>
      <c r="AUB25" s="49"/>
      <c r="AUC25" s="49"/>
      <c r="AUD25" s="49"/>
      <c r="AUE25" s="49"/>
      <c r="AUF25" s="49"/>
      <c r="AUG25" s="49"/>
      <c r="AUH25" s="49"/>
      <c r="AUI25" s="49"/>
      <c r="AUJ25" s="49"/>
      <c r="AUK25" s="49"/>
      <c r="AUL25" s="49"/>
      <c r="AUM25" s="49"/>
      <c r="AUN25" s="49"/>
      <c r="AUO25" s="49"/>
      <c r="AUP25" s="49"/>
      <c r="AUQ25" s="49"/>
      <c r="AUR25" s="49"/>
      <c r="AUS25" s="49"/>
      <c r="AUT25" s="49"/>
      <c r="AUU25" s="49"/>
      <c r="AUV25" s="49"/>
      <c r="AUW25" s="49"/>
      <c r="AUX25" s="49"/>
      <c r="AUY25" s="49"/>
      <c r="AUZ25" s="49"/>
      <c r="AVA25" s="49"/>
      <c r="AVB25" s="49"/>
      <c r="AVC25" s="49"/>
      <c r="AVD25" s="49"/>
      <c r="AVE25" s="49"/>
      <c r="AVF25" s="49"/>
      <c r="AVG25" s="49"/>
      <c r="AVH25" s="49"/>
      <c r="AVI25" s="49"/>
      <c r="AVJ25" s="49"/>
      <c r="AVK25" s="49"/>
      <c r="AVL25" s="49"/>
      <c r="AVM25" s="49"/>
      <c r="AVN25" s="49"/>
      <c r="AVO25" s="49"/>
      <c r="AVP25" s="49"/>
      <c r="AVQ25" s="49"/>
      <c r="AVR25" s="49"/>
      <c r="AVS25" s="49"/>
      <c r="AVT25" s="49"/>
      <c r="AVU25" s="49"/>
      <c r="AVV25" s="49"/>
      <c r="AVW25" s="49"/>
      <c r="AVX25" s="49"/>
      <c r="AVY25" s="49"/>
      <c r="AVZ25" s="49"/>
      <c r="AWA25" s="49"/>
      <c r="AWB25" s="49"/>
      <c r="AWC25" s="49"/>
      <c r="AWD25" s="49"/>
      <c r="AWE25" s="49"/>
      <c r="AWF25" s="49"/>
      <c r="AWG25" s="49"/>
      <c r="AWH25" s="49"/>
      <c r="AWI25" s="49"/>
      <c r="AWJ25" s="49"/>
      <c r="AWK25" s="49"/>
      <c r="AWL25" s="49"/>
      <c r="AWM25" s="49"/>
      <c r="AWN25" s="49"/>
      <c r="AWO25" s="49"/>
      <c r="AWP25" s="49"/>
      <c r="AWQ25" s="49"/>
      <c r="AWR25" s="49"/>
      <c r="AWS25" s="49"/>
      <c r="AWT25" s="49"/>
      <c r="AWU25" s="49"/>
      <c r="AWV25" s="49"/>
      <c r="AWW25" s="49"/>
      <c r="AWX25" s="49"/>
      <c r="AWY25" s="49"/>
      <c r="AWZ25" s="49"/>
      <c r="AXA25" s="49"/>
      <c r="AXB25" s="49"/>
      <c r="AXC25" s="49"/>
      <c r="AXD25" s="49"/>
      <c r="AXE25" s="49"/>
      <c r="AXF25" s="49"/>
      <c r="AXG25" s="49"/>
      <c r="AXH25" s="49"/>
      <c r="AXI25" s="49"/>
      <c r="AXJ25" s="49"/>
      <c r="AXK25" s="49"/>
      <c r="AXL25" s="49"/>
      <c r="AXM25" s="49"/>
      <c r="AXN25" s="49"/>
      <c r="AXO25" s="49"/>
      <c r="AXP25" s="49"/>
      <c r="AXQ25" s="49"/>
      <c r="AXR25" s="49"/>
      <c r="AXS25" s="49"/>
      <c r="AXT25" s="49"/>
      <c r="AXU25" s="49"/>
      <c r="AXV25" s="49"/>
      <c r="AXW25" s="49"/>
      <c r="AXX25" s="49"/>
      <c r="AXY25" s="49"/>
      <c r="AXZ25" s="49"/>
      <c r="AYA25" s="49"/>
      <c r="AYB25" s="49"/>
      <c r="AYC25" s="49"/>
      <c r="AYD25" s="49"/>
      <c r="AYE25" s="49"/>
      <c r="AYF25" s="49"/>
      <c r="AYG25" s="49"/>
      <c r="AYH25" s="49"/>
      <c r="AYI25" s="49"/>
      <c r="AYJ25" s="49"/>
      <c r="AYK25" s="49"/>
      <c r="AYL25" s="49"/>
      <c r="AYM25" s="49"/>
      <c r="AYN25" s="49"/>
      <c r="AYO25" s="49"/>
      <c r="AYP25" s="49"/>
      <c r="AYQ25" s="49"/>
      <c r="AYR25" s="49"/>
      <c r="AYS25" s="49"/>
      <c r="AYT25" s="49"/>
      <c r="AYU25" s="49"/>
      <c r="AYV25" s="49"/>
      <c r="AYW25" s="49"/>
      <c r="AYX25" s="49"/>
      <c r="AYY25" s="49"/>
      <c r="AYZ25" s="49"/>
      <c r="AZA25" s="49"/>
      <c r="AZB25" s="49"/>
      <c r="AZC25" s="49"/>
      <c r="AZD25" s="49"/>
      <c r="AZE25" s="49"/>
      <c r="AZF25" s="49"/>
      <c r="AZG25" s="49"/>
      <c r="AZH25" s="49"/>
      <c r="AZI25" s="49"/>
      <c r="AZJ25" s="49"/>
      <c r="AZK25" s="49"/>
      <c r="AZL25" s="49"/>
      <c r="AZM25" s="49"/>
      <c r="AZN25" s="49"/>
      <c r="AZO25" s="49"/>
      <c r="AZP25" s="49"/>
      <c r="AZQ25" s="49"/>
      <c r="AZR25" s="49"/>
      <c r="AZS25" s="49"/>
      <c r="AZT25" s="49"/>
      <c r="AZU25" s="49"/>
      <c r="AZV25" s="49"/>
      <c r="AZW25" s="49"/>
      <c r="AZX25" s="49"/>
      <c r="AZY25" s="49"/>
      <c r="AZZ25" s="49"/>
      <c r="BAA25" s="49"/>
      <c r="BAB25" s="49"/>
      <c r="BAC25" s="49"/>
      <c r="BAD25" s="49"/>
      <c r="BAE25" s="49"/>
      <c r="BAF25" s="49"/>
      <c r="BAG25" s="49"/>
      <c r="BAH25" s="49"/>
      <c r="BAI25" s="49"/>
      <c r="BAJ25" s="49"/>
      <c r="BAK25" s="49"/>
      <c r="BAL25" s="49"/>
      <c r="BAM25" s="49"/>
      <c r="BAN25" s="49"/>
      <c r="BAO25" s="49"/>
      <c r="BAP25" s="49"/>
      <c r="BAQ25" s="49"/>
      <c r="BAR25" s="49"/>
      <c r="BAS25" s="49"/>
      <c r="BAT25" s="49"/>
      <c r="BAU25" s="49"/>
      <c r="BAV25" s="49"/>
      <c r="BAW25" s="49"/>
      <c r="BAX25" s="49"/>
      <c r="BAY25" s="49"/>
      <c r="BAZ25" s="49"/>
      <c r="BBA25" s="49"/>
      <c r="BBB25" s="49"/>
      <c r="BBC25" s="49"/>
      <c r="BBD25" s="49"/>
      <c r="BBE25" s="49"/>
      <c r="BBF25" s="49"/>
      <c r="BBG25" s="49"/>
      <c r="BBH25" s="49"/>
      <c r="BBI25" s="49"/>
      <c r="BBJ25" s="49"/>
      <c r="BBK25" s="49"/>
      <c r="BBL25" s="49"/>
      <c r="BBM25" s="49"/>
      <c r="BBN25" s="49"/>
      <c r="BBO25" s="49"/>
      <c r="BBP25" s="49"/>
      <c r="BBQ25" s="49"/>
      <c r="BBR25" s="49"/>
      <c r="BBS25" s="49"/>
      <c r="BBT25" s="49"/>
      <c r="BBU25" s="49"/>
      <c r="BBV25" s="49"/>
      <c r="BBW25" s="49"/>
      <c r="BBX25" s="49"/>
      <c r="BBY25" s="49"/>
      <c r="BBZ25" s="49"/>
      <c r="BCA25" s="49"/>
      <c r="BCB25" s="49"/>
      <c r="BCC25" s="49"/>
      <c r="BCD25" s="49"/>
      <c r="BCE25" s="49"/>
      <c r="BCF25" s="49"/>
      <c r="BCG25" s="49"/>
      <c r="BCH25" s="49"/>
      <c r="BCI25" s="49"/>
      <c r="BCJ25" s="49"/>
      <c r="BCK25" s="49"/>
      <c r="BCL25" s="49"/>
      <c r="BCM25" s="49"/>
      <c r="BCN25" s="49"/>
    </row>
    <row r="26" spans="1:1444" s="47" customFormat="1">
      <c r="A26" s="52"/>
      <c r="B26" s="94">
        <v>45769</v>
      </c>
      <c r="C26" s="94" t="s">
        <v>193</v>
      </c>
      <c r="D26" s="95">
        <v>58</v>
      </c>
      <c r="E26" s="95">
        <v>132.67500000001746</v>
      </c>
      <c r="F26" s="95">
        <v>0</v>
      </c>
      <c r="G26" s="95">
        <v>4.4400000000023283</v>
      </c>
      <c r="H26" s="95">
        <v>29</v>
      </c>
      <c r="I26" s="95">
        <v>38</v>
      </c>
      <c r="J26" s="95">
        <v>1105.73</v>
      </c>
      <c r="K26" s="95">
        <v>1283.0824999997299</v>
      </c>
      <c r="L26" s="95">
        <v>13</v>
      </c>
      <c r="M26" s="155">
        <f t="shared" ref="M26:M33" si="0">N26-D26-E26-F26-G26-H26-I26-J26-K26-L26</f>
        <v>0</v>
      </c>
      <c r="N26" s="141">
        <f>'units overall'!O26</f>
        <v>2663.9274999997497</v>
      </c>
      <c r="O26" s="230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P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V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L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B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R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H26" s="49"/>
      <c r="HI26" s="49"/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X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  <c r="II26" s="49"/>
      <c r="IJ26" s="49"/>
      <c r="IK26" s="49"/>
      <c r="IL26" s="49"/>
      <c r="IM26" s="49"/>
      <c r="IN26" s="49"/>
      <c r="IO26" s="49"/>
      <c r="IP26" s="49"/>
      <c r="IQ26" s="49"/>
      <c r="IR26" s="49"/>
      <c r="IS26" s="49"/>
      <c r="IT26" s="49"/>
      <c r="IU26" s="49"/>
      <c r="IV26" s="49"/>
      <c r="IW26" s="49"/>
      <c r="IX26" s="49"/>
      <c r="IY26" s="49"/>
      <c r="IZ26" s="49"/>
      <c r="JA26" s="49"/>
      <c r="JB26" s="49"/>
      <c r="JC26" s="49"/>
      <c r="JD26" s="49"/>
      <c r="JE26" s="49"/>
      <c r="JF26" s="49"/>
      <c r="JG26" s="49"/>
      <c r="JH26" s="49"/>
      <c r="JI26" s="49"/>
      <c r="JJ26" s="49"/>
      <c r="JK26" s="49"/>
      <c r="JL26" s="49"/>
      <c r="JM26" s="49"/>
      <c r="JN26" s="49"/>
      <c r="JO26" s="49"/>
      <c r="JP26" s="49"/>
      <c r="JQ26" s="49"/>
      <c r="JR26" s="49"/>
      <c r="JS26" s="49"/>
      <c r="JT26" s="49"/>
      <c r="JU26" s="49"/>
      <c r="JV26" s="49"/>
      <c r="JW26" s="49"/>
      <c r="JX26" s="49"/>
      <c r="JY26" s="49"/>
      <c r="JZ26" s="49"/>
      <c r="KA26" s="49"/>
      <c r="KB26" s="49"/>
      <c r="KC26" s="49"/>
      <c r="KD26" s="49"/>
      <c r="KE26" s="49"/>
      <c r="KF26" s="49"/>
      <c r="KG26" s="49"/>
      <c r="KH26" s="49"/>
      <c r="KI26" s="49"/>
      <c r="KJ26" s="49"/>
      <c r="KK26" s="49"/>
      <c r="KL26" s="49"/>
      <c r="KM26" s="49"/>
      <c r="KN26" s="49"/>
      <c r="KO26" s="49"/>
      <c r="KP26" s="49"/>
      <c r="KQ26" s="49"/>
      <c r="KR26" s="49"/>
      <c r="KS26" s="49"/>
      <c r="KT26" s="49"/>
      <c r="KU26" s="49"/>
      <c r="KV26" s="49"/>
      <c r="KW26" s="49"/>
      <c r="KX26" s="49"/>
      <c r="KY26" s="49"/>
      <c r="KZ26" s="49"/>
      <c r="LA26" s="49"/>
      <c r="LB26" s="49"/>
      <c r="LC26" s="49"/>
      <c r="LD26" s="49"/>
      <c r="LE26" s="49"/>
      <c r="LF26" s="49"/>
      <c r="LG26" s="49"/>
      <c r="LH26" s="49"/>
      <c r="LI26" s="49"/>
      <c r="LJ26" s="49"/>
      <c r="LK26" s="49"/>
      <c r="LL26" s="49"/>
      <c r="LM26" s="49"/>
      <c r="LN26" s="49"/>
      <c r="LO26" s="49"/>
      <c r="LP26" s="49"/>
      <c r="LQ26" s="49"/>
      <c r="LR26" s="49"/>
      <c r="LS26" s="49"/>
      <c r="LT26" s="49"/>
      <c r="LU26" s="49"/>
      <c r="LV26" s="49"/>
      <c r="LW26" s="49"/>
      <c r="LX26" s="49"/>
      <c r="LY26" s="49"/>
      <c r="LZ26" s="49"/>
      <c r="MA26" s="49"/>
      <c r="MB26" s="49"/>
      <c r="MC26" s="49"/>
      <c r="MD26" s="49"/>
      <c r="ME26" s="49"/>
      <c r="MF26" s="49"/>
      <c r="MG26" s="49"/>
      <c r="MH26" s="49"/>
      <c r="MI26" s="49"/>
      <c r="MJ26" s="49"/>
      <c r="MK26" s="49"/>
      <c r="ML26" s="49"/>
      <c r="MM26" s="49"/>
      <c r="MN26" s="49"/>
      <c r="MO26" s="49"/>
      <c r="MP26" s="49"/>
      <c r="MQ26" s="49"/>
      <c r="MR26" s="49"/>
      <c r="MS26" s="49"/>
      <c r="MT26" s="49"/>
      <c r="MU26" s="49"/>
      <c r="MV26" s="49"/>
      <c r="MW26" s="49"/>
      <c r="MX26" s="49"/>
      <c r="MY26" s="49"/>
      <c r="MZ26" s="49"/>
      <c r="NA26" s="49"/>
      <c r="NB26" s="49"/>
      <c r="NC26" s="49"/>
      <c r="ND26" s="49"/>
      <c r="NE26" s="49"/>
      <c r="NF26" s="49"/>
      <c r="NG26" s="49"/>
      <c r="NH26" s="49"/>
      <c r="NI26" s="49"/>
      <c r="NJ26" s="49"/>
      <c r="NK26" s="49"/>
      <c r="NL26" s="49"/>
      <c r="NM26" s="49"/>
      <c r="NN26" s="49"/>
      <c r="NO26" s="49"/>
      <c r="NP26" s="49"/>
      <c r="NQ26" s="49"/>
      <c r="NR26" s="49"/>
      <c r="NS26" s="49"/>
      <c r="NT26" s="49"/>
      <c r="NU26" s="49"/>
      <c r="NV26" s="49"/>
      <c r="NW26" s="49"/>
      <c r="NX26" s="49"/>
      <c r="NY26" s="49"/>
      <c r="NZ26" s="49"/>
      <c r="OA26" s="49"/>
      <c r="OB26" s="49"/>
      <c r="OC26" s="49"/>
      <c r="OD26" s="49"/>
      <c r="OE26" s="49"/>
      <c r="OF26" s="49"/>
      <c r="OG26" s="49"/>
      <c r="OH26" s="49"/>
      <c r="OI26" s="49"/>
      <c r="OJ26" s="49"/>
      <c r="OK26" s="49"/>
      <c r="OL26" s="49"/>
      <c r="OM26" s="49"/>
      <c r="ON26" s="49"/>
      <c r="OO26" s="49"/>
      <c r="OP26" s="49"/>
      <c r="OQ26" s="49"/>
      <c r="OR26" s="49"/>
      <c r="OS26" s="49"/>
      <c r="OT26" s="49"/>
      <c r="OU26" s="49"/>
      <c r="OV26" s="49"/>
      <c r="OW26" s="49"/>
      <c r="OX26" s="49"/>
      <c r="OY26" s="49"/>
      <c r="OZ26" s="49"/>
      <c r="PA26" s="49"/>
      <c r="PB26" s="49"/>
      <c r="PC26" s="49"/>
      <c r="PD26" s="49"/>
      <c r="PE26" s="49"/>
      <c r="PF26" s="49"/>
      <c r="PG26" s="49"/>
      <c r="PH26" s="49"/>
      <c r="PI26" s="49"/>
      <c r="PJ26" s="49"/>
      <c r="PK26" s="49"/>
      <c r="PL26" s="49"/>
      <c r="PM26" s="49"/>
      <c r="PN26" s="49"/>
      <c r="PO26" s="49"/>
      <c r="PP26" s="49"/>
      <c r="PQ26" s="49"/>
      <c r="PR26" s="49"/>
      <c r="PS26" s="49"/>
      <c r="PT26" s="49"/>
      <c r="PU26" s="49"/>
      <c r="PV26" s="49"/>
      <c r="PW26" s="49"/>
      <c r="PX26" s="49"/>
      <c r="PY26" s="49"/>
      <c r="PZ26" s="49"/>
      <c r="QA26" s="49"/>
      <c r="QB26" s="49"/>
      <c r="QC26" s="49"/>
      <c r="QD26" s="49"/>
      <c r="QE26" s="49"/>
      <c r="QF26" s="49"/>
      <c r="QG26" s="49"/>
      <c r="QH26" s="49"/>
      <c r="QI26" s="49"/>
      <c r="QJ26" s="49"/>
      <c r="QK26" s="49"/>
      <c r="QL26" s="49"/>
      <c r="QM26" s="49"/>
      <c r="QN26" s="49"/>
      <c r="QO26" s="49"/>
      <c r="QP26" s="49"/>
      <c r="QQ26" s="49"/>
      <c r="QR26" s="49"/>
      <c r="QS26" s="49"/>
      <c r="QT26" s="49"/>
      <c r="QU26" s="49"/>
      <c r="QV26" s="49"/>
      <c r="QW26" s="49"/>
      <c r="QX26" s="49"/>
      <c r="QY26" s="49"/>
      <c r="QZ26" s="49"/>
      <c r="RA26" s="49"/>
      <c r="RB26" s="49"/>
      <c r="RC26" s="49"/>
      <c r="RD26" s="49"/>
      <c r="RE26" s="49"/>
      <c r="RF26" s="49"/>
      <c r="RG26" s="49"/>
      <c r="RH26" s="49"/>
      <c r="RI26" s="49"/>
      <c r="RJ26" s="49"/>
      <c r="RK26" s="49"/>
      <c r="RL26" s="49"/>
      <c r="RM26" s="49"/>
      <c r="RN26" s="49"/>
      <c r="RO26" s="49"/>
      <c r="RP26" s="49"/>
      <c r="RQ26" s="49"/>
      <c r="RR26" s="49"/>
      <c r="RS26" s="49"/>
      <c r="RT26" s="49"/>
      <c r="RU26" s="49"/>
      <c r="RV26" s="49"/>
      <c r="RW26" s="49"/>
      <c r="RX26" s="49"/>
      <c r="RY26" s="49"/>
      <c r="RZ26" s="49"/>
      <c r="SA26" s="49"/>
      <c r="SB26" s="49"/>
      <c r="SC26" s="49"/>
      <c r="SD26" s="49"/>
      <c r="SE26" s="49"/>
      <c r="SF26" s="49"/>
      <c r="SG26" s="49"/>
      <c r="SH26" s="49"/>
      <c r="SI26" s="49"/>
      <c r="SJ26" s="49"/>
      <c r="SK26" s="49"/>
      <c r="SL26" s="49"/>
      <c r="SM26" s="49"/>
      <c r="SN26" s="49"/>
      <c r="SO26" s="49"/>
      <c r="SP26" s="49"/>
      <c r="SQ26" s="49"/>
      <c r="SR26" s="49"/>
      <c r="SS26" s="49"/>
      <c r="ST26" s="49"/>
      <c r="SU26" s="49"/>
      <c r="SV26" s="49"/>
      <c r="SW26" s="49"/>
      <c r="SX26" s="49"/>
      <c r="SY26" s="49"/>
      <c r="SZ26" s="49"/>
      <c r="TA26" s="49"/>
      <c r="TB26" s="49"/>
      <c r="TC26" s="49"/>
      <c r="TD26" s="49"/>
      <c r="TE26" s="49"/>
      <c r="TF26" s="49"/>
      <c r="TG26" s="49"/>
      <c r="TH26" s="49"/>
      <c r="TI26" s="49"/>
      <c r="TJ26" s="49"/>
      <c r="TK26" s="49"/>
      <c r="TL26" s="49"/>
      <c r="TM26" s="49"/>
      <c r="TN26" s="49"/>
      <c r="TO26" s="49"/>
      <c r="TP26" s="49"/>
      <c r="TQ26" s="49"/>
      <c r="TR26" s="49"/>
      <c r="TS26" s="49"/>
      <c r="TT26" s="49"/>
      <c r="TU26" s="49"/>
      <c r="TV26" s="49"/>
      <c r="TW26" s="49"/>
      <c r="TX26" s="49"/>
      <c r="TY26" s="49"/>
      <c r="TZ26" s="49"/>
      <c r="UA26" s="49"/>
      <c r="UB26" s="49"/>
      <c r="UC26" s="49"/>
      <c r="UD26" s="49"/>
      <c r="UE26" s="49"/>
      <c r="UF26" s="49"/>
      <c r="UG26" s="49"/>
      <c r="UH26" s="49"/>
      <c r="UI26" s="49"/>
      <c r="UJ26" s="49"/>
      <c r="UK26" s="49"/>
      <c r="UL26" s="49"/>
      <c r="UM26" s="49"/>
      <c r="UN26" s="49"/>
      <c r="UO26" s="49"/>
      <c r="UP26" s="49"/>
      <c r="UQ26" s="49"/>
      <c r="UR26" s="49"/>
      <c r="US26" s="49"/>
      <c r="UT26" s="49"/>
      <c r="UU26" s="49"/>
      <c r="UV26" s="49"/>
      <c r="UW26" s="49"/>
      <c r="UX26" s="49"/>
      <c r="UY26" s="49"/>
      <c r="UZ26" s="49"/>
      <c r="VA26" s="49"/>
      <c r="VB26" s="49"/>
      <c r="VC26" s="49"/>
      <c r="VD26" s="49"/>
      <c r="VE26" s="49"/>
      <c r="VF26" s="49"/>
      <c r="VG26" s="49"/>
      <c r="VH26" s="49"/>
      <c r="VI26" s="49"/>
      <c r="VJ26" s="49"/>
      <c r="VK26" s="49"/>
      <c r="VL26" s="49"/>
      <c r="VM26" s="49"/>
      <c r="VN26" s="49"/>
      <c r="VO26" s="49"/>
      <c r="VP26" s="49"/>
      <c r="VQ26" s="49"/>
      <c r="VR26" s="49"/>
      <c r="VS26" s="49"/>
      <c r="VT26" s="49"/>
      <c r="VU26" s="49"/>
      <c r="VV26" s="49"/>
      <c r="VW26" s="49"/>
      <c r="VX26" s="49"/>
      <c r="VY26" s="49"/>
      <c r="VZ26" s="49"/>
      <c r="WA26" s="49"/>
      <c r="WB26" s="49"/>
      <c r="WC26" s="49"/>
      <c r="WD26" s="49"/>
      <c r="WE26" s="49"/>
      <c r="WF26" s="49"/>
      <c r="WG26" s="49"/>
      <c r="WH26" s="49"/>
      <c r="WI26" s="49"/>
      <c r="WJ26" s="49"/>
      <c r="WK26" s="49"/>
      <c r="WL26" s="49"/>
      <c r="WM26" s="49"/>
      <c r="WN26" s="49"/>
      <c r="WO26" s="49"/>
      <c r="WP26" s="49"/>
      <c r="WQ26" s="49"/>
      <c r="WR26" s="49"/>
      <c r="WS26" s="49"/>
      <c r="WT26" s="49"/>
      <c r="WU26" s="49"/>
      <c r="WV26" s="49"/>
      <c r="WW26" s="49"/>
      <c r="WX26" s="49"/>
      <c r="WY26" s="49"/>
      <c r="WZ26" s="49"/>
      <c r="XA26" s="49"/>
      <c r="XB26" s="49"/>
      <c r="XC26" s="49"/>
      <c r="XD26" s="49"/>
      <c r="XE26" s="49"/>
      <c r="XF26" s="49"/>
      <c r="XG26" s="49"/>
      <c r="XH26" s="49"/>
      <c r="XI26" s="49"/>
      <c r="XJ26" s="49"/>
      <c r="XK26" s="49"/>
      <c r="XL26" s="49"/>
      <c r="XM26" s="49"/>
      <c r="XN26" s="49"/>
      <c r="XO26" s="49"/>
      <c r="XP26" s="49"/>
      <c r="XQ26" s="49"/>
      <c r="XR26" s="49"/>
      <c r="XS26" s="49"/>
      <c r="XT26" s="49"/>
      <c r="XU26" s="49"/>
      <c r="XV26" s="49"/>
      <c r="XW26" s="49"/>
      <c r="XX26" s="49"/>
      <c r="XY26" s="49"/>
      <c r="XZ26" s="49"/>
      <c r="YA26" s="49"/>
      <c r="YB26" s="49"/>
      <c r="YC26" s="49"/>
      <c r="YD26" s="49"/>
      <c r="YE26" s="49"/>
      <c r="YF26" s="49"/>
      <c r="YG26" s="49"/>
      <c r="YH26" s="49"/>
      <c r="YI26" s="49"/>
      <c r="YJ26" s="49"/>
      <c r="YK26" s="49"/>
      <c r="YL26" s="49"/>
      <c r="YM26" s="49"/>
      <c r="YN26" s="49"/>
      <c r="YO26" s="49"/>
      <c r="YP26" s="49"/>
      <c r="YQ26" s="49"/>
      <c r="YR26" s="49"/>
      <c r="YS26" s="49"/>
      <c r="YT26" s="49"/>
      <c r="YU26" s="49"/>
      <c r="YV26" s="49"/>
      <c r="YW26" s="49"/>
      <c r="YX26" s="49"/>
      <c r="YY26" s="49"/>
      <c r="YZ26" s="49"/>
      <c r="ZA26" s="49"/>
      <c r="ZB26" s="49"/>
      <c r="ZC26" s="49"/>
      <c r="ZD26" s="49"/>
      <c r="ZE26" s="49"/>
      <c r="ZF26" s="49"/>
      <c r="ZG26" s="49"/>
      <c r="ZH26" s="49"/>
      <c r="ZI26" s="49"/>
      <c r="ZJ26" s="49"/>
      <c r="ZK26" s="49"/>
      <c r="ZL26" s="49"/>
      <c r="ZM26" s="49"/>
      <c r="ZN26" s="49"/>
      <c r="ZO26" s="49"/>
      <c r="ZP26" s="49"/>
      <c r="ZQ26" s="49"/>
      <c r="ZR26" s="49"/>
      <c r="ZS26" s="49"/>
      <c r="ZT26" s="49"/>
      <c r="ZU26" s="49"/>
      <c r="ZV26" s="49"/>
      <c r="ZW26" s="49"/>
      <c r="ZX26" s="49"/>
      <c r="ZY26" s="49"/>
      <c r="ZZ26" s="49"/>
      <c r="AAA26" s="49"/>
      <c r="AAB26" s="49"/>
      <c r="AAC26" s="49"/>
      <c r="AAD26" s="49"/>
      <c r="AAE26" s="49"/>
      <c r="AAF26" s="49"/>
      <c r="AAG26" s="49"/>
      <c r="AAH26" s="49"/>
      <c r="AAI26" s="49"/>
      <c r="AAJ26" s="49"/>
      <c r="AAK26" s="49"/>
      <c r="AAL26" s="49"/>
      <c r="AAM26" s="49"/>
      <c r="AAN26" s="49"/>
      <c r="AAO26" s="49"/>
      <c r="AAP26" s="49"/>
      <c r="AAQ26" s="49"/>
      <c r="AAR26" s="49"/>
      <c r="AAS26" s="49"/>
      <c r="AAT26" s="49"/>
      <c r="AAU26" s="49"/>
      <c r="AAV26" s="49"/>
      <c r="AAW26" s="49"/>
      <c r="AAX26" s="49"/>
      <c r="AAY26" s="49"/>
      <c r="AAZ26" s="49"/>
      <c r="ABA26" s="49"/>
      <c r="ABB26" s="49"/>
      <c r="ABC26" s="49"/>
      <c r="ABD26" s="49"/>
      <c r="ABE26" s="49"/>
      <c r="ABF26" s="49"/>
      <c r="ABG26" s="49"/>
      <c r="ABH26" s="49"/>
      <c r="ABI26" s="49"/>
      <c r="ABJ26" s="49"/>
      <c r="ABK26" s="49"/>
      <c r="ABL26" s="49"/>
      <c r="ABM26" s="49"/>
      <c r="ABN26" s="49"/>
      <c r="ABO26" s="49"/>
      <c r="ABP26" s="49"/>
      <c r="ABQ26" s="49"/>
      <c r="ABR26" s="49"/>
      <c r="ABS26" s="49"/>
      <c r="ABT26" s="49"/>
      <c r="ABU26" s="49"/>
      <c r="ABV26" s="49"/>
      <c r="ABW26" s="49"/>
      <c r="ABX26" s="49"/>
      <c r="ABY26" s="49"/>
      <c r="ABZ26" s="49"/>
      <c r="ACA26" s="49"/>
      <c r="ACB26" s="49"/>
      <c r="ACC26" s="49"/>
      <c r="ACD26" s="49"/>
      <c r="ACE26" s="49"/>
      <c r="ACF26" s="49"/>
      <c r="ACG26" s="49"/>
      <c r="ACH26" s="49"/>
      <c r="ACI26" s="49"/>
      <c r="ACJ26" s="49"/>
      <c r="ACK26" s="49"/>
      <c r="ACL26" s="49"/>
      <c r="ACM26" s="49"/>
      <c r="ACN26" s="49"/>
      <c r="ACO26" s="49"/>
      <c r="ACP26" s="49"/>
      <c r="ACQ26" s="49"/>
      <c r="ACR26" s="49"/>
      <c r="ACS26" s="49"/>
      <c r="ACT26" s="49"/>
      <c r="ACU26" s="49"/>
      <c r="ACV26" s="49"/>
      <c r="ACW26" s="49"/>
      <c r="ACX26" s="49"/>
      <c r="ACY26" s="49"/>
      <c r="ACZ26" s="49"/>
      <c r="ADA26" s="49"/>
      <c r="ADB26" s="49"/>
      <c r="ADC26" s="49"/>
      <c r="ADD26" s="49"/>
      <c r="ADE26" s="49"/>
      <c r="ADF26" s="49"/>
      <c r="ADG26" s="49"/>
      <c r="ADH26" s="49"/>
      <c r="ADI26" s="49"/>
      <c r="ADJ26" s="49"/>
      <c r="ADK26" s="49"/>
      <c r="ADL26" s="49"/>
      <c r="ADM26" s="49"/>
      <c r="ADN26" s="49"/>
      <c r="ADO26" s="49"/>
      <c r="ADP26" s="49"/>
      <c r="ADQ26" s="49"/>
      <c r="ADR26" s="49"/>
      <c r="ADS26" s="49"/>
      <c r="ADT26" s="49"/>
      <c r="ADU26" s="49"/>
      <c r="ADV26" s="49"/>
      <c r="ADW26" s="49"/>
      <c r="ADX26" s="49"/>
      <c r="ADY26" s="49"/>
      <c r="ADZ26" s="49"/>
      <c r="AEA26" s="49"/>
      <c r="AEB26" s="49"/>
      <c r="AEC26" s="49"/>
      <c r="AED26" s="49"/>
      <c r="AEE26" s="49"/>
      <c r="AEF26" s="49"/>
      <c r="AEG26" s="49"/>
      <c r="AEH26" s="49"/>
      <c r="AEI26" s="49"/>
      <c r="AEJ26" s="49"/>
      <c r="AEK26" s="49"/>
      <c r="AEL26" s="49"/>
      <c r="AEM26" s="49"/>
      <c r="AEN26" s="49"/>
      <c r="AEO26" s="49"/>
      <c r="AEP26" s="49"/>
      <c r="AEQ26" s="49"/>
      <c r="AER26" s="49"/>
      <c r="AES26" s="49"/>
      <c r="AET26" s="49"/>
      <c r="AEU26" s="49"/>
      <c r="AEV26" s="49"/>
      <c r="AEW26" s="49"/>
      <c r="AEX26" s="49"/>
      <c r="AEY26" s="49"/>
      <c r="AEZ26" s="49"/>
      <c r="AFA26" s="49"/>
      <c r="AFB26" s="49"/>
      <c r="AFC26" s="49"/>
      <c r="AFD26" s="49"/>
      <c r="AFE26" s="49"/>
      <c r="AFF26" s="49"/>
      <c r="AFG26" s="49"/>
      <c r="AFH26" s="49"/>
      <c r="AFI26" s="49"/>
      <c r="AFJ26" s="49"/>
      <c r="AFK26" s="49"/>
      <c r="AFL26" s="49"/>
      <c r="AFM26" s="49"/>
      <c r="AFN26" s="49"/>
      <c r="AFO26" s="49"/>
      <c r="AFP26" s="49"/>
      <c r="AFQ26" s="49"/>
      <c r="AFR26" s="49"/>
      <c r="AFS26" s="49"/>
      <c r="AFT26" s="49"/>
      <c r="AFU26" s="49"/>
      <c r="AFV26" s="49"/>
      <c r="AFW26" s="49"/>
      <c r="AFX26" s="49"/>
      <c r="AFY26" s="49"/>
      <c r="AFZ26" s="49"/>
      <c r="AGA26" s="49"/>
      <c r="AGB26" s="49"/>
      <c r="AGC26" s="49"/>
      <c r="AGD26" s="49"/>
      <c r="AGE26" s="49"/>
      <c r="AGF26" s="49"/>
      <c r="AGG26" s="49"/>
      <c r="AGH26" s="49"/>
      <c r="AGI26" s="49"/>
      <c r="AGJ26" s="49"/>
      <c r="AGK26" s="49"/>
      <c r="AGL26" s="49"/>
      <c r="AGM26" s="49"/>
      <c r="AGN26" s="49"/>
      <c r="AGO26" s="49"/>
      <c r="AGP26" s="49"/>
      <c r="AGQ26" s="49"/>
      <c r="AGR26" s="49"/>
      <c r="AGS26" s="49"/>
      <c r="AGT26" s="49"/>
      <c r="AGU26" s="49"/>
      <c r="AGV26" s="49"/>
      <c r="AGW26" s="49"/>
      <c r="AGX26" s="49"/>
      <c r="AGY26" s="49"/>
      <c r="AGZ26" s="49"/>
      <c r="AHA26" s="49"/>
      <c r="AHB26" s="49"/>
      <c r="AHC26" s="49"/>
      <c r="AHD26" s="49"/>
      <c r="AHE26" s="49"/>
      <c r="AHF26" s="49"/>
      <c r="AHG26" s="49"/>
      <c r="AHH26" s="49"/>
      <c r="AHI26" s="49"/>
      <c r="AHJ26" s="49"/>
      <c r="AHK26" s="49"/>
      <c r="AHL26" s="49"/>
      <c r="AHM26" s="49"/>
      <c r="AHN26" s="49"/>
      <c r="AHO26" s="49"/>
      <c r="AHP26" s="49"/>
      <c r="AHQ26" s="49"/>
      <c r="AHR26" s="49"/>
      <c r="AHS26" s="49"/>
      <c r="AHT26" s="49"/>
      <c r="AHU26" s="49"/>
      <c r="AHV26" s="49"/>
      <c r="AHW26" s="49"/>
      <c r="AHX26" s="49"/>
      <c r="AHY26" s="49"/>
      <c r="AHZ26" s="49"/>
      <c r="AIA26" s="49"/>
      <c r="AIB26" s="49"/>
      <c r="AIC26" s="49"/>
      <c r="AID26" s="49"/>
      <c r="AIE26" s="49"/>
      <c r="AIF26" s="49"/>
      <c r="AIG26" s="49"/>
      <c r="AIH26" s="49"/>
      <c r="AII26" s="49"/>
      <c r="AIJ26" s="49"/>
      <c r="AIK26" s="49"/>
      <c r="AIL26" s="49"/>
      <c r="AIM26" s="49"/>
      <c r="AIN26" s="49"/>
      <c r="AIO26" s="49"/>
      <c r="AIP26" s="49"/>
      <c r="AIQ26" s="49"/>
      <c r="AIR26" s="49"/>
      <c r="AIS26" s="49"/>
      <c r="AIT26" s="49"/>
      <c r="AIU26" s="49"/>
      <c r="AIV26" s="49"/>
      <c r="AIW26" s="49"/>
      <c r="AIX26" s="49"/>
      <c r="AIY26" s="49"/>
      <c r="AIZ26" s="49"/>
      <c r="AJA26" s="49"/>
      <c r="AJB26" s="49"/>
      <c r="AJC26" s="49"/>
      <c r="AJD26" s="49"/>
      <c r="AJE26" s="49"/>
      <c r="AJF26" s="49"/>
      <c r="AJG26" s="49"/>
      <c r="AJH26" s="49"/>
      <c r="AJI26" s="49"/>
      <c r="AJJ26" s="49"/>
      <c r="AJK26" s="49"/>
      <c r="AJL26" s="49"/>
      <c r="AJM26" s="49"/>
      <c r="AJN26" s="49"/>
      <c r="AJO26" s="49"/>
      <c r="AJP26" s="49"/>
      <c r="AJQ26" s="49"/>
      <c r="AJR26" s="49"/>
      <c r="AJS26" s="49"/>
      <c r="AJT26" s="49"/>
      <c r="AJU26" s="49"/>
      <c r="AJV26" s="49"/>
      <c r="AJW26" s="49"/>
      <c r="AJX26" s="49"/>
      <c r="AJY26" s="49"/>
      <c r="AJZ26" s="49"/>
      <c r="AKA26" s="49"/>
      <c r="AKB26" s="49"/>
      <c r="AKC26" s="49"/>
      <c r="AKD26" s="49"/>
      <c r="AKE26" s="49"/>
      <c r="AKF26" s="49"/>
      <c r="AKG26" s="49"/>
      <c r="AKH26" s="49"/>
      <c r="AKI26" s="49"/>
      <c r="AKJ26" s="49"/>
      <c r="AKK26" s="49"/>
      <c r="AKL26" s="49"/>
      <c r="AKM26" s="49"/>
      <c r="AKN26" s="49"/>
      <c r="AKO26" s="49"/>
      <c r="AKP26" s="49"/>
      <c r="AKQ26" s="49"/>
      <c r="AKR26" s="49"/>
      <c r="AKS26" s="49"/>
      <c r="AKT26" s="49"/>
      <c r="AKU26" s="49"/>
      <c r="AKV26" s="49"/>
      <c r="AKW26" s="49"/>
      <c r="AKX26" s="49"/>
      <c r="AKY26" s="49"/>
      <c r="AKZ26" s="49"/>
      <c r="ALA26" s="49"/>
      <c r="ALB26" s="49"/>
      <c r="ALC26" s="49"/>
      <c r="ALD26" s="49"/>
      <c r="ALE26" s="49"/>
      <c r="ALF26" s="49"/>
      <c r="ALG26" s="49"/>
      <c r="ALH26" s="49"/>
      <c r="ALI26" s="49"/>
      <c r="ALJ26" s="49"/>
      <c r="ALK26" s="49"/>
      <c r="ALL26" s="49"/>
      <c r="ALM26" s="49"/>
      <c r="ALN26" s="49"/>
      <c r="ALO26" s="49"/>
      <c r="ALP26" s="49"/>
      <c r="ALQ26" s="49"/>
      <c r="ALR26" s="49"/>
      <c r="ALS26" s="49"/>
      <c r="ALT26" s="49"/>
      <c r="ALU26" s="49"/>
      <c r="ALV26" s="49"/>
      <c r="ALW26" s="49"/>
      <c r="ALX26" s="49"/>
      <c r="ALY26" s="49"/>
      <c r="ALZ26" s="49"/>
      <c r="AMA26" s="49"/>
      <c r="AMB26" s="49"/>
      <c r="AMC26" s="49"/>
      <c r="AMD26" s="49"/>
      <c r="AME26" s="49"/>
      <c r="AMF26" s="49"/>
      <c r="AMG26" s="49"/>
      <c r="AMH26" s="49"/>
      <c r="AMI26" s="49"/>
      <c r="AMJ26" s="49"/>
      <c r="AMK26" s="49"/>
      <c r="AML26" s="49"/>
      <c r="AMM26" s="49"/>
      <c r="AMN26" s="49"/>
      <c r="AMO26" s="49"/>
      <c r="AMP26" s="49"/>
      <c r="AMQ26" s="49"/>
      <c r="AMR26" s="49"/>
      <c r="AMS26" s="49"/>
      <c r="AMT26" s="49"/>
      <c r="AMU26" s="49"/>
      <c r="AMV26" s="49"/>
      <c r="AMW26" s="49"/>
      <c r="AMX26" s="49"/>
      <c r="AMY26" s="49"/>
      <c r="AMZ26" s="49"/>
      <c r="ANA26" s="49"/>
      <c r="ANB26" s="49"/>
      <c r="ANC26" s="49"/>
      <c r="AND26" s="49"/>
      <c r="ANE26" s="49"/>
      <c r="ANF26" s="49"/>
      <c r="ANG26" s="49"/>
      <c r="ANH26" s="49"/>
      <c r="ANI26" s="49"/>
      <c r="ANJ26" s="49"/>
      <c r="ANK26" s="49"/>
      <c r="ANL26" s="49"/>
      <c r="ANM26" s="49"/>
      <c r="ANN26" s="49"/>
      <c r="ANO26" s="49"/>
      <c r="ANP26" s="49"/>
      <c r="ANQ26" s="49"/>
      <c r="ANR26" s="49"/>
      <c r="ANS26" s="49"/>
      <c r="ANT26" s="49"/>
      <c r="ANU26" s="49"/>
      <c r="ANV26" s="49"/>
      <c r="ANW26" s="49"/>
      <c r="ANX26" s="49"/>
      <c r="ANY26" s="49"/>
      <c r="ANZ26" s="49"/>
      <c r="AOA26" s="49"/>
      <c r="AOB26" s="49"/>
      <c r="AOC26" s="49"/>
      <c r="AOD26" s="49"/>
      <c r="AOE26" s="49"/>
      <c r="AOF26" s="49"/>
      <c r="AOG26" s="49"/>
      <c r="AOH26" s="49"/>
      <c r="AOI26" s="49"/>
      <c r="AOJ26" s="49"/>
      <c r="AOK26" s="49"/>
      <c r="AOL26" s="49"/>
      <c r="AOM26" s="49"/>
      <c r="AON26" s="49"/>
      <c r="AOO26" s="49"/>
      <c r="AOP26" s="49"/>
      <c r="AOQ26" s="49"/>
      <c r="AOR26" s="49"/>
      <c r="AOS26" s="49"/>
      <c r="AOT26" s="49"/>
      <c r="AOU26" s="49"/>
      <c r="AOV26" s="49"/>
      <c r="AOW26" s="49"/>
      <c r="AOX26" s="49"/>
      <c r="AOY26" s="49"/>
      <c r="AOZ26" s="49"/>
      <c r="APA26" s="49"/>
      <c r="APB26" s="49"/>
      <c r="APC26" s="49"/>
      <c r="APD26" s="49"/>
      <c r="APE26" s="49"/>
      <c r="APF26" s="49"/>
      <c r="APG26" s="49"/>
      <c r="APH26" s="49"/>
      <c r="API26" s="49"/>
      <c r="APJ26" s="49"/>
      <c r="APK26" s="49"/>
      <c r="APL26" s="49"/>
      <c r="APM26" s="49"/>
      <c r="APN26" s="49"/>
      <c r="APO26" s="49"/>
      <c r="APP26" s="49"/>
      <c r="APQ26" s="49"/>
      <c r="APR26" s="49"/>
      <c r="APS26" s="49"/>
      <c r="APT26" s="49"/>
      <c r="APU26" s="49"/>
      <c r="APV26" s="49"/>
      <c r="APW26" s="49"/>
      <c r="APX26" s="49"/>
      <c r="APY26" s="49"/>
      <c r="APZ26" s="49"/>
      <c r="AQA26" s="49"/>
      <c r="AQB26" s="49"/>
      <c r="AQC26" s="49"/>
      <c r="AQD26" s="49"/>
      <c r="AQE26" s="49"/>
      <c r="AQF26" s="49"/>
      <c r="AQG26" s="49"/>
      <c r="AQH26" s="49"/>
      <c r="AQI26" s="49"/>
      <c r="AQJ26" s="49"/>
      <c r="AQK26" s="49"/>
      <c r="AQL26" s="49"/>
      <c r="AQM26" s="49"/>
      <c r="AQN26" s="49"/>
      <c r="AQO26" s="49"/>
      <c r="AQP26" s="49"/>
      <c r="AQQ26" s="49"/>
      <c r="AQR26" s="49"/>
      <c r="AQS26" s="49"/>
      <c r="AQT26" s="49"/>
      <c r="AQU26" s="49"/>
      <c r="AQV26" s="49"/>
      <c r="AQW26" s="49"/>
      <c r="AQX26" s="49"/>
      <c r="AQY26" s="49"/>
      <c r="AQZ26" s="49"/>
      <c r="ARA26" s="49"/>
      <c r="ARB26" s="49"/>
      <c r="ARC26" s="49"/>
      <c r="ARD26" s="49"/>
      <c r="ARE26" s="49"/>
      <c r="ARF26" s="49"/>
      <c r="ARG26" s="49"/>
      <c r="ARH26" s="49"/>
      <c r="ARI26" s="49"/>
      <c r="ARJ26" s="49"/>
      <c r="ARK26" s="49"/>
      <c r="ARL26" s="49"/>
      <c r="ARM26" s="49"/>
      <c r="ARN26" s="49"/>
      <c r="ARO26" s="49"/>
      <c r="ARP26" s="49"/>
      <c r="ARQ26" s="49"/>
      <c r="ARR26" s="49"/>
      <c r="ARS26" s="49"/>
      <c r="ART26" s="49"/>
      <c r="ARU26" s="49"/>
      <c r="ARV26" s="49"/>
      <c r="ARW26" s="49"/>
      <c r="ARX26" s="49"/>
      <c r="ARY26" s="49"/>
      <c r="ARZ26" s="49"/>
      <c r="ASA26" s="49"/>
      <c r="ASB26" s="49"/>
      <c r="ASC26" s="49"/>
      <c r="ASD26" s="49"/>
      <c r="ASE26" s="49"/>
      <c r="ASF26" s="49"/>
      <c r="ASG26" s="49"/>
      <c r="ASH26" s="49"/>
      <c r="ASI26" s="49"/>
      <c r="ASJ26" s="49"/>
      <c r="ASK26" s="49"/>
      <c r="ASL26" s="49"/>
      <c r="ASM26" s="49"/>
      <c r="ASN26" s="49"/>
      <c r="ASO26" s="49"/>
      <c r="ASP26" s="49"/>
      <c r="ASQ26" s="49"/>
      <c r="ASR26" s="49"/>
      <c r="ASS26" s="49"/>
      <c r="AST26" s="49"/>
      <c r="ASU26" s="49"/>
      <c r="ASV26" s="49"/>
      <c r="ASW26" s="49"/>
      <c r="ASX26" s="49"/>
      <c r="ASY26" s="49"/>
      <c r="ASZ26" s="49"/>
      <c r="ATA26" s="49"/>
      <c r="ATB26" s="49"/>
      <c r="ATC26" s="49"/>
      <c r="ATD26" s="49"/>
      <c r="ATE26" s="49"/>
      <c r="ATF26" s="49"/>
      <c r="ATG26" s="49"/>
      <c r="ATH26" s="49"/>
      <c r="ATI26" s="49"/>
      <c r="ATJ26" s="49"/>
      <c r="ATK26" s="49"/>
      <c r="ATL26" s="49"/>
      <c r="ATM26" s="49"/>
      <c r="ATN26" s="49"/>
      <c r="ATO26" s="49"/>
      <c r="ATP26" s="49"/>
      <c r="ATQ26" s="49"/>
      <c r="ATR26" s="49"/>
      <c r="ATS26" s="49"/>
      <c r="ATT26" s="49"/>
      <c r="ATU26" s="49"/>
      <c r="ATV26" s="49"/>
      <c r="ATW26" s="49"/>
      <c r="ATX26" s="49"/>
      <c r="ATY26" s="49"/>
      <c r="ATZ26" s="49"/>
      <c r="AUA26" s="49"/>
      <c r="AUB26" s="49"/>
      <c r="AUC26" s="49"/>
      <c r="AUD26" s="49"/>
      <c r="AUE26" s="49"/>
      <c r="AUF26" s="49"/>
      <c r="AUG26" s="49"/>
      <c r="AUH26" s="49"/>
      <c r="AUI26" s="49"/>
      <c r="AUJ26" s="49"/>
      <c r="AUK26" s="49"/>
      <c r="AUL26" s="49"/>
      <c r="AUM26" s="49"/>
      <c r="AUN26" s="49"/>
      <c r="AUO26" s="49"/>
      <c r="AUP26" s="49"/>
      <c r="AUQ26" s="49"/>
      <c r="AUR26" s="49"/>
      <c r="AUS26" s="49"/>
      <c r="AUT26" s="49"/>
      <c r="AUU26" s="49"/>
      <c r="AUV26" s="49"/>
      <c r="AUW26" s="49"/>
      <c r="AUX26" s="49"/>
      <c r="AUY26" s="49"/>
      <c r="AUZ26" s="49"/>
      <c r="AVA26" s="49"/>
      <c r="AVB26" s="49"/>
      <c r="AVC26" s="49"/>
      <c r="AVD26" s="49"/>
      <c r="AVE26" s="49"/>
      <c r="AVF26" s="49"/>
      <c r="AVG26" s="49"/>
      <c r="AVH26" s="49"/>
      <c r="AVI26" s="49"/>
      <c r="AVJ26" s="49"/>
      <c r="AVK26" s="49"/>
      <c r="AVL26" s="49"/>
      <c r="AVM26" s="49"/>
      <c r="AVN26" s="49"/>
      <c r="AVO26" s="49"/>
      <c r="AVP26" s="49"/>
      <c r="AVQ26" s="49"/>
      <c r="AVR26" s="49"/>
      <c r="AVS26" s="49"/>
      <c r="AVT26" s="49"/>
      <c r="AVU26" s="49"/>
      <c r="AVV26" s="49"/>
      <c r="AVW26" s="49"/>
      <c r="AVX26" s="49"/>
      <c r="AVY26" s="49"/>
      <c r="AVZ26" s="49"/>
      <c r="AWA26" s="49"/>
      <c r="AWB26" s="49"/>
      <c r="AWC26" s="49"/>
      <c r="AWD26" s="49"/>
      <c r="AWE26" s="49"/>
      <c r="AWF26" s="49"/>
      <c r="AWG26" s="49"/>
      <c r="AWH26" s="49"/>
      <c r="AWI26" s="49"/>
      <c r="AWJ26" s="49"/>
      <c r="AWK26" s="49"/>
      <c r="AWL26" s="49"/>
      <c r="AWM26" s="49"/>
      <c r="AWN26" s="49"/>
      <c r="AWO26" s="49"/>
      <c r="AWP26" s="49"/>
      <c r="AWQ26" s="49"/>
      <c r="AWR26" s="49"/>
      <c r="AWS26" s="49"/>
      <c r="AWT26" s="49"/>
      <c r="AWU26" s="49"/>
      <c r="AWV26" s="49"/>
      <c r="AWW26" s="49"/>
      <c r="AWX26" s="49"/>
      <c r="AWY26" s="49"/>
      <c r="AWZ26" s="49"/>
      <c r="AXA26" s="49"/>
      <c r="AXB26" s="49"/>
      <c r="AXC26" s="49"/>
      <c r="AXD26" s="49"/>
      <c r="AXE26" s="49"/>
      <c r="AXF26" s="49"/>
      <c r="AXG26" s="49"/>
      <c r="AXH26" s="49"/>
      <c r="AXI26" s="49"/>
      <c r="AXJ26" s="49"/>
      <c r="AXK26" s="49"/>
      <c r="AXL26" s="49"/>
      <c r="AXM26" s="49"/>
      <c r="AXN26" s="49"/>
      <c r="AXO26" s="49"/>
      <c r="AXP26" s="49"/>
      <c r="AXQ26" s="49"/>
      <c r="AXR26" s="49"/>
      <c r="AXS26" s="49"/>
      <c r="AXT26" s="49"/>
      <c r="AXU26" s="49"/>
      <c r="AXV26" s="49"/>
      <c r="AXW26" s="49"/>
      <c r="AXX26" s="49"/>
      <c r="AXY26" s="49"/>
      <c r="AXZ26" s="49"/>
      <c r="AYA26" s="49"/>
      <c r="AYB26" s="49"/>
      <c r="AYC26" s="49"/>
      <c r="AYD26" s="49"/>
      <c r="AYE26" s="49"/>
      <c r="AYF26" s="49"/>
      <c r="AYG26" s="49"/>
      <c r="AYH26" s="49"/>
      <c r="AYI26" s="49"/>
      <c r="AYJ26" s="49"/>
      <c r="AYK26" s="49"/>
      <c r="AYL26" s="49"/>
      <c r="AYM26" s="49"/>
      <c r="AYN26" s="49"/>
      <c r="AYO26" s="49"/>
      <c r="AYP26" s="49"/>
      <c r="AYQ26" s="49"/>
      <c r="AYR26" s="49"/>
      <c r="AYS26" s="49"/>
      <c r="AYT26" s="49"/>
      <c r="AYU26" s="49"/>
      <c r="AYV26" s="49"/>
      <c r="AYW26" s="49"/>
      <c r="AYX26" s="49"/>
      <c r="AYY26" s="49"/>
      <c r="AYZ26" s="49"/>
      <c r="AZA26" s="49"/>
      <c r="AZB26" s="49"/>
      <c r="AZC26" s="49"/>
      <c r="AZD26" s="49"/>
      <c r="AZE26" s="49"/>
      <c r="AZF26" s="49"/>
      <c r="AZG26" s="49"/>
      <c r="AZH26" s="49"/>
      <c r="AZI26" s="49"/>
      <c r="AZJ26" s="49"/>
      <c r="AZK26" s="49"/>
      <c r="AZL26" s="49"/>
      <c r="AZM26" s="49"/>
      <c r="AZN26" s="49"/>
      <c r="AZO26" s="49"/>
      <c r="AZP26" s="49"/>
      <c r="AZQ26" s="49"/>
      <c r="AZR26" s="49"/>
      <c r="AZS26" s="49"/>
      <c r="AZT26" s="49"/>
      <c r="AZU26" s="49"/>
      <c r="AZV26" s="49"/>
      <c r="AZW26" s="49"/>
      <c r="AZX26" s="49"/>
      <c r="AZY26" s="49"/>
      <c r="AZZ26" s="49"/>
      <c r="BAA26" s="49"/>
      <c r="BAB26" s="49"/>
      <c r="BAC26" s="49"/>
      <c r="BAD26" s="49"/>
      <c r="BAE26" s="49"/>
      <c r="BAF26" s="49"/>
      <c r="BAG26" s="49"/>
      <c r="BAH26" s="49"/>
      <c r="BAI26" s="49"/>
      <c r="BAJ26" s="49"/>
      <c r="BAK26" s="49"/>
      <c r="BAL26" s="49"/>
      <c r="BAM26" s="49"/>
      <c r="BAN26" s="49"/>
      <c r="BAO26" s="49"/>
      <c r="BAP26" s="49"/>
      <c r="BAQ26" s="49"/>
      <c r="BAR26" s="49"/>
      <c r="BAS26" s="49"/>
      <c r="BAT26" s="49"/>
      <c r="BAU26" s="49"/>
      <c r="BAV26" s="49"/>
      <c r="BAW26" s="49"/>
      <c r="BAX26" s="49"/>
      <c r="BAY26" s="49"/>
      <c r="BAZ26" s="49"/>
      <c r="BBA26" s="49"/>
      <c r="BBB26" s="49"/>
      <c r="BBC26" s="49"/>
      <c r="BBD26" s="49"/>
      <c r="BBE26" s="49"/>
      <c r="BBF26" s="49"/>
      <c r="BBG26" s="49"/>
      <c r="BBH26" s="49"/>
      <c r="BBI26" s="49"/>
      <c r="BBJ26" s="49"/>
      <c r="BBK26" s="49"/>
      <c r="BBL26" s="49"/>
      <c r="BBM26" s="49"/>
      <c r="BBN26" s="49"/>
      <c r="BBO26" s="49"/>
      <c r="BBP26" s="49"/>
      <c r="BBQ26" s="49"/>
      <c r="BBR26" s="49"/>
      <c r="BBS26" s="49"/>
      <c r="BBT26" s="49"/>
      <c r="BBU26" s="49"/>
      <c r="BBV26" s="49"/>
      <c r="BBW26" s="49"/>
      <c r="BBX26" s="49"/>
      <c r="BBY26" s="49"/>
      <c r="BBZ26" s="49"/>
      <c r="BCA26" s="49"/>
      <c r="BCB26" s="49"/>
      <c r="BCC26" s="49"/>
      <c r="BCD26" s="49"/>
      <c r="BCE26" s="49"/>
      <c r="BCF26" s="49"/>
      <c r="BCG26" s="49"/>
      <c r="BCH26" s="49"/>
      <c r="BCI26" s="49"/>
      <c r="BCJ26" s="49"/>
      <c r="BCK26" s="49"/>
      <c r="BCL26" s="49"/>
      <c r="BCM26" s="49"/>
      <c r="BCN26" s="49"/>
    </row>
    <row r="27" spans="1:1444" s="47" customFormat="1">
      <c r="A27" s="52"/>
      <c r="B27" s="94">
        <v>45770</v>
      </c>
      <c r="C27" s="94" t="s">
        <v>194</v>
      </c>
      <c r="D27" s="95">
        <v>57</v>
      </c>
      <c r="E27" s="95">
        <v>117.88499999995111</v>
      </c>
      <c r="F27" s="95">
        <v>0</v>
      </c>
      <c r="G27" s="95">
        <v>5.9000000000014552</v>
      </c>
      <c r="H27" s="95">
        <v>28</v>
      </c>
      <c r="I27" s="95">
        <v>38</v>
      </c>
      <c r="J27" s="95">
        <v>1134.4399999999996</v>
      </c>
      <c r="K27" s="95">
        <v>1095.0786000012754</v>
      </c>
      <c r="L27" s="95">
        <v>0</v>
      </c>
      <c r="M27" s="155">
        <v>0</v>
      </c>
      <c r="N27" s="141">
        <f>'units overall'!O27</f>
        <v>2489.3036000012276</v>
      </c>
      <c r="O27" s="53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9"/>
      <c r="DH27" s="49"/>
      <c r="DI27" s="49"/>
      <c r="DJ27" s="49"/>
      <c r="DK27" s="49"/>
      <c r="DL27" s="49"/>
      <c r="DM27" s="49"/>
      <c r="DN27" s="49"/>
      <c r="DO27" s="49"/>
      <c r="DP27" s="49"/>
      <c r="DQ27" s="49"/>
      <c r="DR27" s="49"/>
      <c r="DS27" s="49"/>
      <c r="DT27" s="49"/>
      <c r="DU27" s="49"/>
      <c r="DV27" s="49"/>
      <c r="DW27" s="49"/>
      <c r="DX27" s="49"/>
      <c r="DY27" s="49"/>
      <c r="DZ27" s="49"/>
      <c r="EA27" s="49"/>
      <c r="EB27" s="49"/>
      <c r="EC27" s="49"/>
      <c r="ED27" s="49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49"/>
      <c r="ES27" s="49"/>
      <c r="ET27" s="49"/>
      <c r="EU27" s="49"/>
      <c r="EV27" s="49"/>
      <c r="EW27" s="49"/>
      <c r="EX27" s="49"/>
      <c r="EY27" s="49"/>
      <c r="EZ27" s="49"/>
      <c r="FA27" s="49"/>
      <c r="FB27" s="49"/>
      <c r="FC27" s="49"/>
      <c r="FD27" s="49"/>
      <c r="FE27" s="49"/>
      <c r="FF27" s="49"/>
      <c r="FG27" s="49"/>
      <c r="FH27" s="49"/>
      <c r="FI27" s="49"/>
      <c r="FJ27" s="49"/>
      <c r="FK27" s="49"/>
      <c r="FL27" s="49"/>
      <c r="FM27" s="49"/>
      <c r="FN27" s="49"/>
      <c r="FO27" s="49"/>
      <c r="FP27" s="49"/>
      <c r="FQ27" s="49"/>
      <c r="FR27" s="49"/>
      <c r="FS27" s="49"/>
      <c r="FT27" s="49"/>
      <c r="FU27" s="49"/>
      <c r="FV27" s="49"/>
      <c r="FW27" s="49"/>
      <c r="FX27" s="49"/>
      <c r="FY27" s="49"/>
      <c r="FZ27" s="49"/>
      <c r="GA27" s="49"/>
      <c r="GB27" s="49"/>
      <c r="GC27" s="49"/>
      <c r="GD27" s="49"/>
      <c r="GE27" s="49"/>
      <c r="GF27" s="49"/>
      <c r="GG27" s="49"/>
      <c r="GH27" s="49"/>
      <c r="GI27" s="49"/>
      <c r="GJ27" s="49"/>
      <c r="GK27" s="49"/>
      <c r="GL27" s="49"/>
      <c r="GM27" s="49"/>
      <c r="GN27" s="49"/>
      <c r="GO27" s="49"/>
      <c r="GP27" s="49"/>
      <c r="GQ27" s="49"/>
      <c r="GR27" s="49"/>
      <c r="GS27" s="49"/>
      <c r="GT27" s="49"/>
      <c r="GU27" s="49"/>
      <c r="GV27" s="49"/>
      <c r="GW27" s="49"/>
      <c r="GX27" s="49"/>
      <c r="GY27" s="49"/>
      <c r="GZ27" s="49"/>
      <c r="HA27" s="49"/>
      <c r="HB27" s="49"/>
      <c r="HC27" s="49"/>
      <c r="HD27" s="49"/>
      <c r="HE27" s="49"/>
      <c r="HF27" s="49"/>
      <c r="HG27" s="49"/>
      <c r="HH27" s="49"/>
      <c r="HI27" s="49"/>
      <c r="HJ27" s="49"/>
      <c r="HK27" s="49"/>
      <c r="HL27" s="49"/>
      <c r="HM27" s="49"/>
      <c r="HN27" s="49"/>
      <c r="HO27" s="49"/>
      <c r="HP27" s="49"/>
      <c r="HQ27" s="49"/>
      <c r="HR27" s="49"/>
      <c r="HS27" s="49"/>
      <c r="HT27" s="49"/>
      <c r="HU27" s="49"/>
      <c r="HV27" s="49"/>
      <c r="HW27" s="49"/>
      <c r="HX27" s="49"/>
      <c r="HY27" s="49"/>
      <c r="HZ27" s="49"/>
      <c r="IA27" s="49"/>
      <c r="IB27" s="49"/>
      <c r="IC27" s="49"/>
      <c r="ID27" s="49"/>
      <c r="IE27" s="49"/>
      <c r="IF27" s="49"/>
      <c r="IG27" s="49"/>
      <c r="IH27" s="49"/>
      <c r="II27" s="49"/>
      <c r="IJ27" s="49"/>
      <c r="IK27" s="49"/>
      <c r="IL27" s="49"/>
      <c r="IM27" s="49"/>
      <c r="IN27" s="49"/>
      <c r="IO27" s="49"/>
      <c r="IP27" s="49"/>
      <c r="IQ27" s="49"/>
      <c r="IR27" s="49"/>
      <c r="IS27" s="49"/>
      <c r="IT27" s="49"/>
      <c r="IU27" s="49"/>
      <c r="IV27" s="49"/>
      <c r="IW27" s="49"/>
      <c r="IX27" s="49"/>
      <c r="IY27" s="49"/>
      <c r="IZ27" s="49"/>
      <c r="JA27" s="49"/>
      <c r="JB27" s="49"/>
      <c r="JC27" s="49"/>
      <c r="JD27" s="49"/>
      <c r="JE27" s="49"/>
      <c r="JF27" s="49"/>
      <c r="JG27" s="49"/>
      <c r="JH27" s="49"/>
      <c r="JI27" s="49"/>
      <c r="JJ27" s="49"/>
      <c r="JK27" s="49"/>
      <c r="JL27" s="49"/>
      <c r="JM27" s="49"/>
      <c r="JN27" s="49"/>
      <c r="JO27" s="49"/>
      <c r="JP27" s="49"/>
      <c r="JQ27" s="49"/>
      <c r="JR27" s="49"/>
      <c r="JS27" s="49"/>
      <c r="JT27" s="49"/>
      <c r="JU27" s="49"/>
      <c r="JV27" s="49"/>
      <c r="JW27" s="49"/>
      <c r="JX27" s="49"/>
      <c r="JY27" s="49"/>
      <c r="JZ27" s="49"/>
      <c r="KA27" s="49"/>
      <c r="KB27" s="49"/>
      <c r="KC27" s="49"/>
      <c r="KD27" s="49"/>
      <c r="KE27" s="49"/>
      <c r="KF27" s="49"/>
      <c r="KG27" s="49"/>
      <c r="KH27" s="49"/>
      <c r="KI27" s="49"/>
      <c r="KJ27" s="49"/>
      <c r="KK27" s="49"/>
      <c r="KL27" s="49"/>
      <c r="KM27" s="49"/>
      <c r="KN27" s="49"/>
      <c r="KO27" s="49"/>
      <c r="KP27" s="49"/>
      <c r="KQ27" s="49"/>
      <c r="KR27" s="49"/>
      <c r="KS27" s="49"/>
      <c r="KT27" s="49"/>
      <c r="KU27" s="49"/>
      <c r="KV27" s="49"/>
      <c r="KW27" s="49"/>
      <c r="KX27" s="49"/>
      <c r="KY27" s="49"/>
      <c r="KZ27" s="49"/>
      <c r="LA27" s="49"/>
      <c r="LB27" s="49"/>
      <c r="LC27" s="49"/>
      <c r="LD27" s="49"/>
      <c r="LE27" s="49"/>
      <c r="LF27" s="49"/>
      <c r="LG27" s="49"/>
      <c r="LH27" s="49"/>
      <c r="LI27" s="49"/>
      <c r="LJ27" s="49"/>
      <c r="LK27" s="49"/>
      <c r="LL27" s="49"/>
      <c r="LM27" s="49"/>
      <c r="LN27" s="49"/>
      <c r="LO27" s="49"/>
      <c r="LP27" s="49"/>
      <c r="LQ27" s="49"/>
      <c r="LR27" s="49"/>
      <c r="LS27" s="49"/>
      <c r="LT27" s="49"/>
      <c r="LU27" s="49"/>
      <c r="LV27" s="49"/>
      <c r="LW27" s="49"/>
      <c r="LX27" s="49"/>
      <c r="LY27" s="49"/>
      <c r="LZ27" s="49"/>
      <c r="MA27" s="49"/>
      <c r="MB27" s="49"/>
      <c r="MC27" s="49"/>
      <c r="MD27" s="49"/>
      <c r="ME27" s="49"/>
      <c r="MF27" s="49"/>
      <c r="MG27" s="49"/>
      <c r="MH27" s="49"/>
      <c r="MI27" s="49"/>
      <c r="MJ27" s="49"/>
      <c r="MK27" s="49"/>
      <c r="ML27" s="49"/>
      <c r="MM27" s="49"/>
      <c r="MN27" s="49"/>
      <c r="MO27" s="49"/>
      <c r="MP27" s="49"/>
      <c r="MQ27" s="49"/>
      <c r="MR27" s="49"/>
      <c r="MS27" s="49"/>
      <c r="MT27" s="49"/>
      <c r="MU27" s="49"/>
      <c r="MV27" s="49"/>
      <c r="MW27" s="49"/>
      <c r="MX27" s="49"/>
      <c r="MY27" s="49"/>
      <c r="MZ27" s="49"/>
      <c r="NA27" s="49"/>
      <c r="NB27" s="49"/>
      <c r="NC27" s="49"/>
      <c r="ND27" s="49"/>
      <c r="NE27" s="49"/>
      <c r="NF27" s="49"/>
      <c r="NG27" s="49"/>
      <c r="NH27" s="49"/>
      <c r="NI27" s="49"/>
      <c r="NJ27" s="49"/>
      <c r="NK27" s="49"/>
      <c r="NL27" s="49"/>
      <c r="NM27" s="49"/>
      <c r="NN27" s="49"/>
      <c r="NO27" s="49"/>
      <c r="NP27" s="49"/>
      <c r="NQ27" s="49"/>
      <c r="NR27" s="49"/>
      <c r="NS27" s="49"/>
      <c r="NT27" s="49"/>
      <c r="NU27" s="49"/>
      <c r="NV27" s="49"/>
      <c r="NW27" s="49"/>
      <c r="NX27" s="49"/>
      <c r="NY27" s="49"/>
      <c r="NZ27" s="49"/>
      <c r="OA27" s="49"/>
      <c r="OB27" s="49"/>
      <c r="OC27" s="49"/>
      <c r="OD27" s="49"/>
      <c r="OE27" s="49"/>
      <c r="OF27" s="49"/>
      <c r="OG27" s="49"/>
      <c r="OH27" s="49"/>
      <c r="OI27" s="49"/>
      <c r="OJ27" s="49"/>
      <c r="OK27" s="49"/>
      <c r="OL27" s="49"/>
      <c r="OM27" s="49"/>
      <c r="ON27" s="49"/>
      <c r="OO27" s="49"/>
      <c r="OP27" s="49"/>
      <c r="OQ27" s="49"/>
      <c r="OR27" s="49"/>
      <c r="OS27" s="49"/>
      <c r="OT27" s="49"/>
      <c r="OU27" s="49"/>
      <c r="OV27" s="49"/>
      <c r="OW27" s="49"/>
      <c r="OX27" s="49"/>
      <c r="OY27" s="49"/>
      <c r="OZ27" s="49"/>
      <c r="PA27" s="49"/>
      <c r="PB27" s="49"/>
      <c r="PC27" s="49"/>
      <c r="PD27" s="49"/>
      <c r="PE27" s="49"/>
      <c r="PF27" s="49"/>
      <c r="PG27" s="49"/>
      <c r="PH27" s="49"/>
      <c r="PI27" s="49"/>
      <c r="PJ27" s="49"/>
      <c r="PK27" s="49"/>
      <c r="PL27" s="49"/>
      <c r="PM27" s="49"/>
      <c r="PN27" s="49"/>
      <c r="PO27" s="49"/>
      <c r="PP27" s="49"/>
      <c r="PQ27" s="49"/>
      <c r="PR27" s="49"/>
      <c r="PS27" s="49"/>
      <c r="PT27" s="49"/>
      <c r="PU27" s="49"/>
      <c r="PV27" s="49"/>
      <c r="PW27" s="49"/>
      <c r="PX27" s="49"/>
      <c r="PY27" s="49"/>
      <c r="PZ27" s="49"/>
      <c r="QA27" s="49"/>
      <c r="QB27" s="49"/>
      <c r="QC27" s="49"/>
      <c r="QD27" s="49"/>
      <c r="QE27" s="49"/>
      <c r="QF27" s="49"/>
      <c r="QG27" s="49"/>
      <c r="QH27" s="49"/>
      <c r="QI27" s="49"/>
      <c r="QJ27" s="49"/>
      <c r="QK27" s="49"/>
      <c r="QL27" s="49"/>
      <c r="QM27" s="49"/>
      <c r="QN27" s="49"/>
      <c r="QO27" s="49"/>
      <c r="QP27" s="49"/>
      <c r="QQ27" s="49"/>
      <c r="QR27" s="49"/>
      <c r="QS27" s="49"/>
      <c r="QT27" s="49"/>
      <c r="QU27" s="49"/>
      <c r="QV27" s="49"/>
      <c r="QW27" s="49"/>
      <c r="QX27" s="49"/>
      <c r="QY27" s="49"/>
      <c r="QZ27" s="49"/>
      <c r="RA27" s="49"/>
      <c r="RB27" s="49"/>
      <c r="RC27" s="49"/>
      <c r="RD27" s="49"/>
      <c r="RE27" s="49"/>
      <c r="RF27" s="49"/>
      <c r="RG27" s="49"/>
      <c r="RH27" s="49"/>
      <c r="RI27" s="49"/>
      <c r="RJ27" s="49"/>
      <c r="RK27" s="49"/>
      <c r="RL27" s="49"/>
      <c r="RM27" s="49"/>
      <c r="RN27" s="49"/>
      <c r="RO27" s="49"/>
      <c r="RP27" s="49"/>
      <c r="RQ27" s="49"/>
      <c r="RR27" s="49"/>
      <c r="RS27" s="49"/>
      <c r="RT27" s="49"/>
      <c r="RU27" s="49"/>
      <c r="RV27" s="49"/>
      <c r="RW27" s="49"/>
      <c r="RX27" s="49"/>
      <c r="RY27" s="49"/>
      <c r="RZ27" s="49"/>
      <c r="SA27" s="49"/>
      <c r="SB27" s="49"/>
      <c r="SC27" s="49"/>
      <c r="SD27" s="49"/>
      <c r="SE27" s="49"/>
      <c r="SF27" s="49"/>
      <c r="SG27" s="49"/>
      <c r="SH27" s="49"/>
      <c r="SI27" s="49"/>
      <c r="SJ27" s="49"/>
      <c r="SK27" s="49"/>
      <c r="SL27" s="49"/>
      <c r="SM27" s="49"/>
      <c r="SN27" s="49"/>
      <c r="SO27" s="49"/>
      <c r="SP27" s="49"/>
      <c r="SQ27" s="49"/>
      <c r="SR27" s="49"/>
      <c r="SS27" s="49"/>
      <c r="ST27" s="49"/>
      <c r="SU27" s="49"/>
      <c r="SV27" s="49"/>
      <c r="SW27" s="49"/>
      <c r="SX27" s="49"/>
      <c r="SY27" s="49"/>
      <c r="SZ27" s="49"/>
      <c r="TA27" s="49"/>
      <c r="TB27" s="49"/>
      <c r="TC27" s="49"/>
      <c r="TD27" s="49"/>
      <c r="TE27" s="49"/>
      <c r="TF27" s="49"/>
      <c r="TG27" s="49"/>
      <c r="TH27" s="49"/>
      <c r="TI27" s="49"/>
      <c r="TJ27" s="49"/>
      <c r="TK27" s="49"/>
      <c r="TL27" s="49"/>
      <c r="TM27" s="49"/>
      <c r="TN27" s="49"/>
      <c r="TO27" s="49"/>
      <c r="TP27" s="49"/>
      <c r="TQ27" s="49"/>
      <c r="TR27" s="49"/>
      <c r="TS27" s="49"/>
      <c r="TT27" s="49"/>
      <c r="TU27" s="49"/>
      <c r="TV27" s="49"/>
      <c r="TW27" s="49"/>
      <c r="TX27" s="49"/>
      <c r="TY27" s="49"/>
      <c r="TZ27" s="49"/>
      <c r="UA27" s="49"/>
      <c r="UB27" s="49"/>
      <c r="UC27" s="49"/>
      <c r="UD27" s="49"/>
      <c r="UE27" s="49"/>
      <c r="UF27" s="49"/>
      <c r="UG27" s="49"/>
      <c r="UH27" s="49"/>
      <c r="UI27" s="49"/>
      <c r="UJ27" s="49"/>
      <c r="UK27" s="49"/>
      <c r="UL27" s="49"/>
      <c r="UM27" s="49"/>
      <c r="UN27" s="49"/>
      <c r="UO27" s="49"/>
      <c r="UP27" s="49"/>
      <c r="UQ27" s="49"/>
      <c r="UR27" s="49"/>
      <c r="US27" s="49"/>
      <c r="UT27" s="49"/>
      <c r="UU27" s="49"/>
      <c r="UV27" s="49"/>
      <c r="UW27" s="49"/>
      <c r="UX27" s="49"/>
      <c r="UY27" s="49"/>
      <c r="UZ27" s="49"/>
      <c r="VA27" s="49"/>
      <c r="VB27" s="49"/>
      <c r="VC27" s="49"/>
      <c r="VD27" s="49"/>
      <c r="VE27" s="49"/>
      <c r="VF27" s="49"/>
      <c r="VG27" s="49"/>
      <c r="VH27" s="49"/>
      <c r="VI27" s="49"/>
      <c r="VJ27" s="49"/>
      <c r="VK27" s="49"/>
      <c r="VL27" s="49"/>
      <c r="VM27" s="49"/>
      <c r="VN27" s="49"/>
      <c r="VO27" s="49"/>
      <c r="VP27" s="49"/>
      <c r="VQ27" s="49"/>
      <c r="VR27" s="49"/>
      <c r="VS27" s="49"/>
      <c r="VT27" s="49"/>
      <c r="VU27" s="49"/>
      <c r="VV27" s="49"/>
      <c r="VW27" s="49"/>
      <c r="VX27" s="49"/>
      <c r="VY27" s="49"/>
      <c r="VZ27" s="49"/>
      <c r="WA27" s="49"/>
      <c r="WB27" s="49"/>
      <c r="WC27" s="49"/>
      <c r="WD27" s="49"/>
      <c r="WE27" s="49"/>
      <c r="WF27" s="49"/>
      <c r="WG27" s="49"/>
      <c r="WH27" s="49"/>
      <c r="WI27" s="49"/>
      <c r="WJ27" s="49"/>
      <c r="WK27" s="49"/>
      <c r="WL27" s="49"/>
      <c r="WM27" s="49"/>
      <c r="WN27" s="49"/>
      <c r="WO27" s="49"/>
      <c r="WP27" s="49"/>
      <c r="WQ27" s="49"/>
      <c r="WR27" s="49"/>
      <c r="WS27" s="49"/>
      <c r="WT27" s="49"/>
      <c r="WU27" s="49"/>
      <c r="WV27" s="49"/>
      <c r="WW27" s="49"/>
      <c r="WX27" s="49"/>
      <c r="WY27" s="49"/>
      <c r="WZ27" s="49"/>
      <c r="XA27" s="49"/>
      <c r="XB27" s="49"/>
      <c r="XC27" s="49"/>
      <c r="XD27" s="49"/>
      <c r="XE27" s="49"/>
      <c r="XF27" s="49"/>
      <c r="XG27" s="49"/>
      <c r="XH27" s="49"/>
      <c r="XI27" s="49"/>
      <c r="XJ27" s="49"/>
      <c r="XK27" s="49"/>
      <c r="XL27" s="49"/>
      <c r="XM27" s="49"/>
      <c r="XN27" s="49"/>
      <c r="XO27" s="49"/>
      <c r="XP27" s="49"/>
      <c r="XQ27" s="49"/>
      <c r="XR27" s="49"/>
      <c r="XS27" s="49"/>
      <c r="XT27" s="49"/>
      <c r="XU27" s="49"/>
      <c r="XV27" s="49"/>
      <c r="XW27" s="49"/>
      <c r="XX27" s="49"/>
      <c r="XY27" s="49"/>
      <c r="XZ27" s="49"/>
      <c r="YA27" s="49"/>
      <c r="YB27" s="49"/>
      <c r="YC27" s="49"/>
      <c r="YD27" s="49"/>
      <c r="YE27" s="49"/>
      <c r="YF27" s="49"/>
      <c r="YG27" s="49"/>
      <c r="YH27" s="49"/>
      <c r="YI27" s="49"/>
      <c r="YJ27" s="49"/>
      <c r="YK27" s="49"/>
      <c r="YL27" s="49"/>
      <c r="YM27" s="49"/>
      <c r="YN27" s="49"/>
      <c r="YO27" s="49"/>
      <c r="YP27" s="49"/>
      <c r="YQ27" s="49"/>
      <c r="YR27" s="49"/>
      <c r="YS27" s="49"/>
      <c r="YT27" s="49"/>
      <c r="YU27" s="49"/>
      <c r="YV27" s="49"/>
      <c r="YW27" s="49"/>
      <c r="YX27" s="49"/>
      <c r="YY27" s="49"/>
      <c r="YZ27" s="49"/>
      <c r="ZA27" s="49"/>
      <c r="ZB27" s="49"/>
      <c r="ZC27" s="49"/>
      <c r="ZD27" s="49"/>
      <c r="ZE27" s="49"/>
      <c r="ZF27" s="49"/>
      <c r="ZG27" s="49"/>
      <c r="ZH27" s="49"/>
      <c r="ZI27" s="49"/>
      <c r="ZJ27" s="49"/>
      <c r="ZK27" s="49"/>
      <c r="ZL27" s="49"/>
      <c r="ZM27" s="49"/>
      <c r="ZN27" s="49"/>
      <c r="ZO27" s="49"/>
      <c r="ZP27" s="49"/>
      <c r="ZQ27" s="49"/>
      <c r="ZR27" s="49"/>
      <c r="ZS27" s="49"/>
      <c r="ZT27" s="49"/>
      <c r="ZU27" s="49"/>
      <c r="ZV27" s="49"/>
      <c r="ZW27" s="49"/>
      <c r="ZX27" s="49"/>
      <c r="ZY27" s="49"/>
      <c r="ZZ27" s="49"/>
      <c r="AAA27" s="49"/>
      <c r="AAB27" s="49"/>
      <c r="AAC27" s="49"/>
      <c r="AAD27" s="49"/>
      <c r="AAE27" s="49"/>
      <c r="AAF27" s="49"/>
      <c r="AAG27" s="49"/>
      <c r="AAH27" s="49"/>
      <c r="AAI27" s="49"/>
      <c r="AAJ27" s="49"/>
      <c r="AAK27" s="49"/>
      <c r="AAL27" s="49"/>
      <c r="AAM27" s="49"/>
      <c r="AAN27" s="49"/>
      <c r="AAO27" s="49"/>
      <c r="AAP27" s="49"/>
      <c r="AAQ27" s="49"/>
      <c r="AAR27" s="49"/>
      <c r="AAS27" s="49"/>
      <c r="AAT27" s="49"/>
      <c r="AAU27" s="49"/>
      <c r="AAV27" s="49"/>
      <c r="AAW27" s="49"/>
      <c r="AAX27" s="49"/>
      <c r="AAY27" s="49"/>
      <c r="AAZ27" s="49"/>
      <c r="ABA27" s="49"/>
      <c r="ABB27" s="49"/>
      <c r="ABC27" s="49"/>
      <c r="ABD27" s="49"/>
      <c r="ABE27" s="49"/>
      <c r="ABF27" s="49"/>
      <c r="ABG27" s="49"/>
      <c r="ABH27" s="49"/>
      <c r="ABI27" s="49"/>
      <c r="ABJ27" s="49"/>
      <c r="ABK27" s="49"/>
      <c r="ABL27" s="49"/>
      <c r="ABM27" s="49"/>
      <c r="ABN27" s="49"/>
      <c r="ABO27" s="49"/>
      <c r="ABP27" s="49"/>
      <c r="ABQ27" s="49"/>
      <c r="ABR27" s="49"/>
      <c r="ABS27" s="49"/>
      <c r="ABT27" s="49"/>
      <c r="ABU27" s="49"/>
      <c r="ABV27" s="49"/>
      <c r="ABW27" s="49"/>
      <c r="ABX27" s="49"/>
      <c r="ABY27" s="49"/>
      <c r="ABZ27" s="49"/>
      <c r="ACA27" s="49"/>
      <c r="ACB27" s="49"/>
      <c r="ACC27" s="49"/>
      <c r="ACD27" s="49"/>
      <c r="ACE27" s="49"/>
      <c r="ACF27" s="49"/>
      <c r="ACG27" s="49"/>
      <c r="ACH27" s="49"/>
      <c r="ACI27" s="49"/>
      <c r="ACJ27" s="49"/>
      <c r="ACK27" s="49"/>
      <c r="ACL27" s="49"/>
      <c r="ACM27" s="49"/>
      <c r="ACN27" s="49"/>
      <c r="ACO27" s="49"/>
      <c r="ACP27" s="49"/>
      <c r="ACQ27" s="49"/>
      <c r="ACR27" s="49"/>
      <c r="ACS27" s="49"/>
      <c r="ACT27" s="49"/>
      <c r="ACU27" s="49"/>
      <c r="ACV27" s="49"/>
      <c r="ACW27" s="49"/>
      <c r="ACX27" s="49"/>
      <c r="ACY27" s="49"/>
      <c r="ACZ27" s="49"/>
      <c r="ADA27" s="49"/>
      <c r="ADB27" s="49"/>
      <c r="ADC27" s="49"/>
      <c r="ADD27" s="49"/>
      <c r="ADE27" s="49"/>
      <c r="ADF27" s="49"/>
      <c r="ADG27" s="49"/>
      <c r="ADH27" s="49"/>
      <c r="ADI27" s="49"/>
      <c r="ADJ27" s="49"/>
      <c r="ADK27" s="49"/>
      <c r="ADL27" s="49"/>
      <c r="ADM27" s="49"/>
      <c r="ADN27" s="49"/>
      <c r="ADO27" s="49"/>
      <c r="ADP27" s="49"/>
      <c r="ADQ27" s="49"/>
      <c r="ADR27" s="49"/>
      <c r="ADS27" s="49"/>
      <c r="ADT27" s="49"/>
      <c r="ADU27" s="49"/>
      <c r="ADV27" s="49"/>
      <c r="ADW27" s="49"/>
      <c r="ADX27" s="49"/>
      <c r="ADY27" s="49"/>
      <c r="ADZ27" s="49"/>
      <c r="AEA27" s="49"/>
      <c r="AEB27" s="49"/>
      <c r="AEC27" s="49"/>
      <c r="AED27" s="49"/>
      <c r="AEE27" s="49"/>
      <c r="AEF27" s="49"/>
      <c r="AEG27" s="49"/>
      <c r="AEH27" s="49"/>
      <c r="AEI27" s="49"/>
      <c r="AEJ27" s="49"/>
      <c r="AEK27" s="49"/>
      <c r="AEL27" s="49"/>
      <c r="AEM27" s="49"/>
      <c r="AEN27" s="49"/>
      <c r="AEO27" s="49"/>
      <c r="AEP27" s="49"/>
      <c r="AEQ27" s="49"/>
      <c r="AER27" s="49"/>
      <c r="AES27" s="49"/>
      <c r="AET27" s="49"/>
      <c r="AEU27" s="49"/>
      <c r="AEV27" s="49"/>
      <c r="AEW27" s="49"/>
      <c r="AEX27" s="49"/>
      <c r="AEY27" s="49"/>
      <c r="AEZ27" s="49"/>
      <c r="AFA27" s="49"/>
      <c r="AFB27" s="49"/>
      <c r="AFC27" s="49"/>
      <c r="AFD27" s="49"/>
      <c r="AFE27" s="49"/>
      <c r="AFF27" s="49"/>
      <c r="AFG27" s="49"/>
      <c r="AFH27" s="49"/>
      <c r="AFI27" s="49"/>
      <c r="AFJ27" s="49"/>
      <c r="AFK27" s="49"/>
      <c r="AFL27" s="49"/>
      <c r="AFM27" s="49"/>
      <c r="AFN27" s="49"/>
      <c r="AFO27" s="49"/>
      <c r="AFP27" s="49"/>
      <c r="AFQ27" s="49"/>
      <c r="AFR27" s="49"/>
      <c r="AFS27" s="49"/>
      <c r="AFT27" s="49"/>
      <c r="AFU27" s="49"/>
      <c r="AFV27" s="49"/>
      <c r="AFW27" s="49"/>
      <c r="AFX27" s="49"/>
      <c r="AFY27" s="49"/>
      <c r="AFZ27" s="49"/>
      <c r="AGA27" s="49"/>
      <c r="AGB27" s="49"/>
      <c r="AGC27" s="49"/>
      <c r="AGD27" s="49"/>
      <c r="AGE27" s="49"/>
      <c r="AGF27" s="49"/>
      <c r="AGG27" s="49"/>
      <c r="AGH27" s="49"/>
      <c r="AGI27" s="49"/>
      <c r="AGJ27" s="49"/>
      <c r="AGK27" s="49"/>
      <c r="AGL27" s="49"/>
      <c r="AGM27" s="49"/>
      <c r="AGN27" s="49"/>
      <c r="AGO27" s="49"/>
      <c r="AGP27" s="49"/>
      <c r="AGQ27" s="49"/>
      <c r="AGR27" s="49"/>
      <c r="AGS27" s="49"/>
      <c r="AGT27" s="49"/>
      <c r="AGU27" s="49"/>
      <c r="AGV27" s="49"/>
      <c r="AGW27" s="49"/>
      <c r="AGX27" s="49"/>
      <c r="AGY27" s="49"/>
      <c r="AGZ27" s="49"/>
      <c r="AHA27" s="49"/>
      <c r="AHB27" s="49"/>
      <c r="AHC27" s="49"/>
      <c r="AHD27" s="49"/>
      <c r="AHE27" s="49"/>
      <c r="AHF27" s="49"/>
      <c r="AHG27" s="49"/>
      <c r="AHH27" s="49"/>
      <c r="AHI27" s="49"/>
      <c r="AHJ27" s="49"/>
      <c r="AHK27" s="49"/>
      <c r="AHL27" s="49"/>
      <c r="AHM27" s="49"/>
      <c r="AHN27" s="49"/>
      <c r="AHO27" s="49"/>
      <c r="AHP27" s="49"/>
      <c r="AHQ27" s="49"/>
      <c r="AHR27" s="49"/>
      <c r="AHS27" s="49"/>
      <c r="AHT27" s="49"/>
      <c r="AHU27" s="49"/>
      <c r="AHV27" s="49"/>
      <c r="AHW27" s="49"/>
      <c r="AHX27" s="49"/>
      <c r="AHY27" s="49"/>
      <c r="AHZ27" s="49"/>
      <c r="AIA27" s="49"/>
      <c r="AIB27" s="49"/>
      <c r="AIC27" s="49"/>
      <c r="AID27" s="49"/>
      <c r="AIE27" s="49"/>
      <c r="AIF27" s="49"/>
      <c r="AIG27" s="49"/>
      <c r="AIH27" s="49"/>
      <c r="AII27" s="49"/>
      <c r="AIJ27" s="49"/>
      <c r="AIK27" s="49"/>
      <c r="AIL27" s="49"/>
      <c r="AIM27" s="49"/>
      <c r="AIN27" s="49"/>
      <c r="AIO27" s="49"/>
      <c r="AIP27" s="49"/>
      <c r="AIQ27" s="49"/>
      <c r="AIR27" s="49"/>
      <c r="AIS27" s="49"/>
      <c r="AIT27" s="49"/>
      <c r="AIU27" s="49"/>
      <c r="AIV27" s="49"/>
      <c r="AIW27" s="49"/>
      <c r="AIX27" s="49"/>
      <c r="AIY27" s="49"/>
      <c r="AIZ27" s="49"/>
      <c r="AJA27" s="49"/>
      <c r="AJB27" s="49"/>
      <c r="AJC27" s="49"/>
      <c r="AJD27" s="49"/>
      <c r="AJE27" s="49"/>
      <c r="AJF27" s="49"/>
      <c r="AJG27" s="49"/>
      <c r="AJH27" s="49"/>
      <c r="AJI27" s="49"/>
      <c r="AJJ27" s="49"/>
      <c r="AJK27" s="49"/>
      <c r="AJL27" s="49"/>
      <c r="AJM27" s="49"/>
      <c r="AJN27" s="49"/>
      <c r="AJO27" s="49"/>
      <c r="AJP27" s="49"/>
      <c r="AJQ27" s="49"/>
      <c r="AJR27" s="49"/>
      <c r="AJS27" s="49"/>
      <c r="AJT27" s="49"/>
      <c r="AJU27" s="49"/>
      <c r="AJV27" s="49"/>
      <c r="AJW27" s="49"/>
      <c r="AJX27" s="49"/>
      <c r="AJY27" s="49"/>
      <c r="AJZ27" s="49"/>
      <c r="AKA27" s="49"/>
      <c r="AKB27" s="49"/>
      <c r="AKC27" s="49"/>
      <c r="AKD27" s="49"/>
      <c r="AKE27" s="49"/>
      <c r="AKF27" s="49"/>
      <c r="AKG27" s="49"/>
      <c r="AKH27" s="49"/>
      <c r="AKI27" s="49"/>
      <c r="AKJ27" s="49"/>
      <c r="AKK27" s="49"/>
      <c r="AKL27" s="49"/>
      <c r="AKM27" s="49"/>
      <c r="AKN27" s="49"/>
      <c r="AKO27" s="49"/>
      <c r="AKP27" s="49"/>
      <c r="AKQ27" s="49"/>
      <c r="AKR27" s="49"/>
      <c r="AKS27" s="49"/>
      <c r="AKT27" s="49"/>
      <c r="AKU27" s="49"/>
      <c r="AKV27" s="49"/>
      <c r="AKW27" s="49"/>
      <c r="AKX27" s="49"/>
      <c r="AKY27" s="49"/>
      <c r="AKZ27" s="49"/>
      <c r="ALA27" s="49"/>
      <c r="ALB27" s="49"/>
      <c r="ALC27" s="49"/>
      <c r="ALD27" s="49"/>
      <c r="ALE27" s="49"/>
      <c r="ALF27" s="49"/>
      <c r="ALG27" s="49"/>
      <c r="ALH27" s="49"/>
      <c r="ALI27" s="49"/>
      <c r="ALJ27" s="49"/>
      <c r="ALK27" s="49"/>
      <c r="ALL27" s="49"/>
      <c r="ALM27" s="49"/>
      <c r="ALN27" s="49"/>
      <c r="ALO27" s="49"/>
      <c r="ALP27" s="49"/>
      <c r="ALQ27" s="49"/>
      <c r="ALR27" s="49"/>
      <c r="ALS27" s="49"/>
      <c r="ALT27" s="49"/>
      <c r="ALU27" s="49"/>
      <c r="ALV27" s="49"/>
      <c r="ALW27" s="49"/>
      <c r="ALX27" s="49"/>
      <c r="ALY27" s="49"/>
      <c r="ALZ27" s="49"/>
      <c r="AMA27" s="49"/>
      <c r="AMB27" s="49"/>
      <c r="AMC27" s="49"/>
      <c r="AMD27" s="49"/>
      <c r="AME27" s="49"/>
      <c r="AMF27" s="49"/>
      <c r="AMG27" s="49"/>
      <c r="AMH27" s="49"/>
      <c r="AMI27" s="49"/>
      <c r="AMJ27" s="49"/>
      <c r="AMK27" s="49"/>
      <c r="AML27" s="49"/>
      <c r="AMM27" s="49"/>
      <c r="AMN27" s="49"/>
      <c r="AMO27" s="49"/>
      <c r="AMP27" s="49"/>
      <c r="AMQ27" s="49"/>
      <c r="AMR27" s="49"/>
      <c r="AMS27" s="49"/>
      <c r="AMT27" s="49"/>
      <c r="AMU27" s="49"/>
      <c r="AMV27" s="49"/>
      <c r="AMW27" s="49"/>
      <c r="AMX27" s="49"/>
      <c r="AMY27" s="49"/>
      <c r="AMZ27" s="49"/>
      <c r="ANA27" s="49"/>
      <c r="ANB27" s="49"/>
      <c r="ANC27" s="49"/>
      <c r="AND27" s="49"/>
      <c r="ANE27" s="49"/>
      <c r="ANF27" s="49"/>
      <c r="ANG27" s="49"/>
      <c r="ANH27" s="49"/>
      <c r="ANI27" s="49"/>
      <c r="ANJ27" s="49"/>
      <c r="ANK27" s="49"/>
      <c r="ANL27" s="49"/>
      <c r="ANM27" s="49"/>
      <c r="ANN27" s="49"/>
      <c r="ANO27" s="49"/>
      <c r="ANP27" s="49"/>
      <c r="ANQ27" s="49"/>
      <c r="ANR27" s="49"/>
      <c r="ANS27" s="49"/>
      <c r="ANT27" s="49"/>
      <c r="ANU27" s="49"/>
      <c r="ANV27" s="49"/>
      <c r="ANW27" s="49"/>
      <c r="ANX27" s="49"/>
      <c r="ANY27" s="49"/>
      <c r="ANZ27" s="49"/>
      <c r="AOA27" s="49"/>
      <c r="AOB27" s="49"/>
      <c r="AOC27" s="49"/>
      <c r="AOD27" s="49"/>
      <c r="AOE27" s="49"/>
      <c r="AOF27" s="49"/>
      <c r="AOG27" s="49"/>
      <c r="AOH27" s="49"/>
      <c r="AOI27" s="49"/>
      <c r="AOJ27" s="49"/>
      <c r="AOK27" s="49"/>
      <c r="AOL27" s="49"/>
      <c r="AOM27" s="49"/>
      <c r="AON27" s="49"/>
      <c r="AOO27" s="49"/>
      <c r="AOP27" s="49"/>
      <c r="AOQ27" s="49"/>
      <c r="AOR27" s="49"/>
      <c r="AOS27" s="49"/>
      <c r="AOT27" s="49"/>
      <c r="AOU27" s="49"/>
      <c r="AOV27" s="49"/>
      <c r="AOW27" s="49"/>
      <c r="AOX27" s="49"/>
      <c r="AOY27" s="49"/>
      <c r="AOZ27" s="49"/>
      <c r="APA27" s="49"/>
      <c r="APB27" s="49"/>
      <c r="APC27" s="49"/>
      <c r="APD27" s="49"/>
      <c r="APE27" s="49"/>
      <c r="APF27" s="49"/>
      <c r="APG27" s="49"/>
      <c r="APH27" s="49"/>
      <c r="API27" s="49"/>
      <c r="APJ27" s="49"/>
      <c r="APK27" s="49"/>
      <c r="APL27" s="49"/>
      <c r="APM27" s="49"/>
      <c r="APN27" s="49"/>
      <c r="APO27" s="49"/>
      <c r="APP27" s="49"/>
      <c r="APQ27" s="49"/>
      <c r="APR27" s="49"/>
      <c r="APS27" s="49"/>
      <c r="APT27" s="49"/>
      <c r="APU27" s="49"/>
      <c r="APV27" s="49"/>
      <c r="APW27" s="49"/>
      <c r="APX27" s="49"/>
      <c r="APY27" s="49"/>
      <c r="APZ27" s="49"/>
      <c r="AQA27" s="49"/>
      <c r="AQB27" s="49"/>
      <c r="AQC27" s="49"/>
      <c r="AQD27" s="49"/>
      <c r="AQE27" s="49"/>
      <c r="AQF27" s="49"/>
      <c r="AQG27" s="49"/>
      <c r="AQH27" s="49"/>
      <c r="AQI27" s="49"/>
      <c r="AQJ27" s="49"/>
      <c r="AQK27" s="49"/>
      <c r="AQL27" s="49"/>
      <c r="AQM27" s="49"/>
      <c r="AQN27" s="49"/>
      <c r="AQO27" s="49"/>
      <c r="AQP27" s="49"/>
      <c r="AQQ27" s="49"/>
      <c r="AQR27" s="49"/>
      <c r="AQS27" s="49"/>
      <c r="AQT27" s="49"/>
      <c r="AQU27" s="49"/>
      <c r="AQV27" s="49"/>
      <c r="AQW27" s="49"/>
      <c r="AQX27" s="49"/>
      <c r="AQY27" s="49"/>
      <c r="AQZ27" s="49"/>
      <c r="ARA27" s="49"/>
      <c r="ARB27" s="49"/>
      <c r="ARC27" s="49"/>
      <c r="ARD27" s="49"/>
      <c r="ARE27" s="49"/>
      <c r="ARF27" s="49"/>
      <c r="ARG27" s="49"/>
      <c r="ARH27" s="49"/>
      <c r="ARI27" s="49"/>
      <c r="ARJ27" s="49"/>
      <c r="ARK27" s="49"/>
      <c r="ARL27" s="49"/>
      <c r="ARM27" s="49"/>
      <c r="ARN27" s="49"/>
      <c r="ARO27" s="49"/>
      <c r="ARP27" s="49"/>
      <c r="ARQ27" s="49"/>
      <c r="ARR27" s="49"/>
      <c r="ARS27" s="49"/>
      <c r="ART27" s="49"/>
      <c r="ARU27" s="49"/>
      <c r="ARV27" s="49"/>
      <c r="ARW27" s="49"/>
      <c r="ARX27" s="49"/>
      <c r="ARY27" s="49"/>
      <c r="ARZ27" s="49"/>
      <c r="ASA27" s="49"/>
      <c r="ASB27" s="49"/>
      <c r="ASC27" s="49"/>
      <c r="ASD27" s="49"/>
      <c r="ASE27" s="49"/>
      <c r="ASF27" s="49"/>
      <c r="ASG27" s="49"/>
      <c r="ASH27" s="49"/>
      <c r="ASI27" s="49"/>
      <c r="ASJ27" s="49"/>
      <c r="ASK27" s="49"/>
      <c r="ASL27" s="49"/>
      <c r="ASM27" s="49"/>
      <c r="ASN27" s="49"/>
      <c r="ASO27" s="49"/>
      <c r="ASP27" s="49"/>
      <c r="ASQ27" s="49"/>
      <c r="ASR27" s="49"/>
      <c r="ASS27" s="49"/>
      <c r="AST27" s="49"/>
      <c r="ASU27" s="49"/>
      <c r="ASV27" s="49"/>
      <c r="ASW27" s="49"/>
      <c r="ASX27" s="49"/>
      <c r="ASY27" s="49"/>
      <c r="ASZ27" s="49"/>
      <c r="ATA27" s="49"/>
      <c r="ATB27" s="49"/>
      <c r="ATC27" s="49"/>
      <c r="ATD27" s="49"/>
      <c r="ATE27" s="49"/>
      <c r="ATF27" s="49"/>
      <c r="ATG27" s="49"/>
      <c r="ATH27" s="49"/>
      <c r="ATI27" s="49"/>
      <c r="ATJ27" s="49"/>
      <c r="ATK27" s="49"/>
      <c r="ATL27" s="49"/>
      <c r="ATM27" s="49"/>
      <c r="ATN27" s="49"/>
      <c r="ATO27" s="49"/>
      <c r="ATP27" s="49"/>
      <c r="ATQ27" s="49"/>
      <c r="ATR27" s="49"/>
      <c r="ATS27" s="49"/>
      <c r="ATT27" s="49"/>
      <c r="ATU27" s="49"/>
      <c r="ATV27" s="49"/>
      <c r="ATW27" s="49"/>
      <c r="ATX27" s="49"/>
      <c r="ATY27" s="49"/>
      <c r="ATZ27" s="49"/>
      <c r="AUA27" s="49"/>
      <c r="AUB27" s="49"/>
      <c r="AUC27" s="49"/>
      <c r="AUD27" s="49"/>
      <c r="AUE27" s="49"/>
      <c r="AUF27" s="49"/>
      <c r="AUG27" s="49"/>
      <c r="AUH27" s="49"/>
      <c r="AUI27" s="49"/>
      <c r="AUJ27" s="49"/>
      <c r="AUK27" s="49"/>
      <c r="AUL27" s="49"/>
      <c r="AUM27" s="49"/>
      <c r="AUN27" s="49"/>
      <c r="AUO27" s="49"/>
      <c r="AUP27" s="49"/>
      <c r="AUQ27" s="49"/>
      <c r="AUR27" s="49"/>
      <c r="AUS27" s="49"/>
      <c r="AUT27" s="49"/>
      <c r="AUU27" s="49"/>
      <c r="AUV27" s="49"/>
      <c r="AUW27" s="49"/>
      <c r="AUX27" s="49"/>
      <c r="AUY27" s="49"/>
      <c r="AUZ27" s="49"/>
      <c r="AVA27" s="49"/>
      <c r="AVB27" s="49"/>
      <c r="AVC27" s="49"/>
      <c r="AVD27" s="49"/>
      <c r="AVE27" s="49"/>
      <c r="AVF27" s="49"/>
      <c r="AVG27" s="49"/>
      <c r="AVH27" s="49"/>
      <c r="AVI27" s="49"/>
      <c r="AVJ27" s="49"/>
      <c r="AVK27" s="49"/>
      <c r="AVL27" s="49"/>
      <c r="AVM27" s="49"/>
      <c r="AVN27" s="49"/>
      <c r="AVO27" s="49"/>
      <c r="AVP27" s="49"/>
      <c r="AVQ27" s="49"/>
      <c r="AVR27" s="49"/>
      <c r="AVS27" s="49"/>
      <c r="AVT27" s="49"/>
      <c r="AVU27" s="49"/>
      <c r="AVV27" s="49"/>
      <c r="AVW27" s="49"/>
      <c r="AVX27" s="49"/>
      <c r="AVY27" s="49"/>
      <c r="AVZ27" s="49"/>
      <c r="AWA27" s="49"/>
      <c r="AWB27" s="49"/>
      <c r="AWC27" s="49"/>
      <c r="AWD27" s="49"/>
      <c r="AWE27" s="49"/>
      <c r="AWF27" s="49"/>
      <c r="AWG27" s="49"/>
      <c r="AWH27" s="49"/>
      <c r="AWI27" s="49"/>
      <c r="AWJ27" s="49"/>
      <c r="AWK27" s="49"/>
      <c r="AWL27" s="49"/>
      <c r="AWM27" s="49"/>
      <c r="AWN27" s="49"/>
      <c r="AWO27" s="49"/>
      <c r="AWP27" s="49"/>
      <c r="AWQ27" s="49"/>
      <c r="AWR27" s="49"/>
      <c r="AWS27" s="49"/>
      <c r="AWT27" s="49"/>
      <c r="AWU27" s="49"/>
      <c r="AWV27" s="49"/>
      <c r="AWW27" s="49"/>
      <c r="AWX27" s="49"/>
      <c r="AWY27" s="49"/>
      <c r="AWZ27" s="49"/>
      <c r="AXA27" s="49"/>
      <c r="AXB27" s="49"/>
      <c r="AXC27" s="49"/>
      <c r="AXD27" s="49"/>
      <c r="AXE27" s="49"/>
      <c r="AXF27" s="49"/>
      <c r="AXG27" s="49"/>
      <c r="AXH27" s="49"/>
      <c r="AXI27" s="49"/>
      <c r="AXJ27" s="49"/>
      <c r="AXK27" s="49"/>
      <c r="AXL27" s="49"/>
      <c r="AXM27" s="49"/>
      <c r="AXN27" s="49"/>
      <c r="AXO27" s="49"/>
      <c r="AXP27" s="49"/>
      <c r="AXQ27" s="49"/>
      <c r="AXR27" s="49"/>
      <c r="AXS27" s="49"/>
      <c r="AXT27" s="49"/>
      <c r="AXU27" s="49"/>
      <c r="AXV27" s="49"/>
      <c r="AXW27" s="49"/>
      <c r="AXX27" s="49"/>
      <c r="AXY27" s="49"/>
      <c r="AXZ27" s="49"/>
      <c r="AYA27" s="49"/>
      <c r="AYB27" s="49"/>
      <c r="AYC27" s="49"/>
      <c r="AYD27" s="49"/>
      <c r="AYE27" s="49"/>
      <c r="AYF27" s="49"/>
      <c r="AYG27" s="49"/>
      <c r="AYH27" s="49"/>
      <c r="AYI27" s="49"/>
      <c r="AYJ27" s="49"/>
      <c r="AYK27" s="49"/>
      <c r="AYL27" s="49"/>
      <c r="AYM27" s="49"/>
      <c r="AYN27" s="49"/>
      <c r="AYO27" s="49"/>
      <c r="AYP27" s="49"/>
      <c r="AYQ27" s="49"/>
      <c r="AYR27" s="49"/>
      <c r="AYS27" s="49"/>
      <c r="AYT27" s="49"/>
      <c r="AYU27" s="49"/>
      <c r="AYV27" s="49"/>
      <c r="AYW27" s="49"/>
      <c r="AYX27" s="49"/>
      <c r="AYY27" s="49"/>
      <c r="AYZ27" s="49"/>
      <c r="AZA27" s="49"/>
      <c r="AZB27" s="49"/>
      <c r="AZC27" s="49"/>
      <c r="AZD27" s="49"/>
      <c r="AZE27" s="49"/>
      <c r="AZF27" s="49"/>
      <c r="AZG27" s="49"/>
      <c r="AZH27" s="49"/>
      <c r="AZI27" s="49"/>
      <c r="AZJ27" s="49"/>
      <c r="AZK27" s="49"/>
      <c r="AZL27" s="49"/>
      <c r="AZM27" s="49"/>
      <c r="AZN27" s="49"/>
      <c r="AZO27" s="49"/>
      <c r="AZP27" s="49"/>
      <c r="AZQ27" s="49"/>
      <c r="AZR27" s="49"/>
      <c r="AZS27" s="49"/>
      <c r="AZT27" s="49"/>
      <c r="AZU27" s="49"/>
      <c r="AZV27" s="49"/>
      <c r="AZW27" s="49"/>
      <c r="AZX27" s="49"/>
      <c r="AZY27" s="49"/>
      <c r="AZZ27" s="49"/>
      <c r="BAA27" s="49"/>
      <c r="BAB27" s="49"/>
      <c r="BAC27" s="49"/>
      <c r="BAD27" s="49"/>
      <c r="BAE27" s="49"/>
      <c r="BAF27" s="49"/>
      <c r="BAG27" s="49"/>
      <c r="BAH27" s="49"/>
      <c r="BAI27" s="49"/>
      <c r="BAJ27" s="49"/>
      <c r="BAK27" s="49"/>
      <c r="BAL27" s="49"/>
      <c r="BAM27" s="49"/>
      <c r="BAN27" s="49"/>
      <c r="BAO27" s="49"/>
      <c r="BAP27" s="49"/>
      <c r="BAQ27" s="49"/>
      <c r="BAR27" s="49"/>
      <c r="BAS27" s="49"/>
      <c r="BAT27" s="49"/>
      <c r="BAU27" s="49"/>
      <c r="BAV27" s="49"/>
      <c r="BAW27" s="49"/>
      <c r="BAX27" s="49"/>
      <c r="BAY27" s="49"/>
      <c r="BAZ27" s="49"/>
      <c r="BBA27" s="49"/>
      <c r="BBB27" s="49"/>
      <c r="BBC27" s="49"/>
      <c r="BBD27" s="49"/>
      <c r="BBE27" s="49"/>
      <c r="BBF27" s="49"/>
      <c r="BBG27" s="49"/>
      <c r="BBH27" s="49"/>
      <c r="BBI27" s="49"/>
      <c r="BBJ27" s="49"/>
      <c r="BBK27" s="49"/>
      <c r="BBL27" s="49"/>
      <c r="BBM27" s="49"/>
      <c r="BBN27" s="49"/>
      <c r="BBO27" s="49"/>
      <c r="BBP27" s="49"/>
      <c r="BBQ27" s="49"/>
      <c r="BBR27" s="49"/>
      <c r="BBS27" s="49"/>
      <c r="BBT27" s="49"/>
      <c r="BBU27" s="49"/>
      <c r="BBV27" s="49"/>
      <c r="BBW27" s="49"/>
      <c r="BBX27" s="49"/>
      <c r="BBY27" s="49"/>
      <c r="BBZ27" s="49"/>
      <c r="BCA27" s="49"/>
      <c r="BCB27" s="49"/>
      <c r="BCC27" s="49"/>
      <c r="BCD27" s="49"/>
      <c r="BCE27" s="49"/>
      <c r="BCF27" s="49"/>
      <c r="BCG27" s="49"/>
      <c r="BCH27" s="49"/>
      <c r="BCI27" s="49"/>
      <c r="BCJ27" s="49"/>
      <c r="BCK27" s="49"/>
      <c r="BCL27" s="49"/>
      <c r="BCM27" s="49"/>
      <c r="BCN27" s="49"/>
    </row>
    <row r="28" spans="1:1444" s="47" customFormat="1">
      <c r="A28" s="52"/>
      <c r="B28" s="94">
        <v>45771</v>
      </c>
      <c r="C28" s="94" t="s">
        <v>195</v>
      </c>
      <c r="D28" s="95">
        <v>52</v>
      </c>
      <c r="E28" s="95">
        <v>99.990000000048894</v>
      </c>
      <c r="F28" s="95">
        <v>0</v>
      </c>
      <c r="G28" s="95">
        <v>0</v>
      </c>
      <c r="H28" s="95">
        <v>52</v>
      </c>
      <c r="I28" s="95">
        <v>38</v>
      </c>
      <c r="J28" s="95">
        <v>1144.2799999999997</v>
      </c>
      <c r="K28" s="95">
        <v>1643.1335999994262</v>
      </c>
      <c r="L28" s="95">
        <v>0</v>
      </c>
      <c r="M28" s="155">
        <v>0</v>
      </c>
      <c r="N28" s="141">
        <f>'units overall'!O28</f>
        <v>3042.4035999994749</v>
      </c>
      <c r="O28" s="81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49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/>
      <c r="ET28" s="49"/>
      <c r="EU28" s="49"/>
      <c r="EV28" s="49"/>
      <c r="EW28" s="49"/>
      <c r="EX28" s="49"/>
      <c r="EY28" s="49"/>
      <c r="EZ28" s="49"/>
      <c r="FA28" s="49"/>
      <c r="FB28" s="49"/>
      <c r="FC28" s="49"/>
      <c r="FD28" s="49"/>
      <c r="FE28" s="49"/>
      <c r="FF28" s="49"/>
      <c r="FG28" s="49"/>
      <c r="FH28" s="49"/>
      <c r="FI28" s="49"/>
      <c r="FJ28" s="49"/>
      <c r="FK28" s="49"/>
      <c r="FL28" s="49"/>
      <c r="FM28" s="49"/>
      <c r="FN28" s="49"/>
      <c r="FO28" s="49"/>
      <c r="FP28" s="49"/>
      <c r="FQ28" s="49"/>
      <c r="FR28" s="49"/>
      <c r="FS28" s="49"/>
      <c r="FT28" s="49"/>
      <c r="FU28" s="49"/>
      <c r="FV28" s="49"/>
      <c r="FW28" s="49"/>
      <c r="FX28" s="49"/>
      <c r="FY28" s="49"/>
      <c r="FZ28" s="49"/>
      <c r="GA28" s="49"/>
      <c r="GB28" s="49"/>
      <c r="GC28" s="49"/>
      <c r="GD28" s="49"/>
      <c r="GE28" s="49"/>
      <c r="GF28" s="49"/>
      <c r="GG28" s="49"/>
      <c r="GH28" s="49"/>
      <c r="GI28" s="49"/>
      <c r="GJ28" s="49"/>
      <c r="GK28" s="49"/>
      <c r="GL28" s="49"/>
      <c r="GM28" s="49"/>
      <c r="GN28" s="49"/>
      <c r="GO28" s="49"/>
      <c r="GP28" s="49"/>
      <c r="GQ28" s="49"/>
      <c r="GR28" s="49"/>
      <c r="GS28" s="49"/>
      <c r="GT28" s="49"/>
      <c r="GU28" s="49"/>
      <c r="GV28" s="49"/>
      <c r="GW28" s="49"/>
      <c r="GX28" s="49"/>
      <c r="GY28" s="49"/>
      <c r="GZ28" s="49"/>
      <c r="HA28" s="49"/>
      <c r="HB28" s="49"/>
      <c r="HC28" s="49"/>
      <c r="HD28" s="49"/>
      <c r="HE28" s="49"/>
      <c r="HF28" s="49"/>
      <c r="HG28" s="49"/>
      <c r="HH28" s="49"/>
      <c r="HI28" s="49"/>
      <c r="HJ28" s="49"/>
      <c r="HK28" s="49"/>
      <c r="HL28" s="49"/>
      <c r="HM28" s="49"/>
      <c r="HN28" s="49"/>
      <c r="HO28" s="49"/>
      <c r="HP28" s="49"/>
      <c r="HQ28" s="49"/>
      <c r="HR28" s="49"/>
      <c r="HS28" s="49"/>
      <c r="HT28" s="49"/>
      <c r="HU28" s="49"/>
      <c r="HV28" s="49"/>
      <c r="HW28" s="49"/>
      <c r="HX28" s="49"/>
      <c r="HY28" s="49"/>
      <c r="HZ28" s="49"/>
      <c r="IA28" s="49"/>
      <c r="IB28" s="49"/>
      <c r="IC28" s="49"/>
      <c r="ID28" s="49"/>
      <c r="IE28" s="49"/>
      <c r="IF28" s="49"/>
      <c r="IG28" s="49"/>
      <c r="IH28" s="49"/>
      <c r="II28" s="49"/>
      <c r="IJ28" s="49"/>
      <c r="IK28" s="49"/>
      <c r="IL28" s="49"/>
      <c r="IM28" s="49"/>
      <c r="IN28" s="49"/>
      <c r="IO28" s="49"/>
      <c r="IP28" s="49"/>
      <c r="IQ28" s="49"/>
      <c r="IR28" s="49"/>
      <c r="IS28" s="49"/>
      <c r="IT28" s="49"/>
      <c r="IU28" s="49"/>
      <c r="IV28" s="49"/>
      <c r="IW28" s="49"/>
      <c r="IX28" s="49"/>
      <c r="IY28" s="49"/>
      <c r="IZ28" s="49"/>
      <c r="JA28" s="49"/>
      <c r="JB28" s="49"/>
      <c r="JC28" s="49"/>
      <c r="JD28" s="49"/>
      <c r="JE28" s="49"/>
      <c r="JF28" s="49"/>
      <c r="JG28" s="49"/>
      <c r="JH28" s="49"/>
      <c r="JI28" s="49"/>
      <c r="JJ28" s="49"/>
      <c r="JK28" s="49"/>
      <c r="JL28" s="49"/>
      <c r="JM28" s="49"/>
      <c r="JN28" s="49"/>
      <c r="JO28" s="49"/>
      <c r="JP28" s="49"/>
      <c r="JQ28" s="49"/>
      <c r="JR28" s="49"/>
      <c r="JS28" s="49"/>
      <c r="JT28" s="49"/>
      <c r="JU28" s="49"/>
      <c r="JV28" s="49"/>
      <c r="JW28" s="49"/>
      <c r="JX28" s="49"/>
      <c r="JY28" s="49"/>
      <c r="JZ28" s="49"/>
      <c r="KA28" s="49"/>
      <c r="KB28" s="49"/>
      <c r="KC28" s="49"/>
      <c r="KD28" s="49"/>
      <c r="KE28" s="49"/>
      <c r="KF28" s="49"/>
      <c r="KG28" s="49"/>
      <c r="KH28" s="49"/>
      <c r="KI28" s="49"/>
      <c r="KJ28" s="49"/>
      <c r="KK28" s="49"/>
      <c r="KL28" s="49"/>
      <c r="KM28" s="49"/>
      <c r="KN28" s="49"/>
      <c r="KO28" s="49"/>
      <c r="KP28" s="49"/>
      <c r="KQ28" s="49"/>
      <c r="KR28" s="49"/>
      <c r="KS28" s="49"/>
      <c r="KT28" s="49"/>
      <c r="KU28" s="49"/>
      <c r="KV28" s="49"/>
      <c r="KW28" s="49"/>
      <c r="KX28" s="49"/>
      <c r="KY28" s="49"/>
      <c r="KZ28" s="49"/>
      <c r="LA28" s="49"/>
      <c r="LB28" s="49"/>
      <c r="LC28" s="49"/>
      <c r="LD28" s="49"/>
      <c r="LE28" s="49"/>
      <c r="LF28" s="49"/>
      <c r="LG28" s="49"/>
      <c r="LH28" s="49"/>
      <c r="LI28" s="49"/>
      <c r="LJ28" s="49"/>
      <c r="LK28" s="49"/>
      <c r="LL28" s="49"/>
      <c r="LM28" s="49"/>
      <c r="LN28" s="49"/>
      <c r="LO28" s="49"/>
      <c r="LP28" s="49"/>
      <c r="LQ28" s="49"/>
      <c r="LR28" s="49"/>
      <c r="LS28" s="49"/>
      <c r="LT28" s="49"/>
      <c r="LU28" s="49"/>
      <c r="LV28" s="49"/>
      <c r="LW28" s="49"/>
      <c r="LX28" s="49"/>
      <c r="LY28" s="49"/>
      <c r="LZ28" s="49"/>
      <c r="MA28" s="49"/>
      <c r="MB28" s="49"/>
      <c r="MC28" s="49"/>
      <c r="MD28" s="49"/>
      <c r="ME28" s="49"/>
      <c r="MF28" s="49"/>
      <c r="MG28" s="49"/>
      <c r="MH28" s="49"/>
      <c r="MI28" s="49"/>
      <c r="MJ28" s="49"/>
      <c r="MK28" s="49"/>
      <c r="ML28" s="49"/>
      <c r="MM28" s="49"/>
      <c r="MN28" s="49"/>
      <c r="MO28" s="49"/>
      <c r="MP28" s="49"/>
      <c r="MQ28" s="49"/>
      <c r="MR28" s="49"/>
      <c r="MS28" s="49"/>
      <c r="MT28" s="49"/>
      <c r="MU28" s="49"/>
      <c r="MV28" s="49"/>
      <c r="MW28" s="49"/>
      <c r="MX28" s="49"/>
      <c r="MY28" s="49"/>
      <c r="MZ28" s="49"/>
      <c r="NA28" s="49"/>
      <c r="NB28" s="49"/>
      <c r="NC28" s="49"/>
      <c r="ND28" s="49"/>
      <c r="NE28" s="49"/>
      <c r="NF28" s="49"/>
      <c r="NG28" s="49"/>
      <c r="NH28" s="49"/>
      <c r="NI28" s="49"/>
      <c r="NJ28" s="49"/>
      <c r="NK28" s="49"/>
      <c r="NL28" s="49"/>
      <c r="NM28" s="49"/>
      <c r="NN28" s="49"/>
      <c r="NO28" s="49"/>
      <c r="NP28" s="49"/>
      <c r="NQ28" s="49"/>
      <c r="NR28" s="49"/>
      <c r="NS28" s="49"/>
      <c r="NT28" s="49"/>
      <c r="NU28" s="49"/>
      <c r="NV28" s="49"/>
      <c r="NW28" s="49"/>
      <c r="NX28" s="49"/>
      <c r="NY28" s="49"/>
      <c r="NZ28" s="49"/>
      <c r="OA28" s="49"/>
      <c r="OB28" s="49"/>
      <c r="OC28" s="49"/>
      <c r="OD28" s="49"/>
      <c r="OE28" s="49"/>
      <c r="OF28" s="49"/>
      <c r="OG28" s="49"/>
      <c r="OH28" s="49"/>
      <c r="OI28" s="49"/>
      <c r="OJ28" s="49"/>
      <c r="OK28" s="49"/>
      <c r="OL28" s="49"/>
      <c r="OM28" s="49"/>
      <c r="ON28" s="49"/>
      <c r="OO28" s="49"/>
      <c r="OP28" s="49"/>
      <c r="OQ28" s="49"/>
      <c r="OR28" s="49"/>
      <c r="OS28" s="49"/>
      <c r="OT28" s="49"/>
      <c r="OU28" s="49"/>
      <c r="OV28" s="49"/>
      <c r="OW28" s="49"/>
      <c r="OX28" s="49"/>
      <c r="OY28" s="49"/>
      <c r="OZ28" s="49"/>
      <c r="PA28" s="49"/>
      <c r="PB28" s="49"/>
      <c r="PC28" s="49"/>
      <c r="PD28" s="49"/>
      <c r="PE28" s="49"/>
      <c r="PF28" s="49"/>
      <c r="PG28" s="49"/>
      <c r="PH28" s="49"/>
      <c r="PI28" s="49"/>
      <c r="PJ28" s="49"/>
      <c r="PK28" s="49"/>
      <c r="PL28" s="49"/>
      <c r="PM28" s="49"/>
      <c r="PN28" s="49"/>
      <c r="PO28" s="49"/>
      <c r="PP28" s="49"/>
      <c r="PQ28" s="49"/>
      <c r="PR28" s="49"/>
      <c r="PS28" s="49"/>
      <c r="PT28" s="49"/>
      <c r="PU28" s="49"/>
      <c r="PV28" s="49"/>
      <c r="PW28" s="49"/>
      <c r="PX28" s="49"/>
      <c r="PY28" s="49"/>
      <c r="PZ28" s="49"/>
      <c r="QA28" s="49"/>
      <c r="QB28" s="49"/>
      <c r="QC28" s="49"/>
      <c r="QD28" s="49"/>
      <c r="QE28" s="49"/>
      <c r="QF28" s="49"/>
      <c r="QG28" s="49"/>
      <c r="QH28" s="49"/>
      <c r="QI28" s="49"/>
      <c r="QJ28" s="49"/>
      <c r="QK28" s="49"/>
      <c r="QL28" s="49"/>
      <c r="QM28" s="49"/>
      <c r="QN28" s="49"/>
      <c r="QO28" s="49"/>
      <c r="QP28" s="49"/>
      <c r="QQ28" s="49"/>
      <c r="QR28" s="49"/>
      <c r="QS28" s="49"/>
      <c r="QT28" s="49"/>
      <c r="QU28" s="49"/>
      <c r="QV28" s="49"/>
      <c r="QW28" s="49"/>
      <c r="QX28" s="49"/>
      <c r="QY28" s="49"/>
      <c r="QZ28" s="49"/>
      <c r="RA28" s="49"/>
      <c r="RB28" s="49"/>
      <c r="RC28" s="49"/>
      <c r="RD28" s="49"/>
      <c r="RE28" s="49"/>
      <c r="RF28" s="49"/>
      <c r="RG28" s="49"/>
      <c r="RH28" s="49"/>
      <c r="RI28" s="49"/>
      <c r="RJ28" s="49"/>
      <c r="RK28" s="49"/>
      <c r="RL28" s="49"/>
      <c r="RM28" s="49"/>
      <c r="RN28" s="49"/>
      <c r="RO28" s="49"/>
      <c r="RP28" s="49"/>
      <c r="RQ28" s="49"/>
      <c r="RR28" s="49"/>
      <c r="RS28" s="49"/>
      <c r="RT28" s="49"/>
      <c r="RU28" s="49"/>
      <c r="RV28" s="49"/>
      <c r="RW28" s="49"/>
      <c r="RX28" s="49"/>
      <c r="RY28" s="49"/>
      <c r="RZ28" s="49"/>
      <c r="SA28" s="49"/>
      <c r="SB28" s="49"/>
      <c r="SC28" s="49"/>
      <c r="SD28" s="49"/>
      <c r="SE28" s="49"/>
      <c r="SF28" s="49"/>
      <c r="SG28" s="49"/>
      <c r="SH28" s="49"/>
      <c r="SI28" s="49"/>
      <c r="SJ28" s="49"/>
      <c r="SK28" s="49"/>
      <c r="SL28" s="49"/>
      <c r="SM28" s="49"/>
      <c r="SN28" s="49"/>
      <c r="SO28" s="49"/>
      <c r="SP28" s="49"/>
      <c r="SQ28" s="49"/>
      <c r="SR28" s="49"/>
      <c r="SS28" s="49"/>
      <c r="ST28" s="49"/>
      <c r="SU28" s="49"/>
      <c r="SV28" s="49"/>
      <c r="SW28" s="49"/>
      <c r="SX28" s="49"/>
      <c r="SY28" s="49"/>
      <c r="SZ28" s="49"/>
      <c r="TA28" s="49"/>
      <c r="TB28" s="49"/>
      <c r="TC28" s="49"/>
      <c r="TD28" s="49"/>
      <c r="TE28" s="49"/>
      <c r="TF28" s="49"/>
      <c r="TG28" s="49"/>
      <c r="TH28" s="49"/>
      <c r="TI28" s="49"/>
      <c r="TJ28" s="49"/>
      <c r="TK28" s="49"/>
      <c r="TL28" s="49"/>
      <c r="TM28" s="49"/>
      <c r="TN28" s="49"/>
      <c r="TO28" s="49"/>
      <c r="TP28" s="49"/>
      <c r="TQ28" s="49"/>
      <c r="TR28" s="49"/>
      <c r="TS28" s="49"/>
      <c r="TT28" s="49"/>
      <c r="TU28" s="49"/>
      <c r="TV28" s="49"/>
      <c r="TW28" s="49"/>
      <c r="TX28" s="49"/>
      <c r="TY28" s="49"/>
      <c r="TZ28" s="49"/>
      <c r="UA28" s="49"/>
      <c r="UB28" s="49"/>
      <c r="UC28" s="49"/>
      <c r="UD28" s="49"/>
      <c r="UE28" s="49"/>
      <c r="UF28" s="49"/>
      <c r="UG28" s="49"/>
      <c r="UH28" s="49"/>
      <c r="UI28" s="49"/>
      <c r="UJ28" s="49"/>
      <c r="UK28" s="49"/>
      <c r="UL28" s="49"/>
      <c r="UM28" s="49"/>
      <c r="UN28" s="49"/>
      <c r="UO28" s="49"/>
      <c r="UP28" s="49"/>
      <c r="UQ28" s="49"/>
      <c r="UR28" s="49"/>
      <c r="US28" s="49"/>
      <c r="UT28" s="49"/>
      <c r="UU28" s="49"/>
      <c r="UV28" s="49"/>
      <c r="UW28" s="49"/>
      <c r="UX28" s="49"/>
      <c r="UY28" s="49"/>
      <c r="UZ28" s="49"/>
      <c r="VA28" s="49"/>
      <c r="VB28" s="49"/>
      <c r="VC28" s="49"/>
      <c r="VD28" s="49"/>
      <c r="VE28" s="49"/>
      <c r="VF28" s="49"/>
      <c r="VG28" s="49"/>
      <c r="VH28" s="49"/>
      <c r="VI28" s="49"/>
      <c r="VJ28" s="49"/>
      <c r="VK28" s="49"/>
      <c r="VL28" s="49"/>
      <c r="VM28" s="49"/>
      <c r="VN28" s="49"/>
      <c r="VO28" s="49"/>
      <c r="VP28" s="49"/>
      <c r="VQ28" s="49"/>
      <c r="VR28" s="49"/>
      <c r="VS28" s="49"/>
      <c r="VT28" s="49"/>
      <c r="VU28" s="49"/>
      <c r="VV28" s="49"/>
      <c r="VW28" s="49"/>
      <c r="VX28" s="49"/>
      <c r="VY28" s="49"/>
      <c r="VZ28" s="49"/>
      <c r="WA28" s="49"/>
      <c r="WB28" s="49"/>
      <c r="WC28" s="49"/>
      <c r="WD28" s="49"/>
      <c r="WE28" s="49"/>
      <c r="WF28" s="49"/>
      <c r="WG28" s="49"/>
      <c r="WH28" s="49"/>
      <c r="WI28" s="49"/>
      <c r="WJ28" s="49"/>
      <c r="WK28" s="49"/>
      <c r="WL28" s="49"/>
      <c r="WM28" s="49"/>
      <c r="WN28" s="49"/>
      <c r="WO28" s="49"/>
      <c r="WP28" s="49"/>
      <c r="WQ28" s="49"/>
      <c r="WR28" s="49"/>
      <c r="WS28" s="49"/>
      <c r="WT28" s="49"/>
      <c r="WU28" s="49"/>
      <c r="WV28" s="49"/>
      <c r="WW28" s="49"/>
      <c r="WX28" s="49"/>
      <c r="WY28" s="49"/>
      <c r="WZ28" s="49"/>
      <c r="XA28" s="49"/>
      <c r="XB28" s="49"/>
      <c r="XC28" s="49"/>
      <c r="XD28" s="49"/>
      <c r="XE28" s="49"/>
      <c r="XF28" s="49"/>
      <c r="XG28" s="49"/>
      <c r="XH28" s="49"/>
      <c r="XI28" s="49"/>
      <c r="XJ28" s="49"/>
      <c r="XK28" s="49"/>
      <c r="XL28" s="49"/>
      <c r="XM28" s="49"/>
      <c r="XN28" s="49"/>
      <c r="XO28" s="49"/>
      <c r="XP28" s="49"/>
      <c r="XQ28" s="49"/>
      <c r="XR28" s="49"/>
      <c r="XS28" s="49"/>
      <c r="XT28" s="49"/>
      <c r="XU28" s="49"/>
      <c r="XV28" s="49"/>
      <c r="XW28" s="49"/>
      <c r="XX28" s="49"/>
      <c r="XY28" s="49"/>
      <c r="XZ28" s="49"/>
      <c r="YA28" s="49"/>
      <c r="YB28" s="49"/>
      <c r="YC28" s="49"/>
      <c r="YD28" s="49"/>
      <c r="YE28" s="49"/>
      <c r="YF28" s="49"/>
      <c r="YG28" s="49"/>
      <c r="YH28" s="49"/>
      <c r="YI28" s="49"/>
      <c r="YJ28" s="49"/>
      <c r="YK28" s="49"/>
      <c r="YL28" s="49"/>
      <c r="YM28" s="49"/>
      <c r="YN28" s="49"/>
      <c r="YO28" s="49"/>
      <c r="YP28" s="49"/>
      <c r="YQ28" s="49"/>
      <c r="YR28" s="49"/>
      <c r="YS28" s="49"/>
      <c r="YT28" s="49"/>
      <c r="YU28" s="49"/>
      <c r="YV28" s="49"/>
      <c r="YW28" s="49"/>
      <c r="YX28" s="49"/>
      <c r="YY28" s="49"/>
      <c r="YZ28" s="49"/>
      <c r="ZA28" s="49"/>
      <c r="ZB28" s="49"/>
      <c r="ZC28" s="49"/>
      <c r="ZD28" s="49"/>
      <c r="ZE28" s="49"/>
      <c r="ZF28" s="49"/>
      <c r="ZG28" s="49"/>
      <c r="ZH28" s="49"/>
      <c r="ZI28" s="49"/>
      <c r="ZJ28" s="49"/>
      <c r="ZK28" s="49"/>
      <c r="ZL28" s="49"/>
      <c r="ZM28" s="49"/>
      <c r="ZN28" s="49"/>
      <c r="ZO28" s="49"/>
      <c r="ZP28" s="49"/>
      <c r="ZQ28" s="49"/>
      <c r="ZR28" s="49"/>
      <c r="ZS28" s="49"/>
      <c r="ZT28" s="49"/>
      <c r="ZU28" s="49"/>
      <c r="ZV28" s="49"/>
      <c r="ZW28" s="49"/>
      <c r="ZX28" s="49"/>
      <c r="ZY28" s="49"/>
      <c r="ZZ28" s="49"/>
      <c r="AAA28" s="49"/>
      <c r="AAB28" s="49"/>
      <c r="AAC28" s="49"/>
      <c r="AAD28" s="49"/>
      <c r="AAE28" s="49"/>
      <c r="AAF28" s="49"/>
      <c r="AAG28" s="49"/>
      <c r="AAH28" s="49"/>
      <c r="AAI28" s="49"/>
      <c r="AAJ28" s="49"/>
      <c r="AAK28" s="49"/>
      <c r="AAL28" s="49"/>
      <c r="AAM28" s="49"/>
      <c r="AAN28" s="49"/>
      <c r="AAO28" s="49"/>
      <c r="AAP28" s="49"/>
      <c r="AAQ28" s="49"/>
      <c r="AAR28" s="49"/>
      <c r="AAS28" s="49"/>
      <c r="AAT28" s="49"/>
      <c r="AAU28" s="49"/>
      <c r="AAV28" s="49"/>
      <c r="AAW28" s="49"/>
      <c r="AAX28" s="49"/>
      <c r="AAY28" s="49"/>
      <c r="AAZ28" s="49"/>
      <c r="ABA28" s="49"/>
      <c r="ABB28" s="49"/>
      <c r="ABC28" s="49"/>
      <c r="ABD28" s="49"/>
      <c r="ABE28" s="49"/>
      <c r="ABF28" s="49"/>
      <c r="ABG28" s="49"/>
      <c r="ABH28" s="49"/>
      <c r="ABI28" s="49"/>
      <c r="ABJ28" s="49"/>
      <c r="ABK28" s="49"/>
      <c r="ABL28" s="49"/>
      <c r="ABM28" s="49"/>
      <c r="ABN28" s="49"/>
      <c r="ABO28" s="49"/>
      <c r="ABP28" s="49"/>
      <c r="ABQ28" s="49"/>
      <c r="ABR28" s="49"/>
      <c r="ABS28" s="49"/>
      <c r="ABT28" s="49"/>
      <c r="ABU28" s="49"/>
      <c r="ABV28" s="49"/>
      <c r="ABW28" s="49"/>
      <c r="ABX28" s="49"/>
      <c r="ABY28" s="49"/>
      <c r="ABZ28" s="49"/>
      <c r="ACA28" s="49"/>
      <c r="ACB28" s="49"/>
      <c r="ACC28" s="49"/>
      <c r="ACD28" s="49"/>
      <c r="ACE28" s="49"/>
      <c r="ACF28" s="49"/>
      <c r="ACG28" s="49"/>
      <c r="ACH28" s="49"/>
      <c r="ACI28" s="49"/>
      <c r="ACJ28" s="49"/>
      <c r="ACK28" s="49"/>
      <c r="ACL28" s="49"/>
      <c r="ACM28" s="49"/>
      <c r="ACN28" s="49"/>
      <c r="ACO28" s="49"/>
      <c r="ACP28" s="49"/>
      <c r="ACQ28" s="49"/>
      <c r="ACR28" s="49"/>
      <c r="ACS28" s="49"/>
      <c r="ACT28" s="49"/>
      <c r="ACU28" s="49"/>
      <c r="ACV28" s="49"/>
      <c r="ACW28" s="49"/>
      <c r="ACX28" s="49"/>
      <c r="ACY28" s="49"/>
      <c r="ACZ28" s="49"/>
      <c r="ADA28" s="49"/>
      <c r="ADB28" s="49"/>
      <c r="ADC28" s="49"/>
      <c r="ADD28" s="49"/>
      <c r="ADE28" s="49"/>
      <c r="ADF28" s="49"/>
      <c r="ADG28" s="49"/>
      <c r="ADH28" s="49"/>
      <c r="ADI28" s="49"/>
      <c r="ADJ28" s="49"/>
      <c r="ADK28" s="49"/>
      <c r="ADL28" s="49"/>
      <c r="ADM28" s="49"/>
      <c r="ADN28" s="49"/>
      <c r="ADO28" s="49"/>
      <c r="ADP28" s="49"/>
      <c r="ADQ28" s="49"/>
      <c r="ADR28" s="49"/>
      <c r="ADS28" s="49"/>
      <c r="ADT28" s="49"/>
      <c r="ADU28" s="49"/>
      <c r="ADV28" s="49"/>
      <c r="ADW28" s="49"/>
      <c r="ADX28" s="49"/>
      <c r="ADY28" s="49"/>
      <c r="ADZ28" s="49"/>
      <c r="AEA28" s="49"/>
      <c r="AEB28" s="49"/>
      <c r="AEC28" s="49"/>
      <c r="AED28" s="49"/>
      <c r="AEE28" s="49"/>
      <c r="AEF28" s="49"/>
      <c r="AEG28" s="49"/>
      <c r="AEH28" s="49"/>
      <c r="AEI28" s="49"/>
      <c r="AEJ28" s="49"/>
      <c r="AEK28" s="49"/>
      <c r="AEL28" s="49"/>
      <c r="AEM28" s="49"/>
      <c r="AEN28" s="49"/>
      <c r="AEO28" s="49"/>
      <c r="AEP28" s="49"/>
      <c r="AEQ28" s="49"/>
      <c r="AER28" s="49"/>
      <c r="AES28" s="49"/>
      <c r="AET28" s="49"/>
      <c r="AEU28" s="49"/>
      <c r="AEV28" s="49"/>
      <c r="AEW28" s="49"/>
      <c r="AEX28" s="49"/>
      <c r="AEY28" s="49"/>
      <c r="AEZ28" s="49"/>
      <c r="AFA28" s="49"/>
      <c r="AFB28" s="49"/>
      <c r="AFC28" s="49"/>
      <c r="AFD28" s="49"/>
      <c r="AFE28" s="49"/>
      <c r="AFF28" s="49"/>
      <c r="AFG28" s="49"/>
      <c r="AFH28" s="49"/>
      <c r="AFI28" s="49"/>
      <c r="AFJ28" s="49"/>
      <c r="AFK28" s="49"/>
      <c r="AFL28" s="49"/>
      <c r="AFM28" s="49"/>
      <c r="AFN28" s="49"/>
      <c r="AFO28" s="49"/>
      <c r="AFP28" s="49"/>
      <c r="AFQ28" s="49"/>
      <c r="AFR28" s="49"/>
      <c r="AFS28" s="49"/>
      <c r="AFT28" s="49"/>
      <c r="AFU28" s="49"/>
      <c r="AFV28" s="49"/>
      <c r="AFW28" s="49"/>
      <c r="AFX28" s="49"/>
      <c r="AFY28" s="49"/>
      <c r="AFZ28" s="49"/>
      <c r="AGA28" s="49"/>
      <c r="AGB28" s="49"/>
      <c r="AGC28" s="49"/>
      <c r="AGD28" s="49"/>
      <c r="AGE28" s="49"/>
      <c r="AGF28" s="49"/>
      <c r="AGG28" s="49"/>
      <c r="AGH28" s="49"/>
      <c r="AGI28" s="49"/>
      <c r="AGJ28" s="49"/>
      <c r="AGK28" s="49"/>
      <c r="AGL28" s="49"/>
      <c r="AGM28" s="49"/>
      <c r="AGN28" s="49"/>
      <c r="AGO28" s="49"/>
      <c r="AGP28" s="49"/>
      <c r="AGQ28" s="49"/>
      <c r="AGR28" s="49"/>
      <c r="AGS28" s="49"/>
      <c r="AGT28" s="49"/>
      <c r="AGU28" s="49"/>
      <c r="AGV28" s="49"/>
      <c r="AGW28" s="49"/>
      <c r="AGX28" s="49"/>
      <c r="AGY28" s="49"/>
      <c r="AGZ28" s="49"/>
      <c r="AHA28" s="49"/>
      <c r="AHB28" s="49"/>
      <c r="AHC28" s="49"/>
      <c r="AHD28" s="49"/>
      <c r="AHE28" s="49"/>
      <c r="AHF28" s="49"/>
      <c r="AHG28" s="49"/>
      <c r="AHH28" s="49"/>
      <c r="AHI28" s="49"/>
      <c r="AHJ28" s="49"/>
      <c r="AHK28" s="49"/>
      <c r="AHL28" s="49"/>
      <c r="AHM28" s="49"/>
      <c r="AHN28" s="49"/>
      <c r="AHO28" s="49"/>
      <c r="AHP28" s="49"/>
      <c r="AHQ28" s="49"/>
      <c r="AHR28" s="49"/>
      <c r="AHS28" s="49"/>
      <c r="AHT28" s="49"/>
      <c r="AHU28" s="49"/>
      <c r="AHV28" s="49"/>
      <c r="AHW28" s="49"/>
      <c r="AHX28" s="49"/>
      <c r="AHY28" s="49"/>
      <c r="AHZ28" s="49"/>
      <c r="AIA28" s="49"/>
      <c r="AIB28" s="49"/>
      <c r="AIC28" s="49"/>
      <c r="AID28" s="49"/>
      <c r="AIE28" s="49"/>
      <c r="AIF28" s="49"/>
      <c r="AIG28" s="49"/>
      <c r="AIH28" s="49"/>
      <c r="AII28" s="49"/>
      <c r="AIJ28" s="49"/>
      <c r="AIK28" s="49"/>
      <c r="AIL28" s="49"/>
      <c r="AIM28" s="49"/>
      <c r="AIN28" s="49"/>
      <c r="AIO28" s="49"/>
      <c r="AIP28" s="49"/>
      <c r="AIQ28" s="49"/>
      <c r="AIR28" s="49"/>
      <c r="AIS28" s="49"/>
      <c r="AIT28" s="49"/>
      <c r="AIU28" s="49"/>
      <c r="AIV28" s="49"/>
      <c r="AIW28" s="49"/>
      <c r="AIX28" s="49"/>
      <c r="AIY28" s="49"/>
      <c r="AIZ28" s="49"/>
      <c r="AJA28" s="49"/>
      <c r="AJB28" s="49"/>
      <c r="AJC28" s="49"/>
      <c r="AJD28" s="49"/>
      <c r="AJE28" s="49"/>
      <c r="AJF28" s="49"/>
      <c r="AJG28" s="49"/>
      <c r="AJH28" s="49"/>
      <c r="AJI28" s="49"/>
      <c r="AJJ28" s="49"/>
      <c r="AJK28" s="49"/>
      <c r="AJL28" s="49"/>
      <c r="AJM28" s="49"/>
      <c r="AJN28" s="49"/>
      <c r="AJO28" s="49"/>
      <c r="AJP28" s="49"/>
      <c r="AJQ28" s="49"/>
      <c r="AJR28" s="49"/>
      <c r="AJS28" s="49"/>
      <c r="AJT28" s="49"/>
      <c r="AJU28" s="49"/>
      <c r="AJV28" s="49"/>
      <c r="AJW28" s="49"/>
      <c r="AJX28" s="49"/>
      <c r="AJY28" s="49"/>
      <c r="AJZ28" s="49"/>
      <c r="AKA28" s="49"/>
      <c r="AKB28" s="49"/>
      <c r="AKC28" s="49"/>
      <c r="AKD28" s="49"/>
      <c r="AKE28" s="49"/>
      <c r="AKF28" s="49"/>
      <c r="AKG28" s="49"/>
      <c r="AKH28" s="49"/>
      <c r="AKI28" s="49"/>
      <c r="AKJ28" s="49"/>
      <c r="AKK28" s="49"/>
      <c r="AKL28" s="49"/>
      <c r="AKM28" s="49"/>
      <c r="AKN28" s="49"/>
      <c r="AKO28" s="49"/>
      <c r="AKP28" s="49"/>
      <c r="AKQ28" s="49"/>
      <c r="AKR28" s="49"/>
      <c r="AKS28" s="49"/>
      <c r="AKT28" s="49"/>
      <c r="AKU28" s="49"/>
      <c r="AKV28" s="49"/>
      <c r="AKW28" s="49"/>
      <c r="AKX28" s="49"/>
      <c r="AKY28" s="49"/>
      <c r="AKZ28" s="49"/>
      <c r="ALA28" s="49"/>
      <c r="ALB28" s="49"/>
      <c r="ALC28" s="49"/>
      <c r="ALD28" s="49"/>
      <c r="ALE28" s="49"/>
      <c r="ALF28" s="49"/>
      <c r="ALG28" s="49"/>
      <c r="ALH28" s="49"/>
      <c r="ALI28" s="49"/>
      <c r="ALJ28" s="49"/>
      <c r="ALK28" s="49"/>
      <c r="ALL28" s="49"/>
      <c r="ALM28" s="49"/>
      <c r="ALN28" s="49"/>
      <c r="ALO28" s="49"/>
      <c r="ALP28" s="49"/>
      <c r="ALQ28" s="49"/>
      <c r="ALR28" s="49"/>
      <c r="ALS28" s="49"/>
      <c r="ALT28" s="49"/>
      <c r="ALU28" s="49"/>
      <c r="ALV28" s="49"/>
      <c r="ALW28" s="49"/>
      <c r="ALX28" s="49"/>
      <c r="ALY28" s="49"/>
      <c r="ALZ28" s="49"/>
      <c r="AMA28" s="49"/>
      <c r="AMB28" s="49"/>
      <c r="AMC28" s="49"/>
      <c r="AMD28" s="49"/>
      <c r="AME28" s="49"/>
      <c r="AMF28" s="49"/>
      <c r="AMG28" s="49"/>
      <c r="AMH28" s="49"/>
      <c r="AMI28" s="49"/>
      <c r="AMJ28" s="49"/>
      <c r="AMK28" s="49"/>
      <c r="AML28" s="49"/>
      <c r="AMM28" s="49"/>
      <c r="AMN28" s="49"/>
      <c r="AMO28" s="49"/>
      <c r="AMP28" s="49"/>
      <c r="AMQ28" s="49"/>
      <c r="AMR28" s="49"/>
      <c r="AMS28" s="49"/>
      <c r="AMT28" s="49"/>
      <c r="AMU28" s="49"/>
      <c r="AMV28" s="49"/>
      <c r="AMW28" s="49"/>
      <c r="AMX28" s="49"/>
      <c r="AMY28" s="49"/>
      <c r="AMZ28" s="49"/>
      <c r="ANA28" s="49"/>
      <c r="ANB28" s="49"/>
      <c r="ANC28" s="49"/>
      <c r="AND28" s="49"/>
      <c r="ANE28" s="49"/>
      <c r="ANF28" s="49"/>
      <c r="ANG28" s="49"/>
      <c r="ANH28" s="49"/>
      <c r="ANI28" s="49"/>
      <c r="ANJ28" s="49"/>
      <c r="ANK28" s="49"/>
      <c r="ANL28" s="49"/>
      <c r="ANM28" s="49"/>
      <c r="ANN28" s="49"/>
      <c r="ANO28" s="49"/>
      <c r="ANP28" s="49"/>
      <c r="ANQ28" s="49"/>
      <c r="ANR28" s="49"/>
      <c r="ANS28" s="49"/>
      <c r="ANT28" s="49"/>
      <c r="ANU28" s="49"/>
      <c r="ANV28" s="49"/>
      <c r="ANW28" s="49"/>
      <c r="ANX28" s="49"/>
      <c r="ANY28" s="49"/>
      <c r="ANZ28" s="49"/>
      <c r="AOA28" s="49"/>
      <c r="AOB28" s="49"/>
      <c r="AOC28" s="49"/>
      <c r="AOD28" s="49"/>
      <c r="AOE28" s="49"/>
      <c r="AOF28" s="49"/>
      <c r="AOG28" s="49"/>
      <c r="AOH28" s="49"/>
      <c r="AOI28" s="49"/>
      <c r="AOJ28" s="49"/>
      <c r="AOK28" s="49"/>
      <c r="AOL28" s="49"/>
      <c r="AOM28" s="49"/>
      <c r="AON28" s="49"/>
      <c r="AOO28" s="49"/>
      <c r="AOP28" s="49"/>
      <c r="AOQ28" s="49"/>
      <c r="AOR28" s="49"/>
      <c r="AOS28" s="49"/>
      <c r="AOT28" s="49"/>
      <c r="AOU28" s="49"/>
      <c r="AOV28" s="49"/>
      <c r="AOW28" s="49"/>
      <c r="AOX28" s="49"/>
      <c r="AOY28" s="49"/>
      <c r="AOZ28" s="49"/>
      <c r="APA28" s="49"/>
      <c r="APB28" s="49"/>
      <c r="APC28" s="49"/>
      <c r="APD28" s="49"/>
      <c r="APE28" s="49"/>
      <c r="APF28" s="49"/>
      <c r="APG28" s="49"/>
      <c r="APH28" s="49"/>
      <c r="API28" s="49"/>
      <c r="APJ28" s="49"/>
      <c r="APK28" s="49"/>
      <c r="APL28" s="49"/>
      <c r="APM28" s="49"/>
      <c r="APN28" s="49"/>
      <c r="APO28" s="49"/>
      <c r="APP28" s="49"/>
      <c r="APQ28" s="49"/>
      <c r="APR28" s="49"/>
      <c r="APS28" s="49"/>
      <c r="APT28" s="49"/>
      <c r="APU28" s="49"/>
      <c r="APV28" s="49"/>
      <c r="APW28" s="49"/>
      <c r="APX28" s="49"/>
      <c r="APY28" s="49"/>
      <c r="APZ28" s="49"/>
      <c r="AQA28" s="49"/>
      <c r="AQB28" s="49"/>
      <c r="AQC28" s="49"/>
      <c r="AQD28" s="49"/>
      <c r="AQE28" s="49"/>
      <c r="AQF28" s="49"/>
      <c r="AQG28" s="49"/>
      <c r="AQH28" s="49"/>
      <c r="AQI28" s="49"/>
      <c r="AQJ28" s="49"/>
      <c r="AQK28" s="49"/>
      <c r="AQL28" s="49"/>
      <c r="AQM28" s="49"/>
      <c r="AQN28" s="49"/>
      <c r="AQO28" s="49"/>
      <c r="AQP28" s="49"/>
      <c r="AQQ28" s="49"/>
      <c r="AQR28" s="49"/>
      <c r="AQS28" s="49"/>
      <c r="AQT28" s="49"/>
      <c r="AQU28" s="49"/>
      <c r="AQV28" s="49"/>
      <c r="AQW28" s="49"/>
      <c r="AQX28" s="49"/>
      <c r="AQY28" s="49"/>
      <c r="AQZ28" s="49"/>
      <c r="ARA28" s="49"/>
      <c r="ARB28" s="49"/>
      <c r="ARC28" s="49"/>
      <c r="ARD28" s="49"/>
      <c r="ARE28" s="49"/>
      <c r="ARF28" s="49"/>
      <c r="ARG28" s="49"/>
      <c r="ARH28" s="49"/>
      <c r="ARI28" s="49"/>
      <c r="ARJ28" s="49"/>
      <c r="ARK28" s="49"/>
      <c r="ARL28" s="49"/>
      <c r="ARM28" s="49"/>
      <c r="ARN28" s="49"/>
      <c r="ARO28" s="49"/>
      <c r="ARP28" s="49"/>
      <c r="ARQ28" s="49"/>
      <c r="ARR28" s="49"/>
      <c r="ARS28" s="49"/>
      <c r="ART28" s="49"/>
      <c r="ARU28" s="49"/>
      <c r="ARV28" s="49"/>
      <c r="ARW28" s="49"/>
      <c r="ARX28" s="49"/>
      <c r="ARY28" s="49"/>
      <c r="ARZ28" s="49"/>
      <c r="ASA28" s="49"/>
      <c r="ASB28" s="49"/>
      <c r="ASC28" s="49"/>
      <c r="ASD28" s="49"/>
      <c r="ASE28" s="49"/>
      <c r="ASF28" s="49"/>
      <c r="ASG28" s="49"/>
      <c r="ASH28" s="49"/>
      <c r="ASI28" s="49"/>
      <c r="ASJ28" s="49"/>
      <c r="ASK28" s="49"/>
      <c r="ASL28" s="49"/>
      <c r="ASM28" s="49"/>
      <c r="ASN28" s="49"/>
      <c r="ASO28" s="49"/>
      <c r="ASP28" s="49"/>
      <c r="ASQ28" s="49"/>
      <c r="ASR28" s="49"/>
      <c r="ASS28" s="49"/>
      <c r="AST28" s="49"/>
      <c r="ASU28" s="49"/>
      <c r="ASV28" s="49"/>
      <c r="ASW28" s="49"/>
      <c r="ASX28" s="49"/>
      <c r="ASY28" s="49"/>
      <c r="ASZ28" s="49"/>
      <c r="ATA28" s="49"/>
      <c r="ATB28" s="49"/>
      <c r="ATC28" s="49"/>
      <c r="ATD28" s="49"/>
      <c r="ATE28" s="49"/>
      <c r="ATF28" s="49"/>
      <c r="ATG28" s="49"/>
      <c r="ATH28" s="49"/>
      <c r="ATI28" s="49"/>
      <c r="ATJ28" s="49"/>
      <c r="ATK28" s="49"/>
      <c r="ATL28" s="49"/>
      <c r="ATM28" s="49"/>
      <c r="ATN28" s="49"/>
      <c r="ATO28" s="49"/>
      <c r="ATP28" s="49"/>
      <c r="ATQ28" s="49"/>
      <c r="ATR28" s="49"/>
      <c r="ATS28" s="49"/>
      <c r="ATT28" s="49"/>
      <c r="ATU28" s="49"/>
      <c r="ATV28" s="49"/>
      <c r="ATW28" s="49"/>
      <c r="ATX28" s="49"/>
      <c r="ATY28" s="49"/>
      <c r="ATZ28" s="49"/>
      <c r="AUA28" s="49"/>
      <c r="AUB28" s="49"/>
      <c r="AUC28" s="49"/>
      <c r="AUD28" s="49"/>
      <c r="AUE28" s="49"/>
      <c r="AUF28" s="49"/>
      <c r="AUG28" s="49"/>
      <c r="AUH28" s="49"/>
      <c r="AUI28" s="49"/>
      <c r="AUJ28" s="49"/>
      <c r="AUK28" s="49"/>
      <c r="AUL28" s="49"/>
      <c r="AUM28" s="49"/>
      <c r="AUN28" s="49"/>
      <c r="AUO28" s="49"/>
      <c r="AUP28" s="49"/>
      <c r="AUQ28" s="49"/>
      <c r="AUR28" s="49"/>
      <c r="AUS28" s="49"/>
      <c r="AUT28" s="49"/>
      <c r="AUU28" s="49"/>
      <c r="AUV28" s="49"/>
      <c r="AUW28" s="49"/>
      <c r="AUX28" s="49"/>
      <c r="AUY28" s="49"/>
      <c r="AUZ28" s="49"/>
      <c r="AVA28" s="49"/>
      <c r="AVB28" s="49"/>
      <c r="AVC28" s="49"/>
      <c r="AVD28" s="49"/>
      <c r="AVE28" s="49"/>
      <c r="AVF28" s="49"/>
      <c r="AVG28" s="49"/>
      <c r="AVH28" s="49"/>
      <c r="AVI28" s="49"/>
      <c r="AVJ28" s="49"/>
      <c r="AVK28" s="49"/>
      <c r="AVL28" s="49"/>
      <c r="AVM28" s="49"/>
      <c r="AVN28" s="49"/>
      <c r="AVO28" s="49"/>
      <c r="AVP28" s="49"/>
      <c r="AVQ28" s="49"/>
      <c r="AVR28" s="49"/>
      <c r="AVS28" s="49"/>
      <c r="AVT28" s="49"/>
      <c r="AVU28" s="49"/>
      <c r="AVV28" s="49"/>
      <c r="AVW28" s="49"/>
      <c r="AVX28" s="49"/>
      <c r="AVY28" s="49"/>
      <c r="AVZ28" s="49"/>
      <c r="AWA28" s="49"/>
      <c r="AWB28" s="49"/>
      <c r="AWC28" s="49"/>
      <c r="AWD28" s="49"/>
      <c r="AWE28" s="49"/>
      <c r="AWF28" s="49"/>
      <c r="AWG28" s="49"/>
      <c r="AWH28" s="49"/>
      <c r="AWI28" s="49"/>
      <c r="AWJ28" s="49"/>
      <c r="AWK28" s="49"/>
      <c r="AWL28" s="49"/>
      <c r="AWM28" s="49"/>
      <c r="AWN28" s="49"/>
      <c r="AWO28" s="49"/>
      <c r="AWP28" s="49"/>
      <c r="AWQ28" s="49"/>
      <c r="AWR28" s="49"/>
      <c r="AWS28" s="49"/>
      <c r="AWT28" s="49"/>
      <c r="AWU28" s="49"/>
      <c r="AWV28" s="49"/>
      <c r="AWW28" s="49"/>
      <c r="AWX28" s="49"/>
      <c r="AWY28" s="49"/>
      <c r="AWZ28" s="49"/>
      <c r="AXA28" s="49"/>
      <c r="AXB28" s="49"/>
      <c r="AXC28" s="49"/>
      <c r="AXD28" s="49"/>
      <c r="AXE28" s="49"/>
      <c r="AXF28" s="49"/>
      <c r="AXG28" s="49"/>
      <c r="AXH28" s="49"/>
      <c r="AXI28" s="49"/>
      <c r="AXJ28" s="49"/>
      <c r="AXK28" s="49"/>
      <c r="AXL28" s="49"/>
      <c r="AXM28" s="49"/>
      <c r="AXN28" s="49"/>
      <c r="AXO28" s="49"/>
      <c r="AXP28" s="49"/>
      <c r="AXQ28" s="49"/>
      <c r="AXR28" s="49"/>
      <c r="AXS28" s="49"/>
      <c r="AXT28" s="49"/>
      <c r="AXU28" s="49"/>
      <c r="AXV28" s="49"/>
      <c r="AXW28" s="49"/>
      <c r="AXX28" s="49"/>
      <c r="AXY28" s="49"/>
      <c r="AXZ28" s="49"/>
      <c r="AYA28" s="49"/>
      <c r="AYB28" s="49"/>
      <c r="AYC28" s="49"/>
      <c r="AYD28" s="49"/>
      <c r="AYE28" s="49"/>
      <c r="AYF28" s="49"/>
      <c r="AYG28" s="49"/>
      <c r="AYH28" s="49"/>
      <c r="AYI28" s="49"/>
      <c r="AYJ28" s="49"/>
      <c r="AYK28" s="49"/>
      <c r="AYL28" s="49"/>
      <c r="AYM28" s="49"/>
      <c r="AYN28" s="49"/>
      <c r="AYO28" s="49"/>
      <c r="AYP28" s="49"/>
      <c r="AYQ28" s="49"/>
      <c r="AYR28" s="49"/>
      <c r="AYS28" s="49"/>
      <c r="AYT28" s="49"/>
      <c r="AYU28" s="49"/>
      <c r="AYV28" s="49"/>
      <c r="AYW28" s="49"/>
      <c r="AYX28" s="49"/>
      <c r="AYY28" s="49"/>
      <c r="AYZ28" s="49"/>
      <c r="AZA28" s="49"/>
      <c r="AZB28" s="49"/>
      <c r="AZC28" s="49"/>
      <c r="AZD28" s="49"/>
      <c r="AZE28" s="49"/>
      <c r="AZF28" s="49"/>
      <c r="AZG28" s="49"/>
      <c r="AZH28" s="49"/>
      <c r="AZI28" s="49"/>
      <c r="AZJ28" s="49"/>
      <c r="AZK28" s="49"/>
      <c r="AZL28" s="49"/>
      <c r="AZM28" s="49"/>
      <c r="AZN28" s="49"/>
      <c r="AZO28" s="49"/>
      <c r="AZP28" s="49"/>
      <c r="AZQ28" s="49"/>
      <c r="AZR28" s="49"/>
      <c r="AZS28" s="49"/>
      <c r="AZT28" s="49"/>
      <c r="AZU28" s="49"/>
      <c r="AZV28" s="49"/>
      <c r="AZW28" s="49"/>
      <c r="AZX28" s="49"/>
      <c r="AZY28" s="49"/>
      <c r="AZZ28" s="49"/>
      <c r="BAA28" s="49"/>
      <c r="BAB28" s="49"/>
      <c r="BAC28" s="49"/>
      <c r="BAD28" s="49"/>
      <c r="BAE28" s="49"/>
      <c r="BAF28" s="49"/>
      <c r="BAG28" s="49"/>
      <c r="BAH28" s="49"/>
      <c r="BAI28" s="49"/>
      <c r="BAJ28" s="49"/>
      <c r="BAK28" s="49"/>
      <c r="BAL28" s="49"/>
      <c r="BAM28" s="49"/>
      <c r="BAN28" s="49"/>
      <c r="BAO28" s="49"/>
      <c r="BAP28" s="49"/>
      <c r="BAQ28" s="49"/>
      <c r="BAR28" s="49"/>
      <c r="BAS28" s="49"/>
      <c r="BAT28" s="49"/>
      <c r="BAU28" s="49"/>
      <c r="BAV28" s="49"/>
      <c r="BAW28" s="49"/>
      <c r="BAX28" s="49"/>
      <c r="BAY28" s="49"/>
      <c r="BAZ28" s="49"/>
      <c r="BBA28" s="49"/>
      <c r="BBB28" s="49"/>
      <c r="BBC28" s="49"/>
      <c r="BBD28" s="49"/>
      <c r="BBE28" s="49"/>
      <c r="BBF28" s="49"/>
      <c r="BBG28" s="49"/>
      <c r="BBH28" s="49"/>
      <c r="BBI28" s="49"/>
      <c r="BBJ28" s="49"/>
      <c r="BBK28" s="49"/>
      <c r="BBL28" s="49"/>
      <c r="BBM28" s="49"/>
      <c r="BBN28" s="49"/>
      <c r="BBO28" s="49"/>
      <c r="BBP28" s="49"/>
      <c r="BBQ28" s="49"/>
      <c r="BBR28" s="49"/>
      <c r="BBS28" s="49"/>
      <c r="BBT28" s="49"/>
      <c r="BBU28" s="49"/>
      <c r="BBV28" s="49"/>
      <c r="BBW28" s="49"/>
      <c r="BBX28" s="49"/>
      <c r="BBY28" s="49"/>
      <c r="BBZ28" s="49"/>
      <c r="BCA28" s="49"/>
      <c r="BCB28" s="49"/>
      <c r="BCC28" s="49"/>
      <c r="BCD28" s="49"/>
      <c r="BCE28" s="49"/>
      <c r="BCF28" s="49"/>
      <c r="BCG28" s="49"/>
      <c r="BCH28" s="49"/>
      <c r="BCI28" s="49"/>
      <c r="BCJ28" s="49"/>
      <c r="BCK28" s="49"/>
      <c r="BCL28" s="49"/>
      <c r="BCM28" s="49"/>
      <c r="BCN28" s="49"/>
    </row>
    <row r="29" spans="1:1444" s="47" customFormat="1">
      <c r="A29" s="52"/>
      <c r="B29" s="94">
        <v>45772</v>
      </c>
      <c r="C29" s="94" t="s">
        <v>196</v>
      </c>
      <c r="D29" s="95">
        <v>58</v>
      </c>
      <c r="E29" s="95">
        <v>119.47499999994761</v>
      </c>
      <c r="F29" s="95">
        <v>0</v>
      </c>
      <c r="G29" s="95">
        <v>24.599999999998545</v>
      </c>
      <c r="H29" s="95">
        <v>32</v>
      </c>
      <c r="I29" s="95">
        <v>38</v>
      </c>
      <c r="J29" s="95">
        <v>1049.1999999999998</v>
      </c>
      <c r="K29" s="95">
        <v>1495.1064000011734</v>
      </c>
      <c r="L29" s="95">
        <v>0</v>
      </c>
      <c r="M29" s="155">
        <v>0</v>
      </c>
      <c r="N29" s="141">
        <f>'units overall'!O29</f>
        <v>2829.3814000011193</v>
      </c>
      <c r="O29" s="81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49"/>
      <c r="DS29" s="49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/>
      <c r="EP29" s="49"/>
      <c r="EQ29" s="49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49"/>
      <c r="FF29" s="49"/>
      <c r="FG29" s="49"/>
      <c r="FH29" s="49"/>
      <c r="FI29" s="49"/>
      <c r="FJ29" s="49"/>
      <c r="FK29" s="49"/>
      <c r="FL29" s="49"/>
      <c r="FM29" s="49"/>
      <c r="FN29" s="49"/>
      <c r="FO29" s="49"/>
      <c r="FP29" s="49"/>
      <c r="FQ29" s="49"/>
      <c r="FR29" s="49"/>
      <c r="FS29" s="49"/>
      <c r="FT29" s="49"/>
      <c r="FU29" s="49"/>
      <c r="FV29" s="49"/>
      <c r="FW29" s="49"/>
      <c r="FX29" s="49"/>
      <c r="FY29" s="49"/>
      <c r="FZ29" s="49"/>
      <c r="GA29" s="49"/>
      <c r="GB29" s="49"/>
      <c r="GC29" s="49"/>
      <c r="GD29" s="49"/>
      <c r="GE29" s="49"/>
      <c r="GF29" s="49"/>
      <c r="GG29" s="49"/>
      <c r="GH29" s="49"/>
      <c r="GI29" s="49"/>
      <c r="GJ29" s="49"/>
      <c r="GK29" s="49"/>
      <c r="GL29" s="49"/>
      <c r="GM29" s="49"/>
      <c r="GN29" s="49"/>
      <c r="GO29" s="49"/>
      <c r="GP29" s="49"/>
      <c r="GQ29" s="49"/>
      <c r="GR29" s="49"/>
      <c r="GS29" s="49"/>
      <c r="GT29" s="49"/>
      <c r="GU29" s="49"/>
      <c r="GV29" s="49"/>
      <c r="GW29" s="49"/>
      <c r="GX29" s="49"/>
      <c r="GY29" s="49"/>
      <c r="GZ29" s="49"/>
      <c r="HA29" s="49"/>
      <c r="HB29" s="49"/>
      <c r="HC29" s="49"/>
      <c r="HD29" s="49"/>
      <c r="HE29" s="49"/>
      <c r="HF29" s="49"/>
      <c r="HG29" s="49"/>
      <c r="HH29" s="49"/>
      <c r="HI29" s="49"/>
      <c r="HJ29" s="49"/>
      <c r="HK29" s="49"/>
      <c r="HL29" s="49"/>
      <c r="HM29" s="49"/>
      <c r="HN29" s="49"/>
      <c r="HO29" s="49"/>
      <c r="HP29" s="49"/>
      <c r="HQ29" s="49"/>
      <c r="HR29" s="49"/>
      <c r="HS29" s="49"/>
      <c r="HT29" s="49"/>
      <c r="HU29" s="49"/>
      <c r="HV29" s="49"/>
      <c r="HW29" s="49"/>
      <c r="HX29" s="49"/>
      <c r="HY29" s="49"/>
      <c r="HZ29" s="49"/>
      <c r="IA29" s="49"/>
      <c r="IB29" s="49"/>
      <c r="IC29" s="49"/>
      <c r="ID29" s="49"/>
      <c r="IE29" s="49"/>
      <c r="IF29" s="49"/>
      <c r="IG29" s="49"/>
      <c r="IH29" s="49"/>
      <c r="II29" s="49"/>
      <c r="IJ29" s="49"/>
      <c r="IK29" s="49"/>
      <c r="IL29" s="49"/>
      <c r="IM29" s="49"/>
      <c r="IN29" s="49"/>
      <c r="IO29" s="49"/>
      <c r="IP29" s="49"/>
      <c r="IQ29" s="49"/>
      <c r="IR29" s="49"/>
      <c r="IS29" s="49"/>
      <c r="IT29" s="49"/>
      <c r="IU29" s="49"/>
      <c r="IV29" s="49"/>
      <c r="IW29" s="49"/>
      <c r="IX29" s="49"/>
      <c r="IY29" s="49"/>
      <c r="IZ29" s="49"/>
      <c r="JA29" s="49"/>
      <c r="JB29" s="49"/>
      <c r="JC29" s="49"/>
      <c r="JD29" s="49"/>
      <c r="JE29" s="49"/>
      <c r="JF29" s="49"/>
      <c r="JG29" s="49"/>
      <c r="JH29" s="49"/>
      <c r="JI29" s="49"/>
      <c r="JJ29" s="49"/>
      <c r="JK29" s="49"/>
      <c r="JL29" s="49"/>
      <c r="JM29" s="49"/>
      <c r="JN29" s="49"/>
      <c r="JO29" s="49"/>
      <c r="JP29" s="49"/>
      <c r="JQ29" s="49"/>
      <c r="JR29" s="49"/>
      <c r="JS29" s="49"/>
      <c r="JT29" s="49"/>
      <c r="JU29" s="49"/>
      <c r="JV29" s="49"/>
      <c r="JW29" s="49"/>
      <c r="JX29" s="49"/>
      <c r="JY29" s="49"/>
      <c r="JZ29" s="49"/>
      <c r="KA29" s="49"/>
      <c r="KB29" s="49"/>
      <c r="KC29" s="49"/>
      <c r="KD29" s="49"/>
      <c r="KE29" s="49"/>
      <c r="KF29" s="49"/>
      <c r="KG29" s="49"/>
      <c r="KH29" s="49"/>
      <c r="KI29" s="49"/>
      <c r="KJ29" s="49"/>
      <c r="KK29" s="49"/>
      <c r="KL29" s="49"/>
      <c r="KM29" s="49"/>
      <c r="KN29" s="49"/>
      <c r="KO29" s="49"/>
      <c r="KP29" s="49"/>
      <c r="KQ29" s="49"/>
      <c r="KR29" s="49"/>
      <c r="KS29" s="49"/>
      <c r="KT29" s="49"/>
      <c r="KU29" s="49"/>
      <c r="KV29" s="49"/>
      <c r="KW29" s="49"/>
      <c r="KX29" s="49"/>
      <c r="KY29" s="49"/>
      <c r="KZ29" s="49"/>
      <c r="LA29" s="49"/>
      <c r="LB29" s="49"/>
      <c r="LC29" s="49"/>
      <c r="LD29" s="49"/>
      <c r="LE29" s="49"/>
      <c r="LF29" s="49"/>
      <c r="LG29" s="49"/>
      <c r="LH29" s="49"/>
      <c r="LI29" s="49"/>
      <c r="LJ29" s="49"/>
      <c r="LK29" s="49"/>
      <c r="LL29" s="49"/>
      <c r="LM29" s="49"/>
      <c r="LN29" s="49"/>
      <c r="LO29" s="49"/>
      <c r="LP29" s="49"/>
      <c r="LQ29" s="49"/>
      <c r="LR29" s="49"/>
      <c r="LS29" s="49"/>
      <c r="LT29" s="49"/>
      <c r="LU29" s="49"/>
      <c r="LV29" s="49"/>
      <c r="LW29" s="49"/>
      <c r="LX29" s="49"/>
      <c r="LY29" s="49"/>
      <c r="LZ29" s="49"/>
      <c r="MA29" s="49"/>
      <c r="MB29" s="49"/>
      <c r="MC29" s="49"/>
      <c r="MD29" s="49"/>
      <c r="ME29" s="49"/>
      <c r="MF29" s="49"/>
      <c r="MG29" s="49"/>
      <c r="MH29" s="49"/>
      <c r="MI29" s="49"/>
      <c r="MJ29" s="49"/>
      <c r="MK29" s="49"/>
      <c r="ML29" s="49"/>
      <c r="MM29" s="49"/>
      <c r="MN29" s="49"/>
      <c r="MO29" s="49"/>
      <c r="MP29" s="49"/>
      <c r="MQ29" s="49"/>
      <c r="MR29" s="49"/>
      <c r="MS29" s="49"/>
      <c r="MT29" s="49"/>
      <c r="MU29" s="49"/>
      <c r="MV29" s="49"/>
      <c r="MW29" s="49"/>
      <c r="MX29" s="49"/>
      <c r="MY29" s="49"/>
      <c r="MZ29" s="49"/>
      <c r="NA29" s="49"/>
      <c r="NB29" s="49"/>
      <c r="NC29" s="49"/>
      <c r="ND29" s="49"/>
      <c r="NE29" s="49"/>
      <c r="NF29" s="49"/>
      <c r="NG29" s="49"/>
      <c r="NH29" s="49"/>
      <c r="NI29" s="49"/>
      <c r="NJ29" s="49"/>
      <c r="NK29" s="49"/>
      <c r="NL29" s="49"/>
      <c r="NM29" s="49"/>
      <c r="NN29" s="49"/>
      <c r="NO29" s="49"/>
      <c r="NP29" s="49"/>
      <c r="NQ29" s="49"/>
      <c r="NR29" s="49"/>
      <c r="NS29" s="49"/>
      <c r="NT29" s="49"/>
      <c r="NU29" s="49"/>
      <c r="NV29" s="49"/>
      <c r="NW29" s="49"/>
      <c r="NX29" s="49"/>
      <c r="NY29" s="49"/>
      <c r="NZ29" s="49"/>
      <c r="OA29" s="49"/>
      <c r="OB29" s="49"/>
      <c r="OC29" s="49"/>
      <c r="OD29" s="49"/>
      <c r="OE29" s="49"/>
      <c r="OF29" s="49"/>
      <c r="OG29" s="49"/>
      <c r="OH29" s="49"/>
      <c r="OI29" s="49"/>
      <c r="OJ29" s="49"/>
      <c r="OK29" s="49"/>
      <c r="OL29" s="49"/>
      <c r="OM29" s="49"/>
      <c r="ON29" s="49"/>
      <c r="OO29" s="49"/>
      <c r="OP29" s="49"/>
      <c r="OQ29" s="49"/>
      <c r="OR29" s="49"/>
      <c r="OS29" s="49"/>
      <c r="OT29" s="49"/>
      <c r="OU29" s="49"/>
      <c r="OV29" s="49"/>
      <c r="OW29" s="49"/>
      <c r="OX29" s="49"/>
      <c r="OY29" s="49"/>
      <c r="OZ29" s="49"/>
      <c r="PA29" s="49"/>
      <c r="PB29" s="49"/>
      <c r="PC29" s="49"/>
      <c r="PD29" s="49"/>
      <c r="PE29" s="49"/>
      <c r="PF29" s="49"/>
      <c r="PG29" s="49"/>
      <c r="PH29" s="49"/>
      <c r="PI29" s="49"/>
      <c r="PJ29" s="49"/>
      <c r="PK29" s="49"/>
      <c r="PL29" s="49"/>
      <c r="PM29" s="49"/>
      <c r="PN29" s="49"/>
      <c r="PO29" s="49"/>
      <c r="PP29" s="49"/>
      <c r="PQ29" s="49"/>
      <c r="PR29" s="49"/>
      <c r="PS29" s="49"/>
      <c r="PT29" s="49"/>
      <c r="PU29" s="49"/>
      <c r="PV29" s="49"/>
      <c r="PW29" s="49"/>
      <c r="PX29" s="49"/>
      <c r="PY29" s="49"/>
      <c r="PZ29" s="49"/>
      <c r="QA29" s="49"/>
      <c r="QB29" s="49"/>
      <c r="QC29" s="49"/>
      <c r="QD29" s="49"/>
      <c r="QE29" s="49"/>
      <c r="QF29" s="49"/>
      <c r="QG29" s="49"/>
      <c r="QH29" s="49"/>
      <c r="QI29" s="49"/>
      <c r="QJ29" s="49"/>
      <c r="QK29" s="49"/>
      <c r="QL29" s="49"/>
      <c r="QM29" s="49"/>
      <c r="QN29" s="49"/>
      <c r="QO29" s="49"/>
      <c r="QP29" s="49"/>
      <c r="QQ29" s="49"/>
      <c r="QR29" s="49"/>
      <c r="QS29" s="49"/>
      <c r="QT29" s="49"/>
      <c r="QU29" s="49"/>
      <c r="QV29" s="49"/>
      <c r="QW29" s="49"/>
      <c r="QX29" s="49"/>
      <c r="QY29" s="49"/>
      <c r="QZ29" s="49"/>
      <c r="RA29" s="49"/>
      <c r="RB29" s="49"/>
      <c r="RC29" s="49"/>
      <c r="RD29" s="49"/>
      <c r="RE29" s="49"/>
      <c r="RF29" s="49"/>
      <c r="RG29" s="49"/>
      <c r="RH29" s="49"/>
      <c r="RI29" s="49"/>
      <c r="RJ29" s="49"/>
      <c r="RK29" s="49"/>
      <c r="RL29" s="49"/>
      <c r="RM29" s="49"/>
      <c r="RN29" s="49"/>
      <c r="RO29" s="49"/>
      <c r="RP29" s="49"/>
      <c r="RQ29" s="49"/>
      <c r="RR29" s="49"/>
      <c r="RS29" s="49"/>
      <c r="RT29" s="49"/>
      <c r="RU29" s="49"/>
      <c r="RV29" s="49"/>
      <c r="RW29" s="49"/>
      <c r="RX29" s="49"/>
      <c r="RY29" s="49"/>
      <c r="RZ29" s="49"/>
      <c r="SA29" s="49"/>
      <c r="SB29" s="49"/>
      <c r="SC29" s="49"/>
      <c r="SD29" s="49"/>
      <c r="SE29" s="49"/>
      <c r="SF29" s="49"/>
      <c r="SG29" s="49"/>
      <c r="SH29" s="49"/>
      <c r="SI29" s="49"/>
      <c r="SJ29" s="49"/>
      <c r="SK29" s="49"/>
      <c r="SL29" s="49"/>
      <c r="SM29" s="49"/>
      <c r="SN29" s="49"/>
      <c r="SO29" s="49"/>
      <c r="SP29" s="49"/>
      <c r="SQ29" s="49"/>
      <c r="SR29" s="49"/>
      <c r="SS29" s="49"/>
      <c r="ST29" s="49"/>
      <c r="SU29" s="49"/>
      <c r="SV29" s="49"/>
      <c r="SW29" s="49"/>
      <c r="SX29" s="49"/>
      <c r="SY29" s="49"/>
      <c r="SZ29" s="49"/>
      <c r="TA29" s="49"/>
      <c r="TB29" s="49"/>
      <c r="TC29" s="49"/>
      <c r="TD29" s="49"/>
      <c r="TE29" s="49"/>
      <c r="TF29" s="49"/>
      <c r="TG29" s="49"/>
      <c r="TH29" s="49"/>
      <c r="TI29" s="49"/>
      <c r="TJ29" s="49"/>
      <c r="TK29" s="49"/>
      <c r="TL29" s="49"/>
      <c r="TM29" s="49"/>
      <c r="TN29" s="49"/>
      <c r="TO29" s="49"/>
      <c r="TP29" s="49"/>
      <c r="TQ29" s="49"/>
      <c r="TR29" s="49"/>
      <c r="TS29" s="49"/>
      <c r="TT29" s="49"/>
      <c r="TU29" s="49"/>
      <c r="TV29" s="49"/>
      <c r="TW29" s="49"/>
      <c r="TX29" s="49"/>
      <c r="TY29" s="49"/>
      <c r="TZ29" s="49"/>
      <c r="UA29" s="49"/>
      <c r="UB29" s="49"/>
      <c r="UC29" s="49"/>
      <c r="UD29" s="49"/>
      <c r="UE29" s="49"/>
      <c r="UF29" s="49"/>
      <c r="UG29" s="49"/>
      <c r="UH29" s="49"/>
      <c r="UI29" s="49"/>
      <c r="UJ29" s="49"/>
      <c r="UK29" s="49"/>
      <c r="UL29" s="49"/>
      <c r="UM29" s="49"/>
      <c r="UN29" s="49"/>
      <c r="UO29" s="49"/>
      <c r="UP29" s="49"/>
      <c r="UQ29" s="49"/>
      <c r="UR29" s="49"/>
      <c r="US29" s="49"/>
      <c r="UT29" s="49"/>
      <c r="UU29" s="49"/>
      <c r="UV29" s="49"/>
      <c r="UW29" s="49"/>
      <c r="UX29" s="49"/>
      <c r="UY29" s="49"/>
      <c r="UZ29" s="49"/>
      <c r="VA29" s="49"/>
      <c r="VB29" s="49"/>
      <c r="VC29" s="49"/>
      <c r="VD29" s="49"/>
      <c r="VE29" s="49"/>
      <c r="VF29" s="49"/>
      <c r="VG29" s="49"/>
      <c r="VH29" s="49"/>
      <c r="VI29" s="49"/>
      <c r="VJ29" s="49"/>
      <c r="VK29" s="49"/>
      <c r="VL29" s="49"/>
      <c r="VM29" s="49"/>
      <c r="VN29" s="49"/>
      <c r="VO29" s="49"/>
      <c r="VP29" s="49"/>
      <c r="VQ29" s="49"/>
      <c r="VR29" s="49"/>
      <c r="VS29" s="49"/>
      <c r="VT29" s="49"/>
      <c r="VU29" s="49"/>
      <c r="VV29" s="49"/>
      <c r="VW29" s="49"/>
      <c r="VX29" s="49"/>
      <c r="VY29" s="49"/>
      <c r="VZ29" s="49"/>
      <c r="WA29" s="49"/>
      <c r="WB29" s="49"/>
      <c r="WC29" s="49"/>
      <c r="WD29" s="49"/>
      <c r="WE29" s="49"/>
      <c r="WF29" s="49"/>
      <c r="WG29" s="49"/>
      <c r="WH29" s="49"/>
      <c r="WI29" s="49"/>
      <c r="WJ29" s="49"/>
      <c r="WK29" s="49"/>
      <c r="WL29" s="49"/>
      <c r="WM29" s="49"/>
      <c r="WN29" s="49"/>
      <c r="WO29" s="49"/>
      <c r="WP29" s="49"/>
      <c r="WQ29" s="49"/>
      <c r="WR29" s="49"/>
      <c r="WS29" s="49"/>
      <c r="WT29" s="49"/>
      <c r="WU29" s="49"/>
      <c r="WV29" s="49"/>
      <c r="WW29" s="49"/>
      <c r="WX29" s="49"/>
      <c r="WY29" s="49"/>
      <c r="WZ29" s="49"/>
      <c r="XA29" s="49"/>
      <c r="XB29" s="49"/>
      <c r="XC29" s="49"/>
      <c r="XD29" s="49"/>
      <c r="XE29" s="49"/>
      <c r="XF29" s="49"/>
      <c r="XG29" s="49"/>
      <c r="XH29" s="49"/>
      <c r="XI29" s="49"/>
      <c r="XJ29" s="49"/>
      <c r="XK29" s="49"/>
      <c r="XL29" s="49"/>
      <c r="XM29" s="49"/>
      <c r="XN29" s="49"/>
      <c r="XO29" s="49"/>
      <c r="XP29" s="49"/>
      <c r="XQ29" s="49"/>
      <c r="XR29" s="49"/>
      <c r="XS29" s="49"/>
      <c r="XT29" s="49"/>
      <c r="XU29" s="49"/>
      <c r="XV29" s="49"/>
      <c r="XW29" s="49"/>
      <c r="XX29" s="49"/>
      <c r="XY29" s="49"/>
      <c r="XZ29" s="49"/>
      <c r="YA29" s="49"/>
      <c r="YB29" s="49"/>
      <c r="YC29" s="49"/>
      <c r="YD29" s="49"/>
      <c r="YE29" s="49"/>
      <c r="YF29" s="49"/>
      <c r="YG29" s="49"/>
      <c r="YH29" s="49"/>
      <c r="YI29" s="49"/>
      <c r="YJ29" s="49"/>
      <c r="YK29" s="49"/>
      <c r="YL29" s="49"/>
      <c r="YM29" s="49"/>
      <c r="YN29" s="49"/>
      <c r="YO29" s="49"/>
      <c r="YP29" s="49"/>
      <c r="YQ29" s="49"/>
      <c r="YR29" s="49"/>
      <c r="YS29" s="49"/>
      <c r="YT29" s="49"/>
      <c r="YU29" s="49"/>
      <c r="YV29" s="49"/>
      <c r="YW29" s="49"/>
      <c r="YX29" s="49"/>
      <c r="YY29" s="49"/>
      <c r="YZ29" s="49"/>
      <c r="ZA29" s="49"/>
      <c r="ZB29" s="49"/>
      <c r="ZC29" s="49"/>
      <c r="ZD29" s="49"/>
      <c r="ZE29" s="49"/>
      <c r="ZF29" s="49"/>
      <c r="ZG29" s="49"/>
      <c r="ZH29" s="49"/>
      <c r="ZI29" s="49"/>
      <c r="ZJ29" s="49"/>
      <c r="ZK29" s="49"/>
      <c r="ZL29" s="49"/>
      <c r="ZM29" s="49"/>
      <c r="ZN29" s="49"/>
      <c r="ZO29" s="49"/>
      <c r="ZP29" s="49"/>
      <c r="ZQ29" s="49"/>
      <c r="ZR29" s="49"/>
      <c r="ZS29" s="49"/>
      <c r="ZT29" s="49"/>
      <c r="ZU29" s="49"/>
      <c r="ZV29" s="49"/>
      <c r="ZW29" s="49"/>
      <c r="ZX29" s="49"/>
      <c r="ZY29" s="49"/>
      <c r="ZZ29" s="49"/>
      <c r="AAA29" s="49"/>
      <c r="AAB29" s="49"/>
      <c r="AAC29" s="49"/>
      <c r="AAD29" s="49"/>
      <c r="AAE29" s="49"/>
      <c r="AAF29" s="49"/>
      <c r="AAG29" s="49"/>
      <c r="AAH29" s="49"/>
      <c r="AAI29" s="49"/>
      <c r="AAJ29" s="49"/>
      <c r="AAK29" s="49"/>
      <c r="AAL29" s="49"/>
      <c r="AAM29" s="49"/>
      <c r="AAN29" s="49"/>
      <c r="AAO29" s="49"/>
      <c r="AAP29" s="49"/>
      <c r="AAQ29" s="49"/>
      <c r="AAR29" s="49"/>
      <c r="AAS29" s="49"/>
      <c r="AAT29" s="49"/>
      <c r="AAU29" s="49"/>
      <c r="AAV29" s="49"/>
      <c r="AAW29" s="49"/>
      <c r="AAX29" s="49"/>
      <c r="AAY29" s="49"/>
      <c r="AAZ29" s="49"/>
      <c r="ABA29" s="49"/>
      <c r="ABB29" s="49"/>
      <c r="ABC29" s="49"/>
      <c r="ABD29" s="49"/>
      <c r="ABE29" s="49"/>
      <c r="ABF29" s="49"/>
      <c r="ABG29" s="49"/>
      <c r="ABH29" s="49"/>
      <c r="ABI29" s="49"/>
      <c r="ABJ29" s="49"/>
      <c r="ABK29" s="49"/>
      <c r="ABL29" s="49"/>
      <c r="ABM29" s="49"/>
      <c r="ABN29" s="49"/>
      <c r="ABO29" s="49"/>
      <c r="ABP29" s="49"/>
      <c r="ABQ29" s="49"/>
      <c r="ABR29" s="49"/>
      <c r="ABS29" s="49"/>
      <c r="ABT29" s="49"/>
      <c r="ABU29" s="49"/>
      <c r="ABV29" s="49"/>
      <c r="ABW29" s="49"/>
      <c r="ABX29" s="49"/>
      <c r="ABY29" s="49"/>
      <c r="ABZ29" s="49"/>
      <c r="ACA29" s="49"/>
      <c r="ACB29" s="49"/>
      <c r="ACC29" s="49"/>
      <c r="ACD29" s="49"/>
      <c r="ACE29" s="49"/>
      <c r="ACF29" s="49"/>
      <c r="ACG29" s="49"/>
      <c r="ACH29" s="49"/>
      <c r="ACI29" s="49"/>
      <c r="ACJ29" s="49"/>
      <c r="ACK29" s="49"/>
      <c r="ACL29" s="49"/>
      <c r="ACM29" s="49"/>
      <c r="ACN29" s="49"/>
      <c r="ACO29" s="49"/>
      <c r="ACP29" s="49"/>
      <c r="ACQ29" s="49"/>
      <c r="ACR29" s="49"/>
      <c r="ACS29" s="49"/>
      <c r="ACT29" s="49"/>
      <c r="ACU29" s="49"/>
      <c r="ACV29" s="49"/>
      <c r="ACW29" s="49"/>
      <c r="ACX29" s="49"/>
      <c r="ACY29" s="49"/>
      <c r="ACZ29" s="49"/>
      <c r="ADA29" s="49"/>
      <c r="ADB29" s="49"/>
      <c r="ADC29" s="49"/>
      <c r="ADD29" s="49"/>
      <c r="ADE29" s="49"/>
      <c r="ADF29" s="49"/>
      <c r="ADG29" s="49"/>
      <c r="ADH29" s="49"/>
      <c r="ADI29" s="49"/>
      <c r="ADJ29" s="49"/>
      <c r="ADK29" s="49"/>
      <c r="ADL29" s="49"/>
      <c r="ADM29" s="49"/>
      <c r="ADN29" s="49"/>
      <c r="ADO29" s="49"/>
      <c r="ADP29" s="49"/>
      <c r="ADQ29" s="49"/>
      <c r="ADR29" s="49"/>
      <c r="ADS29" s="49"/>
      <c r="ADT29" s="49"/>
      <c r="ADU29" s="49"/>
      <c r="ADV29" s="49"/>
      <c r="ADW29" s="49"/>
      <c r="ADX29" s="49"/>
      <c r="ADY29" s="49"/>
      <c r="ADZ29" s="49"/>
      <c r="AEA29" s="49"/>
      <c r="AEB29" s="49"/>
      <c r="AEC29" s="49"/>
      <c r="AED29" s="49"/>
      <c r="AEE29" s="49"/>
      <c r="AEF29" s="49"/>
      <c r="AEG29" s="49"/>
      <c r="AEH29" s="49"/>
      <c r="AEI29" s="49"/>
      <c r="AEJ29" s="49"/>
      <c r="AEK29" s="49"/>
      <c r="AEL29" s="49"/>
      <c r="AEM29" s="49"/>
      <c r="AEN29" s="49"/>
      <c r="AEO29" s="49"/>
      <c r="AEP29" s="49"/>
      <c r="AEQ29" s="49"/>
      <c r="AER29" s="49"/>
      <c r="AES29" s="49"/>
      <c r="AET29" s="49"/>
      <c r="AEU29" s="49"/>
      <c r="AEV29" s="49"/>
      <c r="AEW29" s="49"/>
      <c r="AEX29" s="49"/>
      <c r="AEY29" s="49"/>
      <c r="AEZ29" s="49"/>
      <c r="AFA29" s="49"/>
      <c r="AFB29" s="49"/>
      <c r="AFC29" s="49"/>
      <c r="AFD29" s="49"/>
      <c r="AFE29" s="49"/>
      <c r="AFF29" s="49"/>
      <c r="AFG29" s="49"/>
      <c r="AFH29" s="49"/>
      <c r="AFI29" s="49"/>
      <c r="AFJ29" s="49"/>
      <c r="AFK29" s="49"/>
      <c r="AFL29" s="49"/>
      <c r="AFM29" s="49"/>
      <c r="AFN29" s="49"/>
      <c r="AFO29" s="49"/>
      <c r="AFP29" s="49"/>
      <c r="AFQ29" s="49"/>
      <c r="AFR29" s="49"/>
      <c r="AFS29" s="49"/>
      <c r="AFT29" s="49"/>
      <c r="AFU29" s="49"/>
      <c r="AFV29" s="49"/>
      <c r="AFW29" s="49"/>
      <c r="AFX29" s="49"/>
      <c r="AFY29" s="49"/>
      <c r="AFZ29" s="49"/>
      <c r="AGA29" s="49"/>
      <c r="AGB29" s="49"/>
      <c r="AGC29" s="49"/>
      <c r="AGD29" s="49"/>
      <c r="AGE29" s="49"/>
      <c r="AGF29" s="49"/>
      <c r="AGG29" s="49"/>
      <c r="AGH29" s="49"/>
      <c r="AGI29" s="49"/>
      <c r="AGJ29" s="49"/>
      <c r="AGK29" s="49"/>
      <c r="AGL29" s="49"/>
      <c r="AGM29" s="49"/>
      <c r="AGN29" s="49"/>
      <c r="AGO29" s="49"/>
      <c r="AGP29" s="49"/>
      <c r="AGQ29" s="49"/>
      <c r="AGR29" s="49"/>
      <c r="AGS29" s="49"/>
      <c r="AGT29" s="49"/>
      <c r="AGU29" s="49"/>
      <c r="AGV29" s="49"/>
      <c r="AGW29" s="49"/>
      <c r="AGX29" s="49"/>
      <c r="AGY29" s="49"/>
      <c r="AGZ29" s="49"/>
      <c r="AHA29" s="49"/>
      <c r="AHB29" s="49"/>
      <c r="AHC29" s="49"/>
      <c r="AHD29" s="49"/>
      <c r="AHE29" s="49"/>
      <c r="AHF29" s="49"/>
      <c r="AHG29" s="49"/>
      <c r="AHH29" s="49"/>
      <c r="AHI29" s="49"/>
      <c r="AHJ29" s="49"/>
      <c r="AHK29" s="49"/>
      <c r="AHL29" s="49"/>
      <c r="AHM29" s="49"/>
      <c r="AHN29" s="49"/>
      <c r="AHO29" s="49"/>
      <c r="AHP29" s="49"/>
      <c r="AHQ29" s="49"/>
      <c r="AHR29" s="49"/>
      <c r="AHS29" s="49"/>
      <c r="AHT29" s="49"/>
      <c r="AHU29" s="49"/>
      <c r="AHV29" s="49"/>
      <c r="AHW29" s="49"/>
      <c r="AHX29" s="49"/>
      <c r="AHY29" s="49"/>
      <c r="AHZ29" s="49"/>
      <c r="AIA29" s="49"/>
      <c r="AIB29" s="49"/>
      <c r="AIC29" s="49"/>
      <c r="AID29" s="49"/>
      <c r="AIE29" s="49"/>
      <c r="AIF29" s="49"/>
      <c r="AIG29" s="49"/>
      <c r="AIH29" s="49"/>
      <c r="AII29" s="49"/>
      <c r="AIJ29" s="49"/>
      <c r="AIK29" s="49"/>
      <c r="AIL29" s="49"/>
      <c r="AIM29" s="49"/>
      <c r="AIN29" s="49"/>
      <c r="AIO29" s="49"/>
      <c r="AIP29" s="49"/>
      <c r="AIQ29" s="49"/>
      <c r="AIR29" s="49"/>
      <c r="AIS29" s="49"/>
      <c r="AIT29" s="49"/>
      <c r="AIU29" s="49"/>
      <c r="AIV29" s="49"/>
      <c r="AIW29" s="49"/>
      <c r="AIX29" s="49"/>
      <c r="AIY29" s="49"/>
      <c r="AIZ29" s="49"/>
      <c r="AJA29" s="49"/>
      <c r="AJB29" s="49"/>
      <c r="AJC29" s="49"/>
      <c r="AJD29" s="49"/>
      <c r="AJE29" s="49"/>
      <c r="AJF29" s="49"/>
      <c r="AJG29" s="49"/>
      <c r="AJH29" s="49"/>
      <c r="AJI29" s="49"/>
      <c r="AJJ29" s="49"/>
      <c r="AJK29" s="49"/>
      <c r="AJL29" s="49"/>
      <c r="AJM29" s="49"/>
      <c r="AJN29" s="49"/>
      <c r="AJO29" s="49"/>
      <c r="AJP29" s="49"/>
      <c r="AJQ29" s="49"/>
      <c r="AJR29" s="49"/>
      <c r="AJS29" s="49"/>
      <c r="AJT29" s="49"/>
      <c r="AJU29" s="49"/>
      <c r="AJV29" s="49"/>
      <c r="AJW29" s="49"/>
      <c r="AJX29" s="49"/>
      <c r="AJY29" s="49"/>
      <c r="AJZ29" s="49"/>
      <c r="AKA29" s="49"/>
      <c r="AKB29" s="49"/>
      <c r="AKC29" s="49"/>
      <c r="AKD29" s="49"/>
      <c r="AKE29" s="49"/>
      <c r="AKF29" s="49"/>
      <c r="AKG29" s="49"/>
      <c r="AKH29" s="49"/>
      <c r="AKI29" s="49"/>
      <c r="AKJ29" s="49"/>
      <c r="AKK29" s="49"/>
      <c r="AKL29" s="49"/>
      <c r="AKM29" s="49"/>
      <c r="AKN29" s="49"/>
      <c r="AKO29" s="49"/>
      <c r="AKP29" s="49"/>
      <c r="AKQ29" s="49"/>
      <c r="AKR29" s="49"/>
      <c r="AKS29" s="49"/>
      <c r="AKT29" s="49"/>
      <c r="AKU29" s="49"/>
      <c r="AKV29" s="49"/>
      <c r="AKW29" s="49"/>
      <c r="AKX29" s="49"/>
      <c r="AKY29" s="49"/>
      <c r="AKZ29" s="49"/>
      <c r="ALA29" s="49"/>
      <c r="ALB29" s="49"/>
      <c r="ALC29" s="49"/>
      <c r="ALD29" s="49"/>
      <c r="ALE29" s="49"/>
      <c r="ALF29" s="49"/>
      <c r="ALG29" s="49"/>
      <c r="ALH29" s="49"/>
      <c r="ALI29" s="49"/>
      <c r="ALJ29" s="49"/>
      <c r="ALK29" s="49"/>
      <c r="ALL29" s="49"/>
      <c r="ALM29" s="49"/>
      <c r="ALN29" s="49"/>
      <c r="ALO29" s="49"/>
      <c r="ALP29" s="49"/>
      <c r="ALQ29" s="49"/>
      <c r="ALR29" s="49"/>
      <c r="ALS29" s="49"/>
      <c r="ALT29" s="49"/>
      <c r="ALU29" s="49"/>
      <c r="ALV29" s="49"/>
      <c r="ALW29" s="49"/>
      <c r="ALX29" s="49"/>
      <c r="ALY29" s="49"/>
      <c r="ALZ29" s="49"/>
      <c r="AMA29" s="49"/>
      <c r="AMB29" s="49"/>
      <c r="AMC29" s="49"/>
      <c r="AMD29" s="49"/>
      <c r="AME29" s="49"/>
      <c r="AMF29" s="49"/>
      <c r="AMG29" s="49"/>
      <c r="AMH29" s="49"/>
      <c r="AMI29" s="49"/>
      <c r="AMJ29" s="49"/>
      <c r="AMK29" s="49"/>
      <c r="AML29" s="49"/>
      <c r="AMM29" s="49"/>
      <c r="AMN29" s="49"/>
      <c r="AMO29" s="49"/>
      <c r="AMP29" s="49"/>
      <c r="AMQ29" s="49"/>
      <c r="AMR29" s="49"/>
      <c r="AMS29" s="49"/>
      <c r="AMT29" s="49"/>
      <c r="AMU29" s="49"/>
      <c r="AMV29" s="49"/>
      <c r="AMW29" s="49"/>
      <c r="AMX29" s="49"/>
      <c r="AMY29" s="49"/>
      <c r="AMZ29" s="49"/>
      <c r="ANA29" s="49"/>
      <c r="ANB29" s="49"/>
      <c r="ANC29" s="49"/>
      <c r="AND29" s="49"/>
      <c r="ANE29" s="49"/>
      <c r="ANF29" s="49"/>
      <c r="ANG29" s="49"/>
      <c r="ANH29" s="49"/>
      <c r="ANI29" s="49"/>
      <c r="ANJ29" s="49"/>
      <c r="ANK29" s="49"/>
      <c r="ANL29" s="49"/>
      <c r="ANM29" s="49"/>
      <c r="ANN29" s="49"/>
      <c r="ANO29" s="49"/>
      <c r="ANP29" s="49"/>
      <c r="ANQ29" s="49"/>
      <c r="ANR29" s="49"/>
      <c r="ANS29" s="49"/>
      <c r="ANT29" s="49"/>
      <c r="ANU29" s="49"/>
      <c r="ANV29" s="49"/>
      <c r="ANW29" s="49"/>
      <c r="ANX29" s="49"/>
      <c r="ANY29" s="49"/>
      <c r="ANZ29" s="49"/>
      <c r="AOA29" s="49"/>
      <c r="AOB29" s="49"/>
      <c r="AOC29" s="49"/>
      <c r="AOD29" s="49"/>
      <c r="AOE29" s="49"/>
      <c r="AOF29" s="49"/>
      <c r="AOG29" s="49"/>
      <c r="AOH29" s="49"/>
      <c r="AOI29" s="49"/>
      <c r="AOJ29" s="49"/>
      <c r="AOK29" s="49"/>
      <c r="AOL29" s="49"/>
      <c r="AOM29" s="49"/>
      <c r="AON29" s="49"/>
      <c r="AOO29" s="49"/>
      <c r="AOP29" s="49"/>
      <c r="AOQ29" s="49"/>
      <c r="AOR29" s="49"/>
      <c r="AOS29" s="49"/>
      <c r="AOT29" s="49"/>
      <c r="AOU29" s="49"/>
      <c r="AOV29" s="49"/>
      <c r="AOW29" s="49"/>
      <c r="AOX29" s="49"/>
      <c r="AOY29" s="49"/>
      <c r="AOZ29" s="49"/>
      <c r="APA29" s="49"/>
      <c r="APB29" s="49"/>
      <c r="APC29" s="49"/>
      <c r="APD29" s="49"/>
      <c r="APE29" s="49"/>
      <c r="APF29" s="49"/>
      <c r="APG29" s="49"/>
      <c r="APH29" s="49"/>
      <c r="API29" s="49"/>
      <c r="APJ29" s="49"/>
      <c r="APK29" s="49"/>
      <c r="APL29" s="49"/>
      <c r="APM29" s="49"/>
      <c r="APN29" s="49"/>
      <c r="APO29" s="49"/>
      <c r="APP29" s="49"/>
      <c r="APQ29" s="49"/>
      <c r="APR29" s="49"/>
      <c r="APS29" s="49"/>
      <c r="APT29" s="49"/>
      <c r="APU29" s="49"/>
      <c r="APV29" s="49"/>
      <c r="APW29" s="49"/>
      <c r="APX29" s="49"/>
      <c r="APY29" s="49"/>
      <c r="APZ29" s="49"/>
      <c r="AQA29" s="49"/>
      <c r="AQB29" s="49"/>
      <c r="AQC29" s="49"/>
      <c r="AQD29" s="49"/>
      <c r="AQE29" s="49"/>
      <c r="AQF29" s="49"/>
      <c r="AQG29" s="49"/>
      <c r="AQH29" s="49"/>
      <c r="AQI29" s="49"/>
      <c r="AQJ29" s="49"/>
      <c r="AQK29" s="49"/>
      <c r="AQL29" s="49"/>
      <c r="AQM29" s="49"/>
      <c r="AQN29" s="49"/>
      <c r="AQO29" s="49"/>
      <c r="AQP29" s="49"/>
      <c r="AQQ29" s="49"/>
      <c r="AQR29" s="49"/>
      <c r="AQS29" s="49"/>
      <c r="AQT29" s="49"/>
      <c r="AQU29" s="49"/>
      <c r="AQV29" s="49"/>
      <c r="AQW29" s="49"/>
      <c r="AQX29" s="49"/>
      <c r="AQY29" s="49"/>
      <c r="AQZ29" s="49"/>
      <c r="ARA29" s="49"/>
      <c r="ARB29" s="49"/>
      <c r="ARC29" s="49"/>
      <c r="ARD29" s="49"/>
      <c r="ARE29" s="49"/>
      <c r="ARF29" s="49"/>
      <c r="ARG29" s="49"/>
      <c r="ARH29" s="49"/>
      <c r="ARI29" s="49"/>
      <c r="ARJ29" s="49"/>
      <c r="ARK29" s="49"/>
      <c r="ARL29" s="49"/>
      <c r="ARM29" s="49"/>
      <c r="ARN29" s="49"/>
      <c r="ARO29" s="49"/>
      <c r="ARP29" s="49"/>
      <c r="ARQ29" s="49"/>
      <c r="ARR29" s="49"/>
      <c r="ARS29" s="49"/>
      <c r="ART29" s="49"/>
      <c r="ARU29" s="49"/>
      <c r="ARV29" s="49"/>
      <c r="ARW29" s="49"/>
      <c r="ARX29" s="49"/>
      <c r="ARY29" s="49"/>
      <c r="ARZ29" s="49"/>
      <c r="ASA29" s="49"/>
      <c r="ASB29" s="49"/>
      <c r="ASC29" s="49"/>
      <c r="ASD29" s="49"/>
      <c r="ASE29" s="49"/>
      <c r="ASF29" s="49"/>
      <c r="ASG29" s="49"/>
      <c r="ASH29" s="49"/>
      <c r="ASI29" s="49"/>
      <c r="ASJ29" s="49"/>
      <c r="ASK29" s="49"/>
      <c r="ASL29" s="49"/>
      <c r="ASM29" s="49"/>
      <c r="ASN29" s="49"/>
      <c r="ASO29" s="49"/>
      <c r="ASP29" s="49"/>
      <c r="ASQ29" s="49"/>
      <c r="ASR29" s="49"/>
      <c r="ASS29" s="49"/>
      <c r="AST29" s="49"/>
      <c r="ASU29" s="49"/>
      <c r="ASV29" s="49"/>
      <c r="ASW29" s="49"/>
      <c r="ASX29" s="49"/>
      <c r="ASY29" s="49"/>
      <c r="ASZ29" s="49"/>
      <c r="ATA29" s="49"/>
      <c r="ATB29" s="49"/>
      <c r="ATC29" s="49"/>
      <c r="ATD29" s="49"/>
      <c r="ATE29" s="49"/>
      <c r="ATF29" s="49"/>
      <c r="ATG29" s="49"/>
      <c r="ATH29" s="49"/>
      <c r="ATI29" s="49"/>
      <c r="ATJ29" s="49"/>
      <c r="ATK29" s="49"/>
      <c r="ATL29" s="49"/>
      <c r="ATM29" s="49"/>
      <c r="ATN29" s="49"/>
      <c r="ATO29" s="49"/>
      <c r="ATP29" s="49"/>
      <c r="ATQ29" s="49"/>
      <c r="ATR29" s="49"/>
      <c r="ATS29" s="49"/>
      <c r="ATT29" s="49"/>
      <c r="ATU29" s="49"/>
      <c r="ATV29" s="49"/>
      <c r="ATW29" s="49"/>
      <c r="ATX29" s="49"/>
      <c r="ATY29" s="49"/>
      <c r="ATZ29" s="49"/>
      <c r="AUA29" s="49"/>
      <c r="AUB29" s="49"/>
      <c r="AUC29" s="49"/>
      <c r="AUD29" s="49"/>
      <c r="AUE29" s="49"/>
      <c r="AUF29" s="49"/>
      <c r="AUG29" s="49"/>
      <c r="AUH29" s="49"/>
      <c r="AUI29" s="49"/>
      <c r="AUJ29" s="49"/>
      <c r="AUK29" s="49"/>
      <c r="AUL29" s="49"/>
      <c r="AUM29" s="49"/>
      <c r="AUN29" s="49"/>
      <c r="AUO29" s="49"/>
      <c r="AUP29" s="49"/>
      <c r="AUQ29" s="49"/>
      <c r="AUR29" s="49"/>
      <c r="AUS29" s="49"/>
      <c r="AUT29" s="49"/>
      <c r="AUU29" s="49"/>
      <c r="AUV29" s="49"/>
      <c r="AUW29" s="49"/>
      <c r="AUX29" s="49"/>
      <c r="AUY29" s="49"/>
      <c r="AUZ29" s="49"/>
      <c r="AVA29" s="49"/>
      <c r="AVB29" s="49"/>
      <c r="AVC29" s="49"/>
      <c r="AVD29" s="49"/>
      <c r="AVE29" s="49"/>
      <c r="AVF29" s="49"/>
      <c r="AVG29" s="49"/>
      <c r="AVH29" s="49"/>
      <c r="AVI29" s="49"/>
      <c r="AVJ29" s="49"/>
      <c r="AVK29" s="49"/>
      <c r="AVL29" s="49"/>
      <c r="AVM29" s="49"/>
      <c r="AVN29" s="49"/>
      <c r="AVO29" s="49"/>
      <c r="AVP29" s="49"/>
      <c r="AVQ29" s="49"/>
      <c r="AVR29" s="49"/>
      <c r="AVS29" s="49"/>
      <c r="AVT29" s="49"/>
      <c r="AVU29" s="49"/>
      <c r="AVV29" s="49"/>
      <c r="AVW29" s="49"/>
      <c r="AVX29" s="49"/>
      <c r="AVY29" s="49"/>
      <c r="AVZ29" s="49"/>
      <c r="AWA29" s="49"/>
      <c r="AWB29" s="49"/>
      <c r="AWC29" s="49"/>
      <c r="AWD29" s="49"/>
      <c r="AWE29" s="49"/>
      <c r="AWF29" s="49"/>
      <c r="AWG29" s="49"/>
      <c r="AWH29" s="49"/>
      <c r="AWI29" s="49"/>
      <c r="AWJ29" s="49"/>
      <c r="AWK29" s="49"/>
      <c r="AWL29" s="49"/>
      <c r="AWM29" s="49"/>
      <c r="AWN29" s="49"/>
      <c r="AWO29" s="49"/>
      <c r="AWP29" s="49"/>
      <c r="AWQ29" s="49"/>
      <c r="AWR29" s="49"/>
      <c r="AWS29" s="49"/>
      <c r="AWT29" s="49"/>
      <c r="AWU29" s="49"/>
      <c r="AWV29" s="49"/>
      <c r="AWW29" s="49"/>
      <c r="AWX29" s="49"/>
      <c r="AWY29" s="49"/>
      <c r="AWZ29" s="49"/>
      <c r="AXA29" s="49"/>
      <c r="AXB29" s="49"/>
      <c r="AXC29" s="49"/>
      <c r="AXD29" s="49"/>
      <c r="AXE29" s="49"/>
      <c r="AXF29" s="49"/>
      <c r="AXG29" s="49"/>
      <c r="AXH29" s="49"/>
      <c r="AXI29" s="49"/>
      <c r="AXJ29" s="49"/>
      <c r="AXK29" s="49"/>
      <c r="AXL29" s="49"/>
      <c r="AXM29" s="49"/>
      <c r="AXN29" s="49"/>
      <c r="AXO29" s="49"/>
      <c r="AXP29" s="49"/>
      <c r="AXQ29" s="49"/>
      <c r="AXR29" s="49"/>
      <c r="AXS29" s="49"/>
      <c r="AXT29" s="49"/>
      <c r="AXU29" s="49"/>
      <c r="AXV29" s="49"/>
      <c r="AXW29" s="49"/>
      <c r="AXX29" s="49"/>
      <c r="AXY29" s="49"/>
      <c r="AXZ29" s="49"/>
      <c r="AYA29" s="49"/>
      <c r="AYB29" s="49"/>
      <c r="AYC29" s="49"/>
      <c r="AYD29" s="49"/>
      <c r="AYE29" s="49"/>
      <c r="AYF29" s="49"/>
      <c r="AYG29" s="49"/>
      <c r="AYH29" s="49"/>
      <c r="AYI29" s="49"/>
      <c r="AYJ29" s="49"/>
      <c r="AYK29" s="49"/>
      <c r="AYL29" s="49"/>
      <c r="AYM29" s="49"/>
      <c r="AYN29" s="49"/>
      <c r="AYO29" s="49"/>
      <c r="AYP29" s="49"/>
      <c r="AYQ29" s="49"/>
      <c r="AYR29" s="49"/>
      <c r="AYS29" s="49"/>
      <c r="AYT29" s="49"/>
      <c r="AYU29" s="49"/>
      <c r="AYV29" s="49"/>
      <c r="AYW29" s="49"/>
      <c r="AYX29" s="49"/>
      <c r="AYY29" s="49"/>
      <c r="AYZ29" s="49"/>
      <c r="AZA29" s="49"/>
      <c r="AZB29" s="49"/>
      <c r="AZC29" s="49"/>
      <c r="AZD29" s="49"/>
      <c r="AZE29" s="49"/>
      <c r="AZF29" s="49"/>
      <c r="AZG29" s="49"/>
      <c r="AZH29" s="49"/>
      <c r="AZI29" s="49"/>
      <c r="AZJ29" s="49"/>
      <c r="AZK29" s="49"/>
      <c r="AZL29" s="49"/>
      <c r="AZM29" s="49"/>
      <c r="AZN29" s="49"/>
      <c r="AZO29" s="49"/>
      <c r="AZP29" s="49"/>
      <c r="AZQ29" s="49"/>
      <c r="AZR29" s="49"/>
      <c r="AZS29" s="49"/>
      <c r="AZT29" s="49"/>
      <c r="AZU29" s="49"/>
      <c r="AZV29" s="49"/>
      <c r="AZW29" s="49"/>
      <c r="AZX29" s="49"/>
      <c r="AZY29" s="49"/>
      <c r="AZZ29" s="49"/>
      <c r="BAA29" s="49"/>
      <c r="BAB29" s="49"/>
      <c r="BAC29" s="49"/>
      <c r="BAD29" s="49"/>
      <c r="BAE29" s="49"/>
      <c r="BAF29" s="49"/>
      <c r="BAG29" s="49"/>
      <c r="BAH29" s="49"/>
      <c r="BAI29" s="49"/>
      <c r="BAJ29" s="49"/>
      <c r="BAK29" s="49"/>
      <c r="BAL29" s="49"/>
      <c r="BAM29" s="49"/>
      <c r="BAN29" s="49"/>
      <c r="BAO29" s="49"/>
      <c r="BAP29" s="49"/>
      <c r="BAQ29" s="49"/>
      <c r="BAR29" s="49"/>
      <c r="BAS29" s="49"/>
      <c r="BAT29" s="49"/>
      <c r="BAU29" s="49"/>
      <c r="BAV29" s="49"/>
      <c r="BAW29" s="49"/>
      <c r="BAX29" s="49"/>
      <c r="BAY29" s="49"/>
      <c r="BAZ29" s="49"/>
      <c r="BBA29" s="49"/>
      <c r="BBB29" s="49"/>
      <c r="BBC29" s="49"/>
      <c r="BBD29" s="49"/>
      <c r="BBE29" s="49"/>
      <c r="BBF29" s="49"/>
      <c r="BBG29" s="49"/>
      <c r="BBH29" s="49"/>
      <c r="BBI29" s="49"/>
      <c r="BBJ29" s="49"/>
      <c r="BBK29" s="49"/>
      <c r="BBL29" s="49"/>
      <c r="BBM29" s="49"/>
      <c r="BBN29" s="49"/>
      <c r="BBO29" s="49"/>
      <c r="BBP29" s="49"/>
      <c r="BBQ29" s="49"/>
      <c r="BBR29" s="49"/>
      <c r="BBS29" s="49"/>
      <c r="BBT29" s="49"/>
      <c r="BBU29" s="49"/>
      <c r="BBV29" s="49"/>
      <c r="BBW29" s="49"/>
      <c r="BBX29" s="49"/>
      <c r="BBY29" s="49"/>
      <c r="BBZ29" s="49"/>
      <c r="BCA29" s="49"/>
      <c r="BCB29" s="49"/>
      <c r="BCC29" s="49"/>
      <c r="BCD29" s="49"/>
      <c r="BCE29" s="49"/>
      <c r="BCF29" s="49"/>
      <c r="BCG29" s="49"/>
      <c r="BCH29" s="49"/>
      <c r="BCI29" s="49"/>
      <c r="BCJ29" s="49"/>
      <c r="BCK29" s="49"/>
      <c r="BCL29" s="49"/>
      <c r="BCM29" s="49"/>
      <c r="BCN29" s="49"/>
    </row>
    <row r="30" spans="1:1444" s="47" customFormat="1">
      <c r="A30" s="52"/>
      <c r="B30" s="94">
        <v>45773</v>
      </c>
      <c r="C30" s="94" t="s">
        <v>197</v>
      </c>
      <c r="D30" s="95">
        <v>65</v>
      </c>
      <c r="E30" s="95">
        <v>138.375</v>
      </c>
      <c r="F30" s="95">
        <v>0</v>
      </c>
      <c r="G30" s="95">
        <v>0</v>
      </c>
      <c r="H30" s="95">
        <v>42</v>
      </c>
      <c r="I30" s="95">
        <v>38</v>
      </c>
      <c r="J30" s="95">
        <v>978.56</v>
      </c>
      <c r="K30" s="95">
        <v>1874.0047999977423</v>
      </c>
      <c r="L30" s="95">
        <v>0</v>
      </c>
      <c r="M30" s="155">
        <v>0</v>
      </c>
      <c r="N30" s="141">
        <f>'units overall'!O30</f>
        <v>3148.9397999977423</v>
      </c>
      <c r="O30" s="81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L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B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R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H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X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N30" s="49"/>
      <c r="IO30" s="49"/>
      <c r="IP30" s="49"/>
      <c r="IQ30" s="49"/>
      <c r="IR30" s="49"/>
      <c r="IS30" s="49"/>
      <c r="IT30" s="49"/>
      <c r="IU30" s="49"/>
      <c r="IV30" s="49"/>
      <c r="IW30" s="49"/>
      <c r="IX30" s="49"/>
      <c r="IY30" s="49"/>
      <c r="IZ30" s="49"/>
      <c r="JA30" s="49"/>
      <c r="JB30" s="49"/>
      <c r="JC30" s="49"/>
      <c r="JD30" s="49"/>
      <c r="JE30" s="49"/>
      <c r="JF30" s="49"/>
      <c r="JG30" s="49"/>
      <c r="JH30" s="49"/>
      <c r="JI30" s="49"/>
      <c r="JJ30" s="49"/>
      <c r="JK30" s="49"/>
      <c r="JL30" s="49"/>
      <c r="JM30" s="49"/>
      <c r="JN30" s="49"/>
      <c r="JO30" s="49"/>
      <c r="JP30" s="49"/>
      <c r="JQ30" s="49"/>
      <c r="JR30" s="49"/>
      <c r="JS30" s="49"/>
      <c r="JT30" s="49"/>
      <c r="JU30" s="49"/>
      <c r="JV30" s="49"/>
      <c r="JW30" s="49"/>
      <c r="JX30" s="49"/>
      <c r="JY30" s="49"/>
      <c r="JZ30" s="49"/>
      <c r="KA30" s="49"/>
      <c r="KB30" s="49"/>
      <c r="KC30" s="49"/>
      <c r="KD30" s="49"/>
      <c r="KE30" s="49"/>
      <c r="KF30" s="49"/>
      <c r="KG30" s="49"/>
      <c r="KH30" s="49"/>
      <c r="KI30" s="49"/>
      <c r="KJ30" s="49"/>
      <c r="KK30" s="49"/>
      <c r="KL30" s="49"/>
      <c r="KM30" s="49"/>
      <c r="KN30" s="49"/>
      <c r="KO30" s="49"/>
      <c r="KP30" s="49"/>
      <c r="KQ30" s="49"/>
      <c r="KR30" s="49"/>
      <c r="KS30" s="49"/>
      <c r="KT30" s="49"/>
      <c r="KU30" s="49"/>
      <c r="KV30" s="49"/>
      <c r="KW30" s="49"/>
      <c r="KX30" s="49"/>
      <c r="KY30" s="49"/>
      <c r="KZ30" s="49"/>
      <c r="LA30" s="49"/>
      <c r="LB30" s="49"/>
      <c r="LC30" s="49"/>
      <c r="LD30" s="49"/>
      <c r="LE30" s="49"/>
      <c r="LF30" s="49"/>
      <c r="LG30" s="49"/>
      <c r="LH30" s="49"/>
      <c r="LI30" s="49"/>
      <c r="LJ30" s="49"/>
      <c r="LK30" s="49"/>
      <c r="LL30" s="49"/>
      <c r="LM30" s="49"/>
      <c r="LN30" s="49"/>
      <c r="LO30" s="49"/>
      <c r="LP30" s="49"/>
      <c r="LQ30" s="49"/>
      <c r="LR30" s="49"/>
      <c r="LS30" s="49"/>
      <c r="LT30" s="49"/>
      <c r="LU30" s="49"/>
      <c r="LV30" s="49"/>
      <c r="LW30" s="49"/>
      <c r="LX30" s="49"/>
      <c r="LY30" s="49"/>
      <c r="LZ30" s="49"/>
      <c r="MA30" s="49"/>
      <c r="MB30" s="49"/>
      <c r="MC30" s="49"/>
      <c r="MD30" s="49"/>
      <c r="ME30" s="49"/>
      <c r="MF30" s="49"/>
      <c r="MG30" s="49"/>
      <c r="MH30" s="49"/>
      <c r="MI30" s="49"/>
      <c r="MJ30" s="49"/>
      <c r="MK30" s="49"/>
      <c r="ML30" s="49"/>
      <c r="MM30" s="49"/>
      <c r="MN30" s="49"/>
      <c r="MO30" s="49"/>
      <c r="MP30" s="49"/>
      <c r="MQ30" s="49"/>
      <c r="MR30" s="49"/>
      <c r="MS30" s="49"/>
      <c r="MT30" s="49"/>
      <c r="MU30" s="49"/>
      <c r="MV30" s="49"/>
      <c r="MW30" s="49"/>
      <c r="MX30" s="49"/>
      <c r="MY30" s="49"/>
      <c r="MZ30" s="49"/>
      <c r="NA30" s="49"/>
      <c r="NB30" s="49"/>
      <c r="NC30" s="49"/>
      <c r="ND30" s="49"/>
      <c r="NE30" s="49"/>
      <c r="NF30" s="49"/>
      <c r="NG30" s="49"/>
      <c r="NH30" s="49"/>
      <c r="NI30" s="49"/>
      <c r="NJ30" s="49"/>
      <c r="NK30" s="49"/>
      <c r="NL30" s="49"/>
      <c r="NM30" s="49"/>
      <c r="NN30" s="49"/>
      <c r="NO30" s="49"/>
      <c r="NP30" s="49"/>
      <c r="NQ30" s="49"/>
      <c r="NR30" s="49"/>
      <c r="NS30" s="49"/>
      <c r="NT30" s="49"/>
      <c r="NU30" s="49"/>
      <c r="NV30" s="49"/>
      <c r="NW30" s="49"/>
      <c r="NX30" s="49"/>
      <c r="NY30" s="49"/>
      <c r="NZ30" s="49"/>
      <c r="OA30" s="49"/>
      <c r="OB30" s="49"/>
      <c r="OC30" s="49"/>
      <c r="OD30" s="49"/>
      <c r="OE30" s="49"/>
      <c r="OF30" s="49"/>
      <c r="OG30" s="49"/>
      <c r="OH30" s="49"/>
      <c r="OI30" s="49"/>
      <c r="OJ30" s="49"/>
      <c r="OK30" s="49"/>
      <c r="OL30" s="49"/>
      <c r="OM30" s="49"/>
      <c r="ON30" s="49"/>
      <c r="OO30" s="49"/>
      <c r="OP30" s="49"/>
      <c r="OQ30" s="49"/>
      <c r="OR30" s="49"/>
      <c r="OS30" s="49"/>
      <c r="OT30" s="49"/>
      <c r="OU30" s="49"/>
      <c r="OV30" s="49"/>
      <c r="OW30" s="49"/>
      <c r="OX30" s="49"/>
      <c r="OY30" s="49"/>
      <c r="OZ30" s="49"/>
      <c r="PA30" s="49"/>
      <c r="PB30" s="49"/>
      <c r="PC30" s="49"/>
      <c r="PD30" s="49"/>
      <c r="PE30" s="49"/>
      <c r="PF30" s="49"/>
      <c r="PG30" s="49"/>
      <c r="PH30" s="49"/>
      <c r="PI30" s="49"/>
      <c r="PJ30" s="49"/>
      <c r="PK30" s="49"/>
      <c r="PL30" s="49"/>
      <c r="PM30" s="49"/>
      <c r="PN30" s="49"/>
      <c r="PO30" s="49"/>
      <c r="PP30" s="49"/>
      <c r="PQ30" s="49"/>
      <c r="PR30" s="49"/>
      <c r="PS30" s="49"/>
      <c r="PT30" s="49"/>
      <c r="PU30" s="49"/>
      <c r="PV30" s="49"/>
      <c r="PW30" s="49"/>
      <c r="PX30" s="49"/>
      <c r="PY30" s="49"/>
      <c r="PZ30" s="49"/>
      <c r="QA30" s="49"/>
      <c r="QB30" s="49"/>
      <c r="QC30" s="49"/>
      <c r="QD30" s="49"/>
      <c r="QE30" s="49"/>
      <c r="QF30" s="49"/>
      <c r="QG30" s="49"/>
      <c r="QH30" s="49"/>
      <c r="QI30" s="49"/>
      <c r="QJ30" s="49"/>
      <c r="QK30" s="49"/>
      <c r="QL30" s="49"/>
      <c r="QM30" s="49"/>
      <c r="QN30" s="49"/>
      <c r="QO30" s="49"/>
      <c r="QP30" s="49"/>
      <c r="QQ30" s="49"/>
      <c r="QR30" s="49"/>
      <c r="QS30" s="49"/>
      <c r="QT30" s="49"/>
      <c r="QU30" s="49"/>
      <c r="QV30" s="49"/>
      <c r="QW30" s="49"/>
      <c r="QX30" s="49"/>
      <c r="QY30" s="49"/>
      <c r="QZ30" s="49"/>
      <c r="RA30" s="49"/>
      <c r="RB30" s="49"/>
      <c r="RC30" s="49"/>
      <c r="RD30" s="49"/>
      <c r="RE30" s="49"/>
      <c r="RF30" s="49"/>
      <c r="RG30" s="49"/>
      <c r="RH30" s="49"/>
      <c r="RI30" s="49"/>
      <c r="RJ30" s="49"/>
      <c r="RK30" s="49"/>
      <c r="RL30" s="49"/>
      <c r="RM30" s="49"/>
      <c r="RN30" s="49"/>
      <c r="RO30" s="49"/>
      <c r="RP30" s="49"/>
      <c r="RQ30" s="49"/>
      <c r="RR30" s="49"/>
      <c r="RS30" s="49"/>
      <c r="RT30" s="49"/>
      <c r="RU30" s="49"/>
      <c r="RV30" s="49"/>
      <c r="RW30" s="49"/>
      <c r="RX30" s="49"/>
      <c r="RY30" s="49"/>
      <c r="RZ30" s="49"/>
      <c r="SA30" s="49"/>
      <c r="SB30" s="49"/>
      <c r="SC30" s="49"/>
      <c r="SD30" s="49"/>
      <c r="SE30" s="49"/>
      <c r="SF30" s="49"/>
      <c r="SG30" s="49"/>
      <c r="SH30" s="49"/>
      <c r="SI30" s="49"/>
      <c r="SJ30" s="49"/>
      <c r="SK30" s="49"/>
      <c r="SL30" s="49"/>
      <c r="SM30" s="49"/>
      <c r="SN30" s="49"/>
      <c r="SO30" s="49"/>
      <c r="SP30" s="49"/>
      <c r="SQ30" s="49"/>
      <c r="SR30" s="49"/>
      <c r="SS30" s="49"/>
      <c r="ST30" s="49"/>
      <c r="SU30" s="49"/>
      <c r="SV30" s="49"/>
      <c r="SW30" s="49"/>
      <c r="SX30" s="49"/>
      <c r="SY30" s="49"/>
      <c r="SZ30" s="49"/>
      <c r="TA30" s="49"/>
      <c r="TB30" s="49"/>
      <c r="TC30" s="49"/>
      <c r="TD30" s="49"/>
      <c r="TE30" s="49"/>
      <c r="TF30" s="49"/>
      <c r="TG30" s="49"/>
      <c r="TH30" s="49"/>
      <c r="TI30" s="49"/>
      <c r="TJ30" s="49"/>
      <c r="TK30" s="49"/>
      <c r="TL30" s="49"/>
      <c r="TM30" s="49"/>
      <c r="TN30" s="49"/>
      <c r="TO30" s="49"/>
      <c r="TP30" s="49"/>
      <c r="TQ30" s="49"/>
      <c r="TR30" s="49"/>
      <c r="TS30" s="49"/>
      <c r="TT30" s="49"/>
      <c r="TU30" s="49"/>
      <c r="TV30" s="49"/>
      <c r="TW30" s="49"/>
      <c r="TX30" s="49"/>
      <c r="TY30" s="49"/>
      <c r="TZ30" s="49"/>
      <c r="UA30" s="49"/>
      <c r="UB30" s="49"/>
      <c r="UC30" s="49"/>
      <c r="UD30" s="49"/>
      <c r="UE30" s="49"/>
      <c r="UF30" s="49"/>
      <c r="UG30" s="49"/>
      <c r="UH30" s="49"/>
      <c r="UI30" s="49"/>
      <c r="UJ30" s="49"/>
      <c r="UK30" s="49"/>
      <c r="UL30" s="49"/>
      <c r="UM30" s="49"/>
      <c r="UN30" s="49"/>
      <c r="UO30" s="49"/>
      <c r="UP30" s="49"/>
      <c r="UQ30" s="49"/>
      <c r="UR30" s="49"/>
      <c r="US30" s="49"/>
      <c r="UT30" s="49"/>
      <c r="UU30" s="49"/>
      <c r="UV30" s="49"/>
      <c r="UW30" s="49"/>
      <c r="UX30" s="49"/>
      <c r="UY30" s="49"/>
      <c r="UZ30" s="49"/>
      <c r="VA30" s="49"/>
      <c r="VB30" s="49"/>
      <c r="VC30" s="49"/>
      <c r="VD30" s="49"/>
      <c r="VE30" s="49"/>
      <c r="VF30" s="49"/>
      <c r="VG30" s="49"/>
      <c r="VH30" s="49"/>
      <c r="VI30" s="49"/>
      <c r="VJ30" s="49"/>
      <c r="VK30" s="49"/>
      <c r="VL30" s="49"/>
      <c r="VM30" s="49"/>
      <c r="VN30" s="49"/>
      <c r="VO30" s="49"/>
      <c r="VP30" s="49"/>
      <c r="VQ30" s="49"/>
      <c r="VR30" s="49"/>
      <c r="VS30" s="49"/>
      <c r="VT30" s="49"/>
      <c r="VU30" s="49"/>
      <c r="VV30" s="49"/>
      <c r="VW30" s="49"/>
      <c r="VX30" s="49"/>
      <c r="VY30" s="49"/>
      <c r="VZ30" s="49"/>
      <c r="WA30" s="49"/>
      <c r="WB30" s="49"/>
      <c r="WC30" s="49"/>
      <c r="WD30" s="49"/>
      <c r="WE30" s="49"/>
      <c r="WF30" s="49"/>
      <c r="WG30" s="49"/>
      <c r="WH30" s="49"/>
      <c r="WI30" s="49"/>
      <c r="WJ30" s="49"/>
      <c r="WK30" s="49"/>
      <c r="WL30" s="49"/>
      <c r="WM30" s="49"/>
      <c r="WN30" s="49"/>
      <c r="WO30" s="49"/>
      <c r="WP30" s="49"/>
      <c r="WQ30" s="49"/>
      <c r="WR30" s="49"/>
      <c r="WS30" s="49"/>
      <c r="WT30" s="49"/>
      <c r="WU30" s="49"/>
      <c r="WV30" s="49"/>
      <c r="WW30" s="49"/>
      <c r="WX30" s="49"/>
      <c r="WY30" s="49"/>
      <c r="WZ30" s="49"/>
      <c r="XA30" s="49"/>
      <c r="XB30" s="49"/>
      <c r="XC30" s="49"/>
      <c r="XD30" s="49"/>
      <c r="XE30" s="49"/>
      <c r="XF30" s="49"/>
      <c r="XG30" s="49"/>
      <c r="XH30" s="49"/>
      <c r="XI30" s="49"/>
      <c r="XJ30" s="49"/>
      <c r="XK30" s="49"/>
      <c r="XL30" s="49"/>
      <c r="XM30" s="49"/>
      <c r="XN30" s="49"/>
      <c r="XO30" s="49"/>
      <c r="XP30" s="49"/>
      <c r="XQ30" s="49"/>
      <c r="XR30" s="49"/>
      <c r="XS30" s="49"/>
      <c r="XT30" s="49"/>
      <c r="XU30" s="49"/>
      <c r="XV30" s="49"/>
      <c r="XW30" s="49"/>
      <c r="XX30" s="49"/>
      <c r="XY30" s="49"/>
      <c r="XZ30" s="49"/>
      <c r="YA30" s="49"/>
      <c r="YB30" s="49"/>
      <c r="YC30" s="49"/>
      <c r="YD30" s="49"/>
      <c r="YE30" s="49"/>
      <c r="YF30" s="49"/>
      <c r="YG30" s="49"/>
      <c r="YH30" s="49"/>
      <c r="YI30" s="49"/>
      <c r="YJ30" s="49"/>
      <c r="YK30" s="49"/>
      <c r="YL30" s="49"/>
      <c r="YM30" s="49"/>
      <c r="YN30" s="49"/>
      <c r="YO30" s="49"/>
      <c r="YP30" s="49"/>
      <c r="YQ30" s="49"/>
      <c r="YR30" s="49"/>
      <c r="YS30" s="49"/>
      <c r="YT30" s="49"/>
      <c r="YU30" s="49"/>
      <c r="YV30" s="49"/>
      <c r="YW30" s="49"/>
      <c r="YX30" s="49"/>
      <c r="YY30" s="49"/>
      <c r="YZ30" s="49"/>
      <c r="ZA30" s="49"/>
      <c r="ZB30" s="49"/>
      <c r="ZC30" s="49"/>
      <c r="ZD30" s="49"/>
      <c r="ZE30" s="49"/>
      <c r="ZF30" s="49"/>
      <c r="ZG30" s="49"/>
      <c r="ZH30" s="49"/>
      <c r="ZI30" s="49"/>
      <c r="ZJ30" s="49"/>
      <c r="ZK30" s="49"/>
      <c r="ZL30" s="49"/>
      <c r="ZM30" s="49"/>
      <c r="ZN30" s="49"/>
      <c r="ZO30" s="49"/>
      <c r="ZP30" s="49"/>
      <c r="ZQ30" s="49"/>
      <c r="ZR30" s="49"/>
      <c r="ZS30" s="49"/>
      <c r="ZT30" s="49"/>
      <c r="ZU30" s="49"/>
      <c r="ZV30" s="49"/>
      <c r="ZW30" s="49"/>
      <c r="ZX30" s="49"/>
      <c r="ZY30" s="49"/>
      <c r="ZZ30" s="49"/>
      <c r="AAA30" s="49"/>
      <c r="AAB30" s="49"/>
      <c r="AAC30" s="49"/>
      <c r="AAD30" s="49"/>
      <c r="AAE30" s="49"/>
      <c r="AAF30" s="49"/>
      <c r="AAG30" s="49"/>
      <c r="AAH30" s="49"/>
      <c r="AAI30" s="49"/>
      <c r="AAJ30" s="49"/>
      <c r="AAK30" s="49"/>
      <c r="AAL30" s="49"/>
      <c r="AAM30" s="49"/>
      <c r="AAN30" s="49"/>
      <c r="AAO30" s="49"/>
      <c r="AAP30" s="49"/>
      <c r="AAQ30" s="49"/>
      <c r="AAR30" s="49"/>
      <c r="AAS30" s="49"/>
      <c r="AAT30" s="49"/>
      <c r="AAU30" s="49"/>
      <c r="AAV30" s="49"/>
      <c r="AAW30" s="49"/>
      <c r="AAX30" s="49"/>
      <c r="AAY30" s="49"/>
      <c r="AAZ30" s="49"/>
      <c r="ABA30" s="49"/>
      <c r="ABB30" s="49"/>
      <c r="ABC30" s="49"/>
      <c r="ABD30" s="49"/>
      <c r="ABE30" s="49"/>
      <c r="ABF30" s="49"/>
      <c r="ABG30" s="49"/>
      <c r="ABH30" s="49"/>
      <c r="ABI30" s="49"/>
      <c r="ABJ30" s="49"/>
      <c r="ABK30" s="49"/>
      <c r="ABL30" s="49"/>
      <c r="ABM30" s="49"/>
      <c r="ABN30" s="49"/>
      <c r="ABO30" s="49"/>
      <c r="ABP30" s="49"/>
      <c r="ABQ30" s="49"/>
      <c r="ABR30" s="49"/>
      <c r="ABS30" s="49"/>
      <c r="ABT30" s="49"/>
      <c r="ABU30" s="49"/>
      <c r="ABV30" s="49"/>
      <c r="ABW30" s="49"/>
      <c r="ABX30" s="49"/>
      <c r="ABY30" s="49"/>
      <c r="ABZ30" s="49"/>
      <c r="ACA30" s="49"/>
      <c r="ACB30" s="49"/>
      <c r="ACC30" s="49"/>
      <c r="ACD30" s="49"/>
      <c r="ACE30" s="49"/>
      <c r="ACF30" s="49"/>
      <c r="ACG30" s="49"/>
      <c r="ACH30" s="49"/>
      <c r="ACI30" s="49"/>
      <c r="ACJ30" s="49"/>
      <c r="ACK30" s="49"/>
      <c r="ACL30" s="49"/>
      <c r="ACM30" s="49"/>
      <c r="ACN30" s="49"/>
      <c r="ACO30" s="49"/>
      <c r="ACP30" s="49"/>
      <c r="ACQ30" s="49"/>
      <c r="ACR30" s="49"/>
      <c r="ACS30" s="49"/>
      <c r="ACT30" s="49"/>
      <c r="ACU30" s="49"/>
      <c r="ACV30" s="49"/>
      <c r="ACW30" s="49"/>
      <c r="ACX30" s="49"/>
      <c r="ACY30" s="49"/>
      <c r="ACZ30" s="49"/>
      <c r="ADA30" s="49"/>
      <c r="ADB30" s="49"/>
      <c r="ADC30" s="49"/>
      <c r="ADD30" s="49"/>
      <c r="ADE30" s="49"/>
      <c r="ADF30" s="49"/>
      <c r="ADG30" s="49"/>
      <c r="ADH30" s="49"/>
      <c r="ADI30" s="49"/>
      <c r="ADJ30" s="49"/>
      <c r="ADK30" s="49"/>
      <c r="ADL30" s="49"/>
      <c r="ADM30" s="49"/>
      <c r="ADN30" s="49"/>
      <c r="ADO30" s="49"/>
      <c r="ADP30" s="49"/>
      <c r="ADQ30" s="49"/>
      <c r="ADR30" s="49"/>
      <c r="ADS30" s="49"/>
      <c r="ADT30" s="49"/>
      <c r="ADU30" s="49"/>
      <c r="ADV30" s="49"/>
      <c r="ADW30" s="49"/>
      <c r="ADX30" s="49"/>
      <c r="ADY30" s="49"/>
      <c r="ADZ30" s="49"/>
      <c r="AEA30" s="49"/>
      <c r="AEB30" s="49"/>
      <c r="AEC30" s="49"/>
      <c r="AED30" s="49"/>
      <c r="AEE30" s="49"/>
      <c r="AEF30" s="49"/>
      <c r="AEG30" s="49"/>
      <c r="AEH30" s="49"/>
      <c r="AEI30" s="49"/>
      <c r="AEJ30" s="49"/>
      <c r="AEK30" s="49"/>
      <c r="AEL30" s="49"/>
      <c r="AEM30" s="49"/>
      <c r="AEN30" s="49"/>
      <c r="AEO30" s="49"/>
      <c r="AEP30" s="49"/>
      <c r="AEQ30" s="49"/>
      <c r="AER30" s="49"/>
      <c r="AES30" s="49"/>
      <c r="AET30" s="49"/>
      <c r="AEU30" s="49"/>
      <c r="AEV30" s="49"/>
      <c r="AEW30" s="49"/>
      <c r="AEX30" s="49"/>
      <c r="AEY30" s="49"/>
      <c r="AEZ30" s="49"/>
      <c r="AFA30" s="49"/>
      <c r="AFB30" s="49"/>
      <c r="AFC30" s="49"/>
      <c r="AFD30" s="49"/>
      <c r="AFE30" s="49"/>
      <c r="AFF30" s="49"/>
      <c r="AFG30" s="49"/>
      <c r="AFH30" s="49"/>
      <c r="AFI30" s="49"/>
      <c r="AFJ30" s="49"/>
      <c r="AFK30" s="49"/>
      <c r="AFL30" s="49"/>
      <c r="AFM30" s="49"/>
      <c r="AFN30" s="49"/>
      <c r="AFO30" s="49"/>
      <c r="AFP30" s="49"/>
      <c r="AFQ30" s="49"/>
      <c r="AFR30" s="49"/>
      <c r="AFS30" s="49"/>
      <c r="AFT30" s="49"/>
      <c r="AFU30" s="49"/>
      <c r="AFV30" s="49"/>
      <c r="AFW30" s="49"/>
      <c r="AFX30" s="49"/>
      <c r="AFY30" s="49"/>
      <c r="AFZ30" s="49"/>
      <c r="AGA30" s="49"/>
      <c r="AGB30" s="49"/>
      <c r="AGC30" s="49"/>
      <c r="AGD30" s="49"/>
      <c r="AGE30" s="49"/>
      <c r="AGF30" s="49"/>
      <c r="AGG30" s="49"/>
      <c r="AGH30" s="49"/>
      <c r="AGI30" s="49"/>
      <c r="AGJ30" s="49"/>
      <c r="AGK30" s="49"/>
      <c r="AGL30" s="49"/>
      <c r="AGM30" s="49"/>
      <c r="AGN30" s="49"/>
      <c r="AGO30" s="49"/>
      <c r="AGP30" s="49"/>
      <c r="AGQ30" s="49"/>
      <c r="AGR30" s="49"/>
      <c r="AGS30" s="49"/>
      <c r="AGT30" s="49"/>
      <c r="AGU30" s="49"/>
      <c r="AGV30" s="49"/>
      <c r="AGW30" s="49"/>
      <c r="AGX30" s="49"/>
      <c r="AGY30" s="49"/>
      <c r="AGZ30" s="49"/>
      <c r="AHA30" s="49"/>
      <c r="AHB30" s="49"/>
      <c r="AHC30" s="49"/>
      <c r="AHD30" s="49"/>
      <c r="AHE30" s="49"/>
      <c r="AHF30" s="49"/>
      <c r="AHG30" s="49"/>
      <c r="AHH30" s="49"/>
      <c r="AHI30" s="49"/>
      <c r="AHJ30" s="49"/>
      <c r="AHK30" s="49"/>
      <c r="AHL30" s="49"/>
      <c r="AHM30" s="49"/>
      <c r="AHN30" s="49"/>
      <c r="AHO30" s="49"/>
      <c r="AHP30" s="49"/>
      <c r="AHQ30" s="49"/>
      <c r="AHR30" s="49"/>
      <c r="AHS30" s="49"/>
      <c r="AHT30" s="49"/>
      <c r="AHU30" s="49"/>
      <c r="AHV30" s="49"/>
      <c r="AHW30" s="49"/>
      <c r="AHX30" s="49"/>
      <c r="AHY30" s="49"/>
      <c r="AHZ30" s="49"/>
      <c r="AIA30" s="49"/>
      <c r="AIB30" s="49"/>
      <c r="AIC30" s="49"/>
      <c r="AID30" s="49"/>
      <c r="AIE30" s="49"/>
      <c r="AIF30" s="49"/>
      <c r="AIG30" s="49"/>
      <c r="AIH30" s="49"/>
      <c r="AII30" s="49"/>
      <c r="AIJ30" s="49"/>
      <c r="AIK30" s="49"/>
      <c r="AIL30" s="49"/>
      <c r="AIM30" s="49"/>
      <c r="AIN30" s="49"/>
      <c r="AIO30" s="49"/>
      <c r="AIP30" s="49"/>
      <c r="AIQ30" s="49"/>
      <c r="AIR30" s="49"/>
      <c r="AIS30" s="49"/>
      <c r="AIT30" s="49"/>
      <c r="AIU30" s="49"/>
      <c r="AIV30" s="49"/>
      <c r="AIW30" s="49"/>
      <c r="AIX30" s="49"/>
      <c r="AIY30" s="49"/>
      <c r="AIZ30" s="49"/>
      <c r="AJA30" s="49"/>
      <c r="AJB30" s="49"/>
      <c r="AJC30" s="49"/>
      <c r="AJD30" s="49"/>
      <c r="AJE30" s="49"/>
      <c r="AJF30" s="49"/>
      <c r="AJG30" s="49"/>
      <c r="AJH30" s="49"/>
      <c r="AJI30" s="49"/>
      <c r="AJJ30" s="49"/>
      <c r="AJK30" s="49"/>
      <c r="AJL30" s="49"/>
      <c r="AJM30" s="49"/>
      <c r="AJN30" s="49"/>
      <c r="AJO30" s="49"/>
      <c r="AJP30" s="49"/>
      <c r="AJQ30" s="49"/>
      <c r="AJR30" s="49"/>
      <c r="AJS30" s="49"/>
      <c r="AJT30" s="49"/>
      <c r="AJU30" s="49"/>
      <c r="AJV30" s="49"/>
      <c r="AJW30" s="49"/>
      <c r="AJX30" s="49"/>
      <c r="AJY30" s="49"/>
      <c r="AJZ30" s="49"/>
      <c r="AKA30" s="49"/>
      <c r="AKB30" s="49"/>
      <c r="AKC30" s="49"/>
      <c r="AKD30" s="49"/>
      <c r="AKE30" s="49"/>
      <c r="AKF30" s="49"/>
      <c r="AKG30" s="49"/>
      <c r="AKH30" s="49"/>
      <c r="AKI30" s="49"/>
      <c r="AKJ30" s="49"/>
      <c r="AKK30" s="49"/>
      <c r="AKL30" s="49"/>
      <c r="AKM30" s="49"/>
      <c r="AKN30" s="49"/>
      <c r="AKO30" s="49"/>
      <c r="AKP30" s="49"/>
      <c r="AKQ30" s="49"/>
      <c r="AKR30" s="49"/>
      <c r="AKS30" s="49"/>
      <c r="AKT30" s="49"/>
      <c r="AKU30" s="49"/>
      <c r="AKV30" s="49"/>
      <c r="AKW30" s="49"/>
      <c r="AKX30" s="49"/>
      <c r="AKY30" s="49"/>
      <c r="AKZ30" s="49"/>
      <c r="ALA30" s="49"/>
      <c r="ALB30" s="49"/>
      <c r="ALC30" s="49"/>
      <c r="ALD30" s="49"/>
      <c r="ALE30" s="49"/>
      <c r="ALF30" s="49"/>
      <c r="ALG30" s="49"/>
      <c r="ALH30" s="49"/>
      <c r="ALI30" s="49"/>
      <c r="ALJ30" s="49"/>
      <c r="ALK30" s="49"/>
      <c r="ALL30" s="49"/>
      <c r="ALM30" s="49"/>
      <c r="ALN30" s="49"/>
      <c r="ALO30" s="49"/>
      <c r="ALP30" s="49"/>
      <c r="ALQ30" s="49"/>
      <c r="ALR30" s="49"/>
      <c r="ALS30" s="49"/>
      <c r="ALT30" s="49"/>
      <c r="ALU30" s="49"/>
      <c r="ALV30" s="49"/>
      <c r="ALW30" s="49"/>
      <c r="ALX30" s="49"/>
      <c r="ALY30" s="49"/>
      <c r="ALZ30" s="49"/>
      <c r="AMA30" s="49"/>
      <c r="AMB30" s="49"/>
      <c r="AMC30" s="49"/>
      <c r="AMD30" s="49"/>
      <c r="AME30" s="49"/>
      <c r="AMF30" s="49"/>
      <c r="AMG30" s="49"/>
      <c r="AMH30" s="49"/>
      <c r="AMI30" s="49"/>
      <c r="AMJ30" s="49"/>
      <c r="AMK30" s="49"/>
      <c r="AML30" s="49"/>
      <c r="AMM30" s="49"/>
      <c r="AMN30" s="49"/>
      <c r="AMO30" s="49"/>
      <c r="AMP30" s="49"/>
      <c r="AMQ30" s="49"/>
      <c r="AMR30" s="49"/>
      <c r="AMS30" s="49"/>
      <c r="AMT30" s="49"/>
      <c r="AMU30" s="49"/>
      <c r="AMV30" s="49"/>
      <c r="AMW30" s="49"/>
      <c r="AMX30" s="49"/>
      <c r="AMY30" s="49"/>
      <c r="AMZ30" s="49"/>
      <c r="ANA30" s="49"/>
      <c r="ANB30" s="49"/>
      <c r="ANC30" s="49"/>
      <c r="AND30" s="49"/>
      <c r="ANE30" s="49"/>
      <c r="ANF30" s="49"/>
      <c r="ANG30" s="49"/>
      <c r="ANH30" s="49"/>
      <c r="ANI30" s="49"/>
      <c r="ANJ30" s="49"/>
      <c r="ANK30" s="49"/>
      <c r="ANL30" s="49"/>
      <c r="ANM30" s="49"/>
      <c r="ANN30" s="49"/>
      <c r="ANO30" s="49"/>
      <c r="ANP30" s="49"/>
      <c r="ANQ30" s="49"/>
      <c r="ANR30" s="49"/>
      <c r="ANS30" s="49"/>
      <c r="ANT30" s="49"/>
      <c r="ANU30" s="49"/>
      <c r="ANV30" s="49"/>
      <c r="ANW30" s="49"/>
      <c r="ANX30" s="49"/>
      <c r="ANY30" s="49"/>
      <c r="ANZ30" s="49"/>
      <c r="AOA30" s="49"/>
      <c r="AOB30" s="49"/>
      <c r="AOC30" s="49"/>
      <c r="AOD30" s="49"/>
      <c r="AOE30" s="49"/>
      <c r="AOF30" s="49"/>
      <c r="AOG30" s="49"/>
      <c r="AOH30" s="49"/>
      <c r="AOI30" s="49"/>
      <c r="AOJ30" s="49"/>
      <c r="AOK30" s="49"/>
      <c r="AOL30" s="49"/>
      <c r="AOM30" s="49"/>
      <c r="AON30" s="49"/>
      <c r="AOO30" s="49"/>
      <c r="AOP30" s="49"/>
      <c r="AOQ30" s="49"/>
      <c r="AOR30" s="49"/>
      <c r="AOS30" s="49"/>
      <c r="AOT30" s="49"/>
      <c r="AOU30" s="49"/>
      <c r="AOV30" s="49"/>
      <c r="AOW30" s="49"/>
      <c r="AOX30" s="49"/>
      <c r="AOY30" s="49"/>
      <c r="AOZ30" s="49"/>
      <c r="APA30" s="49"/>
      <c r="APB30" s="49"/>
      <c r="APC30" s="49"/>
      <c r="APD30" s="49"/>
      <c r="APE30" s="49"/>
      <c r="APF30" s="49"/>
      <c r="APG30" s="49"/>
      <c r="APH30" s="49"/>
      <c r="API30" s="49"/>
      <c r="APJ30" s="49"/>
      <c r="APK30" s="49"/>
      <c r="APL30" s="49"/>
      <c r="APM30" s="49"/>
      <c r="APN30" s="49"/>
      <c r="APO30" s="49"/>
      <c r="APP30" s="49"/>
      <c r="APQ30" s="49"/>
      <c r="APR30" s="49"/>
      <c r="APS30" s="49"/>
      <c r="APT30" s="49"/>
      <c r="APU30" s="49"/>
      <c r="APV30" s="49"/>
      <c r="APW30" s="49"/>
      <c r="APX30" s="49"/>
      <c r="APY30" s="49"/>
      <c r="APZ30" s="49"/>
      <c r="AQA30" s="49"/>
      <c r="AQB30" s="49"/>
      <c r="AQC30" s="49"/>
      <c r="AQD30" s="49"/>
      <c r="AQE30" s="49"/>
      <c r="AQF30" s="49"/>
      <c r="AQG30" s="49"/>
      <c r="AQH30" s="49"/>
      <c r="AQI30" s="49"/>
      <c r="AQJ30" s="49"/>
      <c r="AQK30" s="49"/>
      <c r="AQL30" s="49"/>
      <c r="AQM30" s="49"/>
      <c r="AQN30" s="49"/>
      <c r="AQO30" s="49"/>
      <c r="AQP30" s="49"/>
      <c r="AQQ30" s="49"/>
      <c r="AQR30" s="49"/>
      <c r="AQS30" s="49"/>
      <c r="AQT30" s="49"/>
      <c r="AQU30" s="49"/>
      <c r="AQV30" s="49"/>
      <c r="AQW30" s="49"/>
      <c r="AQX30" s="49"/>
      <c r="AQY30" s="49"/>
      <c r="AQZ30" s="49"/>
      <c r="ARA30" s="49"/>
      <c r="ARB30" s="49"/>
      <c r="ARC30" s="49"/>
      <c r="ARD30" s="49"/>
      <c r="ARE30" s="49"/>
      <c r="ARF30" s="49"/>
      <c r="ARG30" s="49"/>
      <c r="ARH30" s="49"/>
      <c r="ARI30" s="49"/>
      <c r="ARJ30" s="49"/>
      <c r="ARK30" s="49"/>
      <c r="ARL30" s="49"/>
      <c r="ARM30" s="49"/>
      <c r="ARN30" s="49"/>
      <c r="ARO30" s="49"/>
      <c r="ARP30" s="49"/>
      <c r="ARQ30" s="49"/>
      <c r="ARR30" s="49"/>
      <c r="ARS30" s="49"/>
      <c r="ART30" s="49"/>
      <c r="ARU30" s="49"/>
      <c r="ARV30" s="49"/>
      <c r="ARW30" s="49"/>
      <c r="ARX30" s="49"/>
      <c r="ARY30" s="49"/>
      <c r="ARZ30" s="49"/>
      <c r="ASA30" s="49"/>
      <c r="ASB30" s="49"/>
      <c r="ASC30" s="49"/>
      <c r="ASD30" s="49"/>
      <c r="ASE30" s="49"/>
      <c r="ASF30" s="49"/>
      <c r="ASG30" s="49"/>
      <c r="ASH30" s="49"/>
      <c r="ASI30" s="49"/>
      <c r="ASJ30" s="49"/>
      <c r="ASK30" s="49"/>
      <c r="ASL30" s="49"/>
      <c r="ASM30" s="49"/>
      <c r="ASN30" s="49"/>
      <c r="ASO30" s="49"/>
      <c r="ASP30" s="49"/>
      <c r="ASQ30" s="49"/>
      <c r="ASR30" s="49"/>
      <c r="ASS30" s="49"/>
      <c r="AST30" s="49"/>
      <c r="ASU30" s="49"/>
      <c r="ASV30" s="49"/>
      <c r="ASW30" s="49"/>
      <c r="ASX30" s="49"/>
      <c r="ASY30" s="49"/>
      <c r="ASZ30" s="49"/>
      <c r="ATA30" s="49"/>
      <c r="ATB30" s="49"/>
      <c r="ATC30" s="49"/>
      <c r="ATD30" s="49"/>
      <c r="ATE30" s="49"/>
      <c r="ATF30" s="49"/>
      <c r="ATG30" s="49"/>
      <c r="ATH30" s="49"/>
      <c r="ATI30" s="49"/>
      <c r="ATJ30" s="49"/>
      <c r="ATK30" s="49"/>
      <c r="ATL30" s="49"/>
      <c r="ATM30" s="49"/>
      <c r="ATN30" s="49"/>
      <c r="ATO30" s="49"/>
      <c r="ATP30" s="49"/>
      <c r="ATQ30" s="49"/>
      <c r="ATR30" s="49"/>
      <c r="ATS30" s="49"/>
      <c r="ATT30" s="49"/>
      <c r="ATU30" s="49"/>
      <c r="ATV30" s="49"/>
      <c r="ATW30" s="49"/>
      <c r="ATX30" s="49"/>
      <c r="ATY30" s="49"/>
      <c r="ATZ30" s="49"/>
      <c r="AUA30" s="49"/>
      <c r="AUB30" s="49"/>
      <c r="AUC30" s="49"/>
      <c r="AUD30" s="49"/>
      <c r="AUE30" s="49"/>
      <c r="AUF30" s="49"/>
      <c r="AUG30" s="49"/>
      <c r="AUH30" s="49"/>
      <c r="AUI30" s="49"/>
      <c r="AUJ30" s="49"/>
      <c r="AUK30" s="49"/>
      <c r="AUL30" s="49"/>
      <c r="AUM30" s="49"/>
      <c r="AUN30" s="49"/>
      <c r="AUO30" s="49"/>
      <c r="AUP30" s="49"/>
      <c r="AUQ30" s="49"/>
      <c r="AUR30" s="49"/>
      <c r="AUS30" s="49"/>
      <c r="AUT30" s="49"/>
      <c r="AUU30" s="49"/>
      <c r="AUV30" s="49"/>
      <c r="AUW30" s="49"/>
      <c r="AUX30" s="49"/>
      <c r="AUY30" s="49"/>
      <c r="AUZ30" s="49"/>
      <c r="AVA30" s="49"/>
      <c r="AVB30" s="49"/>
      <c r="AVC30" s="49"/>
      <c r="AVD30" s="49"/>
      <c r="AVE30" s="49"/>
      <c r="AVF30" s="49"/>
      <c r="AVG30" s="49"/>
      <c r="AVH30" s="49"/>
      <c r="AVI30" s="49"/>
      <c r="AVJ30" s="49"/>
      <c r="AVK30" s="49"/>
      <c r="AVL30" s="49"/>
      <c r="AVM30" s="49"/>
      <c r="AVN30" s="49"/>
      <c r="AVO30" s="49"/>
      <c r="AVP30" s="49"/>
      <c r="AVQ30" s="49"/>
      <c r="AVR30" s="49"/>
      <c r="AVS30" s="49"/>
      <c r="AVT30" s="49"/>
      <c r="AVU30" s="49"/>
      <c r="AVV30" s="49"/>
      <c r="AVW30" s="49"/>
      <c r="AVX30" s="49"/>
      <c r="AVY30" s="49"/>
      <c r="AVZ30" s="49"/>
      <c r="AWA30" s="49"/>
      <c r="AWB30" s="49"/>
      <c r="AWC30" s="49"/>
      <c r="AWD30" s="49"/>
      <c r="AWE30" s="49"/>
      <c r="AWF30" s="49"/>
      <c r="AWG30" s="49"/>
      <c r="AWH30" s="49"/>
      <c r="AWI30" s="49"/>
      <c r="AWJ30" s="49"/>
      <c r="AWK30" s="49"/>
      <c r="AWL30" s="49"/>
      <c r="AWM30" s="49"/>
      <c r="AWN30" s="49"/>
      <c r="AWO30" s="49"/>
      <c r="AWP30" s="49"/>
      <c r="AWQ30" s="49"/>
      <c r="AWR30" s="49"/>
      <c r="AWS30" s="49"/>
      <c r="AWT30" s="49"/>
      <c r="AWU30" s="49"/>
      <c r="AWV30" s="49"/>
      <c r="AWW30" s="49"/>
      <c r="AWX30" s="49"/>
      <c r="AWY30" s="49"/>
      <c r="AWZ30" s="49"/>
      <c r="AXA30" s="49"/>
      <c r="AXB30" s="49"/>
      <c r="AXC30" s="49"/>
      <c r="AXD30" s="49"/>
      <c r="AXE30" s="49"/>
      <c r="AXF30" s="49"/>
      <c r="AXG30" s="49"/>
      <c r="AXH30" s="49"/>
      <c r="AXI30" s="49"/>
      <c r="AXJ30" s="49"/>
      <c r="AXK30" s="49"/>
      <c r="AXL30" s="49"/>
      <c r="AXM30" s="49"/>
      <c r="AXN30" s="49"/>
      <c r="AXO30" s="49"/>
      <c r="AXP30" s="49"/>
      <c r="AXQ30" s="49"/>
      <c r="AXR30" s="49"/>
      <c r="AXS30" s="49"/>
      <c r="AXT30" s="49"/>
      <c r="AXU30" s="49"/>
      <c r="AXV30" s="49"/>
      <c r="AXW30" s="49"/>
      <c r="AXX30" s="49"/>
      <c r="AXY30" s="49"/>
      <c r="AXZ30" s="49"/>
      <c r="AYA30" s="49"/>
      <c r="AYB30" s="49"/>
      <c r="AYC30" s="49"/>
      <c r="AYD30" s="49"/>
      <c r="AYE30" s="49"/>
      <c r="AYF30" s="49"/>
      <c r="AYG30" s="49"/>
      <c r="AYH30" s="49"/>
      <c r="AYI30" s="49"/>
      <c r="AYJ30" s="49"/>
      <c r="AYK30" s="49"/>
      <c r="AYL30" s="49"/>
      <c r="AYM30" s="49"/>
      <c r="AYN30" s="49"/>
      <c r="AYO30" s="49"/>
      <c r="AYP30" s="49"/>
      <c r="AYQ30" s="49"/>
      <c r="AYR30" s="49"/>
      <c r="AYS30" s="49"/>
      <c r="AYT30" s="49"/>
      <c r="AYU30" s="49"/>
      <c r="AYV30" s="49"/>
      <c r="AYW30" s="49"/>
      <c r="AYX30" s="49"/>
      <c r="AYY30" s="49"/>
      <c r="AYZ30" s="49"/>
      <c r="AZA30" s="49"/>
      <c r="AZB30" s="49"/>
      <c r="AZC30" s="49"/>
      <c r="AZD30" s="49"/>
      <c r="AZE30" s="49"/>
      <c r="AZF30" s="49"/>
      <c r="AZG30" s="49"/>
      <c r="AZH30" s="49"/>
      <c r="AZI30" s="49"/>
      <c r="AZJ30" s="49"/>
      <c r="AZK30" s="49"/>
      <c r="AZL30" s="49"/>
      <c r="AZM30" s="49"/>
      <c r="AZN30" s="49"/>
      <c r="AZO30" s="49"/>
      <c r="AZP30" s="49"/>
      <c r="AZQ30" s="49"/>
      <c r="AZR30" s="49"/>
      <c r="AZS30" s="49"/>
      <c r="AZT30" s="49"/>
      <c r="AZU30" s="49"/>
      <c r="AZV30" s="49"/>
      <c r="AZW30" s="49"/>
      <c r="AZX30" s="49"/>
      <c r="AZY30" s="49"/>
      <c r="AZZ30" s="49"/>
      <c r="BAA30" s="49"/>
      <c r="BAB30" s="49"/>
      <c r="BAC30" s="49"/>
      <c r="BAD30" s="49"/>
      <c r="BAE30" s="49"/>
      <c r="BAF30" s="49"/>
      <c r="BAG30" s="49"/>
      <c r="BAH30" s="49"/>
      <c r="BAI30" s="49"/>
      <c r="BAJ30" s="49"/>
      <c r="BAK30" s="49"/>
      <c r="BAL30" s="49"/>
      <c r="BAM30" s="49"/>
      <c r="BAN30" s="49"/>
      <c r="BAO30" s="49"/>
      <c r="BAP30" s="49"/>
      <c r="BAQ30" s="49"/>
      <c r="BAR30" s="49"/>
      <c r="BAS30" s="49"/>
      <c r="BAT30" s="49"/>
      <c r="BAU30" s="49"/>
      <c r="BAV30" s="49"/>
      <c r="BAW30" s="49"/>
      <c r="BAX30" s="49"/>
      <c r="BAY30" s="49"/>
      <c r="BAZ30" s="49"/>
      <c r="BBA30" s="49"/>
      <c r="BBB30" s="49"/>
      <c r="BBC30" s="49"/>
      <c r="BBD30" s="49"/>
      <c r="BBE30" s="49"/>
      <c r="BBF30" s="49"/>
      <c r="BBG30" s="49"/>
      <c r="BBH30" s="49"/>
      <c r="BBI30" s="49"/>
      <c r="BBJ30" s="49"/>
      <c r="BBK30" s="49"/>
      <c r="BBL30" s="49"/>
      <c r="BBM30" s="49"/>
      <c r="BBN30" s="49"/>
      <c r="BBO30" s="49"/>
      <c r="BBP30" s="49"/>
      <c r="BBQ30" s="49"/>
      <c r="BBR30" s="49"/>
      <c r="BBS30" s="49"/>
      <c r="BBT30" s="49"/>
      <c r="BBU30" s="49"/>
      <c r="BBV30" s="49"/>
      <c r="BBW30" s="49"/>
      <c r="BBX30" s="49"/>
      <c r="BBY30" s="49"/>
      <c r="BBZ30" s="49"/>
      <c r="BCA30" s="49"/>
      <c r="BCB30" s="49"/>
      <c r="BCC30" s="49"/>
      <c r="BCD30" s="49"/>
      <c r="BCE30" s="49"/>
      <c r="BCF30" s="49"/>
      <c r="BCG30" s="49"/>
      <c r="BCH30" s="49"/>
      <c r="BCI30" s="49"/>
      <c r="BCJ30" s="49"/>
      <c r="BCK30" s="49"/>
      <c r="BCL30" s="49"/>
      <c r="BCM30" s="49"/>
      <c r="BCN30" s="49"/>
    </row>
    <row r="31" spans="1:1444" s="47" customFormat="1">
      <c r="A31" s="52"/>
      <c r="B31" s="190">
        <v>45774</v>
      </c>
      <c r="C31" s="190" t="s">
        <v>198</v>
      </c>
      <c r="D31" s="191">
        <v>19</v>
      </c>
      <c r="E31" s="191">
        <v>37.199999999982538</v>
      </c>
      <c r="F31" s="191">
        <v>0</v>
      </c>
      <c r="G31" s="191">
        <v>0</v>
      </c>
      <c r="H31" s="191">
        <v>25</v>
      </c>
      <c r="I31" s="191">
        <v>38</v>
      </c>
      <c r="J31" s="191">
        <v>1298.8799999999999</v>
      </c>
      <c r="K31" s="191">
        <v>421.53069999988725</v>
      </c>
      <c r="L31" s="191">
        <v>0</v>
      </c>
      <c r="M31" s="257">
        <v>0</v>
      </c>
      <c r="N31" s="189">
        <f>'units overall'!O31</f>
        <v>1852.6106999998697</v>
      </c>
      <c r="O31" s="81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  <c r="FK31" s="49"/>
      <c r="FL31" s="49"/>
      <c r="FM31" s="49"/>
      <c r="FN31" s="49"/>
      <c r="FO31" s="49"/>
      <c r="FP31" s="49"/>
      <c r="FQ31" s="49"/>
      <c r="FR31" s="49"/>
      <c r="FS31" s="49"/>
      <c r="FT31" s="49"/>
      <c r="FU31" s="49"/>
      <c r="FV31" s="49"/>
      <c r="FW31" s="49"/>
      <c r="FX31" s="49"/>
      <c r="FY31" s="49"/>
      <c r="FZ31" s="49"/>
      <c r="GA31" s="49"/>
      <c r="GB31" s="49"/>
      <c r="GC31" s="49"/>
      <c r="GD31" s="49"/>
      <c r="GE31" s="49"/>
      <c r="GF31" s="49"/>
      <c r="GG31" s="49"/>
      <c r="GH31" s="49"/>
      <c r="GI31" s="49"/>
      <c r="GJ31" s="49"/>
      <c r="GK31" s="49"/>
      <c r="GL31" s="49"/>
      <c r="GM31" s="49"/>
      <c r="GN31" s="49"/>
      <c r="GO31" s="49"/>
      <c r="GP31" s="49"/>
      <c r="GQ31" s="49"/>
      <c r="GR31" s="49"/>
      <c r="GS31" s="49"/>
      <c r="GT31" s="49"/>
      <c r="GU31" s="49"/>
      <c r="GV31" s="49"/>
      <c r="GW31" s="49"/>
      <c r="GX31" s="49"/>
      <c r="GY31" s="49"/>
      <c r="GZ31" s="49"/>
      <c r="HA31" s="49"/>
      <c r="HB31" s="49"/>
      <c r="HC31" s="49"/>
      <c r="HD31" s="49"/>
      <c r="HE31" s="49"/>
      <c r="HF31" s="49"/>
      <c r="HG31" s="49"/>
      <c r="HH31" s="49"/>
      <c r="HI31" s="49"/>
      <c r="HJ31" s="49"/>
      <c r="HK31" s="49"/>
      <c r="HL31" s="49"/>
      <c r="HM31" s="49"/>
      <c r="HN31" s="49"/>
      <c r="HO31" s="49"/>
      <c r="HP31" s="49"/>
      <c r="HQ31" s="49"/>
      <c r="HR31" s="49"/>
      <c r="HS31" s="49"/>
      <c r="HT31" s="49"/>
      <c r="HU31" s="49"/>
      <c r="HV31" s="49"/>
      <c r="HW31" s="49"/>
      <c r="HX31" s="49"/>
      <c r="HY31" s="49"/>
      <c r="HZ31" s="49"/>
      <c r="IA31" s="49"/>
      <c r="IB31" s="49"/>
      <c r="IC31" s="49"/>
      <c r="ID31" s="49"/>
      <c r="IE31" s="49"/>
      <c r="IF31" s="49"/>
      <c r="IG31" s="49"/>
      <c r="IH31" s="49"/>
      <c r="II31" s="49"/>
      <c r="IJ31" s="49"/>
      <c r="IK31" s="49"/>
      <c r="IL31" s="49"/>
      <c r="IM31" s="49"/>
      <c r="IN31" s="49"/>
      <c r="IO31" s="49"/>
      <c r="IP31" s="49"/>
      <c r="IQ31" s="49"/>
      <c r="IR31" s="49"/>
      <c r="IS31" s="49"/>
      <c r="IT31" s="49"/>
      <c r="IU31" s="49"/>
      <c r="IV31" s="49"/>
      <c r="IW31" s="49"/>
      <c r="IX31" s="49"/>
      <c r="IY31" s="49"/>
      <c r="IZ31" s="49"/>
      <c r="JA31" s="49"/>
      <c r="JB31" s="49"/>
      <c r="JC31" s="49"/>
      <c r="JD31" s="49"/>
      <c r="JE31" s="49"/>
      <c r="JF31" s="49"/>
      <c r="JG31" s="49"/>
      <c r="JH31" s="49"/>
      <c r="JI31" s="49"/>
      <c r="JJ31" s="49"/>
      <c r="JK31" s="49"/>
      <c r="JL31" s="49"/>
      <c r="JM31" s="49"/>
      <c r="JN31" s="49"/>
      <c r="JO31" s="49"/>
      <c r="JP31" s="49"/>
      <c r="JQ31" s="49"/>
      <c r="JR31" s="49"/>
      <c r="JS31" s="49"/>
      <c r="JT31" s="49"/>
      <c r="JU31" s="49"/>
      <c r="JV31" s="49"/>
      <c r="JW31" s="49"/>
      <c r="JX31" s="49"/>
      <c r="JY31" s="49"/>
      <c r="JZ31" s="49"/>
      <c r="KA31" s="49"/>
      <c r="KB31" s="49"/>
      <c r="KC31" s="49"/>
      <c r="KD31" s="49"/>
      <c r="KE31" s="49"/>
      <c r="KF31" s="49"/>
      <c r="KG31" s="49"/>
      <c r="KH31" s="49"/>
      <c r="KI31" s="49"/>
      <c r="KJ31" s="49"/>
      <c r="KK31" s="49"/>
      <c r="KL31" s="49"/>
      <c r="KM31" s="49"/>
      <c r="KN31" s="49"/>
      <c r="KO31" s="49"/>
      <c r="KP31" s="49"/>
      <c r="KQ31" s="49"/>
      <c r="KR31" s="49"/>
      <c r="KS31" s="49"/>
      <c r="KT31" s="49"/>
      <c r="KU31" s="49"/>
      <c r="KV31" s="49"/>
      <c r="KW31" s="49"/>
      <c r="KX31" s="49"/>
      <c r="KY31" s="49"/>
      <c r="KZ31" s="49"/>
      <c r="LA31" s="49"/>
      <c r="LB31" s="49"/>
      <c r="LC31" s="49"/>
      <c r="LD31" s="49"/>
      <c r="LE31" s="49"/>
      <c r="LF31" s="49"/>
      <c r="LG31" s="49"/>
      <c r="LH31" s="49"/>
      <c r="LI31" s="49"/>
      <c r="LJ31" s="49"/>
      <c r="LK31" s="49"/>
      <c r="LL31" s="49"/>
      <c r="LM31" s="49"/>
      <c r="LN31" s="49"/>
      <c r="LO31" s="49"/>
      <c r="LP31" s="49"/>
      <c r="LQ31" s="49"/>
      <c r="LR31" s="49"/>
      <c r="LS31" s="49"/>
      <c r="LT31" s="49"/>
      <c r="LU31" s="49"/>
      <c r="LV31" s="49"/>
      <c r="LW31" s="49"/>
      <c r="LX31" s="49"/>
      <c r="LY31" s="49"/>
      <c r="LZ31" s="49"/>
      <c r="MA31" s="49"/>
      <c r="MB31" s="49"/>
      <c r="MC31" s="49"/>
      <c r="MD31" s="49"/>
      <c r="ME31" s="49"/>
      <c r="MF31" s="49"/>
      <c r="MG31" s="49"/>
      <c r="MH31" s="49"/>
      <c r="MI31" s="49"/>
      <c r="MJ31" s="49"/>
      <c r="MK31" s="49"/>
      <c r="ML31" s="49"/>
      <c r="MM31" s="49"/>
      <c r="MN31" s="49"/>
      <c r="MO31" s="49"/>
      <c r="MP31" s="49"/>
      <c r="MQ31" s="49"/>
      <c r="MR31" s="49"/>
      <c r="MS31" s="49"/>
      <c r="MT31" s="49"/>
      <c r="MU31" s="49"/>
      <c r="MV31" s="49"/>
      <c r="MW31" s="49"/>
      <c r="MX31" s="49"/>
      <c r="MY31" s="49"/>
      <c r="MZ31" s="49"/>
      <c r="NA31" s="49"/>
      <c r="NB31" s="49"/>
      <c r="NC31" s="49"/>
      <c r="ND31" s="49"/>
      <c r="NE31" s="49"/>
      <c r="NF31" s="49"/>
      <c r="NG31" s="49"/>
      <c r="NH31" s="49"/>
      <c r="NI31" s="49"/>
      <c r="NJ31" s="49"/>
      <c r="NK31" s="49"/>
      <c r="NL31" s="49"/>
      <c r="NM31" s="49"/>
      <c r="NN31" s="49"/>
      <c r="NO31" s="49"/>
      <c r="NP31" s="49"/>
      <c r="NQ31" s="49"/>
      <c r="NR31" s="49"/>
      <c r="NS31" s="49"/>
      <c r="NT31" s="49"/>
      <c r="NU31" s="49"/>
      <c r="NV31" s="49"/>
      <c r="NW31" s="49"/>
      <c r="NX31" s="49"/>
      <c r="NY31" s="49"/>
      <c r="NZ31" s="49"/>
      <c r="OA31" s="49"/>
      <c r="OB31" s="49"/>
      <c r="OC31" s="49"/>
      <c r="OD31" s="49"/>
      <c r="OE31" s="49"/>
      <c r="OF31" s="49"/>
      <c r="OG31" s="49"/>
      <c r="OH31" s="49"/>
      <c r="OI31" s="49"/>
      <c r="OJ31" s="49"/>
      <c r="OK31" s="49"/>
      <c r="OL31" s="49"/>
      <c r="OM31" s="49"/>
      <c r="ON31" s="49"/>
      <c r="OO31" s="49"/>
      <c r="OP31" s="49"/>
      <c r="OQ31" s="49"/>
      <c r="OR31" s="49"/>
      <c r="OS31" s="49"/>
      <c r="OT31" s="49"/>
      <c r="OU31" s="49"/>
      <c r="OV31" s="49"/>
      <c r="OW31" s="49"/>
      <c r="OX31" s="49"/>
      <c r="OY31" s="49"/>
      <c r="OZ31" s="49"/>
      <c r="PA31" s="49"/>
      <c r="PB31" s="49"/>
      <c r="PC31" s="49"/>
      <c r="PD31" s="49"/>
      <c r="PE31" s="49"/>
      <c r="PF31" s="49"/>
      <c r="PG31" s="49"/>
      <c r="PH31" s="49"/>
      <c r="PI31" s="49"/>
      <c r="PJ31" s="49"/>
      <c r="PK31" s="49"/>
      <c r="PL31" s="49"/>
      <c r="PM31" s="49"/>
      <c r="PN31" s="49"/>
      <c r="PO31" s="49"/>
      <c r="PP31" s="49"/>
      <c r="PQ31" s="49"/>
      <c r="PR31" s="49"/>
      <c r="PS31" s="49"/>
      <c r="PT31" s="49"/>
      <c r="PU31" s="49"/>
      <c r="PV31" s="49"/>
      <c r="PW31" s="49"/>
      <c r="PX31" s="49"/>
      <c r="PY31" s="49"/>
      <c r="PZ31" s="49"/>
      <c r="QA31" s="49"/>
      <c r="QB31" s="49"/>
      <c r="QC31" s="49"/>
      <c r="QD31" s="49"/>
      <c r="QE31" s="49"/>
      <c r="QF31" s="49"/>
      <c r="QG31" s="49"/>
      <c r="QH31" s="49"/>
      <c r="QI31" s="49"/>
      <c r="QJ31" s="49"/>
      <c r="QK31" s="49"/>
      <c r="QL31" s="49"/>
      <c r="QM31" s="49"/>
      <c r="QN31" s="49"/>
      <c r="QO31" s="49"/>
      <c r="QP31" s="49"/>
      <c r="QQ31" s="49"/>
      <c r="QR31" s="49"/>
      <c r="QS31" s="49"/>
      <c r="QT31" s="49"/>
      <c r="QU31" s="49"/>
      <c r="QV31" s="49"/>
      <c r="QW31" s="49"/>
      <c r="QX31" s="49"/>
      <c r="QY31" s="49"/>
      <c r="QZ31" s="49"/>
      <c r="RA31" s="49"/>
      <c r="RB31" s="49"/>
      <c r="RC31" s="49"/>
      <c r="RD31" s="49"/>
      <c r="RE31" s="49"/>
      <c r="RF31" s="49"/>
      <c r="RG31" s="49"/>
      <c r="RH31" s="49"/>
      <c r="RI31" s="49"/>
      <c r="RJ31" s="49"/>
      <c r="RK31" s="49"/>
      <c r="RL31" s="49"/>
      <c r="RM31" s="49"/>
      <c r="RN31" s="49"/>
      <c r="RO31" s="49"/>
      <c r="RP31" s="49"/>
      <c r="RQ31" s="49"/>
      <c r="RR31" s="49"/>
      <c r="RS31" s="49"/>
      <c r="RT31" s="49"/>
      <c r="RU31" s="49"/>
      <c r="RV31" s="49"/>
      <c r="RW31" s="49"/>
      <c r="RX31" s="49"/>
      <c r="RY31" s="49"/>
      <c r="RZ31" s="49"/>
      <c r="SA31" s="49"/>
      <c r="SB31" s="49"/>
      <c r="SC31" s="49"/>
      <c r="SD31" s="49"/>
      <c r="SE31" s="49"/>
      <c r="SF31" s="49"/>
      <c r="SG31" s="49"/>
      <c r="SH31" s="49"/>
      <c r="SI31" s="49"/>
      <c r="SJ31" s="49"/>
      <c r="SK31" s="49"/>
      <c r="SL31" s="49"/>
      <c r="SM31" s="49"/>
      <c r="SN31" s="49"/>
      <c r="SO31" s="49"/>
      <c r="SP31" s="49"/>
      <c r="SQ31" s="49"/>
      <c r="SR31" s="49"/>
      <c r="SS31" s="49"/>
      <c r="ST31" s="49"/>
      <c r="SU31" s="49"/>
      <c r="SV31" s="49"/>
      <c r="SW31" s="49"/>
      <c r="SX31" s="49"/>
      <c r="SY31" s="49"/>
      <c r="SZ31" s="49"/>
      <c r="TA31" s="49"/>
      <c r="TB31" s="49"/>
      <c r="TC31" s="49"/>
      <c r="TD31" s="49"/>
      <c r="TE31" s="49"/>
      <c r="TF31" s="49"/>
      <c r="TG31" s="49"/>
      <c r="TH31" s="49"/>
      <c r="TI31" s="49"/>
      <c r="TJ31" s="49"/>
      <c r="TK31" s="49"/>
      <c r="TL31" s="49"/>
      <c r="TM31" s="49"/>
      <c r="TN31" s="49"/>
      <c r="TO31" s="49"/>
      <c r="TP31" s="49"/>
      <c r="TQ31" s="49"/>
      <c r="TR31" s="49"/>
      <c r="TS31" s="49"/>
      <c r="TT31" s="49"/>
      <c r="TU31" s="49"/>
      <c r="TV31" s="49"/>
      <c r="TW31" s="49"/>
      <c r="TX31" s="49"/>
      <c r="TY31" s="49"/>
      <c r="TZ31" s="49"/>
      <c r="UA31" s="49"/>
      <c r="UB31" s="49"/>
      <c r="UC31" s="49"/>
      <c r="UD31" s="49"/>
      <c r="UE31" s="49"/>
      <c r="UF31" s="49"/>
      <c r="UG31" s="49"/>
      <c r="UH31" s="49"/>
      <c r="UI31" s="49"/>
      <c r="UJ31" s="49"/>
      <c r="UK31" s="49"/>
      <c r="UL31" s="49"/>
      <c r="UM31" s="49"/>
      <c r="UN31" s="49"/>
      <c r="UO31" s="49"/>
      <c r="UP31" s="49"/>
      <c r="UQ31" s="49"/>
      <c r="UR31" s="49"/>
      <c r="US31" s="49"/>
      <c r="UT31" s="49"/>
      <c r="UU31" s="49"/>
      <c r="UV31" s="49"/>
      <c r="UW31" s="49"/>
      <c r="UX31" s="49"/>
      <c r="UY31" s="49"/>
      <c r="UZ31" s="49"/>
      <c r="VA31" s="49"/>
      <c r="VB31" s="49"/>
      <c r="VC31" s="49"/>
      <c r="VD31" s="49"/>
      <c r="VE31" s="49"/>
      <c r="VF31" s="49"/>
      <c r="VG31" s="49"/>
      <c r="VH31" s="49"/>
      <c r="VI31" s="49"/>
      <c r="VJ31" s="49"/>
      <c r="VK31" s="49"/>
      <c r="VL31" s="49"/>
      <c r="VM31" s="49"/>
      <c r="VN31" s="49"/>
      <c r="VO31" s="49"/>
      <c r="VP31" s="49"/>
      <c r="VQ31" s="49"/>
      <c r="VR31" s="49"/>
      <c r="VS31" s="49"/>
      <c r="VT31" s="49"/>
      <c r="VU31" s="49"/>
      <c r="VV31" s="49"/>
      <c r="VW31" s="49"/>
      <c r="VX31" s="49"/>
      <c r="VY31" s="49"/>
      <c r="VZ31" s="49"/>
      <c r="WA31" s="49"/>
      <c r="WB31" s="49"/>
      <c r="WC31" s="49"/>
      <c r="WD31" s="49"/>
      <c r="WE31" s="49"/>
      <c r="WF31" s="49"/>
      <c r="WG31" s="49"/>
      <c r="WH31" s="49"/>
      <c r="WI31" s="49"/>
      <c r="WJ31" s="49"/>
      <c r="WK31" s="49"/>
      <c r="WL31" s="49"/>
      <c r="WM31" s="49"/>
      <c r="WN31" s="49"/>
      <c r="WO31" s="49"/>
      <c r="WP31" s="49"/>
      <c r="WQ31" s="49"/>
      <c r="WR31" s="49"/>
      <c r="WS31" s="49"/>
      <c r="WT31" s="49"/>
      <c r="WU31" s="49"/>
      <c r="WV31" s="49"/>
      <c r="WW31" s="49"/>
      <c r="WX31" s="49"/>
      <c r="WY31" s="49"/>
      <c r="WZ31" s="49"/>
      <c r="XA31" s="49"/>
      <c r="XB31" s="49"/>
      <c r="XC31" s="49"/>
      <c r="XD31" s="49"/>
      <c r="XE31" s="49"/>
      <c r="XF31" s="49"/>
      <c r="XG31" s="49"/>
      <c r="XH31" s="49"/>
      <c r="XI31" s="49"/>
      <c r="XJ31" s="49"/>
      <c r="XK31" s="49"/>
      <c r="XL31" s="49"/>
      <c r="XM31" s="49"/>
      <c r="XN31" s="49"/>
      <c r="XO31" s="49"/>
      <c r="XP31" s="49"/>
      <c r="XQ31" s="49"/>
      <c r="XR31" s="49"/>
      <c r="XS31" s="49"/>
      <c r="XT31" s="49"/>
      <c r="XU31" s="49"/>
      <c r="XV31" s="49"/>
      <c r="XW31" s="49"/>
      <c r="XX31" s="49"/>
      <c r="XY31" s="49"/>
      <c r="XZ31" s="49"/>
      <c r="YA31" s="49"/>
      <c r="YB31" s="49"/>
      <c r="YC31" s="49"/>
      <c r="YD31" s="49"/>
      <c r="YE31" s="49"/>
      <c r="YF31" s="49"/>
      <c r="YG31" s="49"/>
      <c r="YH31" s="49"/>
      <c r="YI31" s="49"/>
      <c r="YJ31" s="49"/>
      <c r="YK31" s="49"/>
      <c r="YL31" s="49"/>
      <c r="YM31" s="49"/>
      <c r="YN31" s="49"/>
      <c r="YO31" s="49"/>
      <c r="YP31" s="49"/>
      <c r="YQ31" s="49"/>
      <c r="YR31" s="49"/>
      <c r="YS31" s="49"/>
      <c r="YT31" s="49"/>
      <c r="YU31" s="49"/>
      <c r="YV31" s="49"/>
      <c r="YW31" s="49"/>
      <c r="YX31" s="49"/>
      <c r="YY31" s="49"/>
      <c r="YZ31" s="49"/>
      <c r="ZA31" s="49"/>
      <c r="ZB31" s="49"/>
      <c r="ZC31" s="49"/>
      <c r="ZD31" s="49"/>
      <c r="ZE31" s="49"/>
      <c r="ZF31" s="49"/>
      <c r="ZG31" s="49"/>
      <c r="ZH31" s="49"/>
      <c r="ZI31" s="49"/>
      <c r="ZJ31" s="49"/>
      <c r="ZK31" s="49"/>
      <c r="ZL31" s="49"/>
      <c r="ZM31" s="49"/>
      <c r="ZN31" s="49"/>
      <c r="ZO31" s="49"/>
      <c r="ZP31" s="49"/>
      <c r="ZQ31" s="49"/>
      <c r="ZR31" s="49"/>
      <c r="ZS31" s="49"/>
      <c r="ZT31" s="49"/>
      <c r="ZU31" s="49"/>
      <c r="ZV31" s="49"/>
      <c r="ZW31" s="49"/>
      <c r="ZX31" s="49"/>
      <c r="ZY31" s="49"/>
      <c r="ZZ31" s="49"/>
      <c r="AAA31" s="49"/>
      <c r="AAB31" s="49"/>
      <c r="AAC31" s="49"/>
      <c r="AAD31" s="49"/>
      <c r="AAE31" s="49"/>
      <c r="AAF31" s="49"/>
      <c r="AAG31" s="49"/>
      <c r="AAH31" s="49"/>
      <c r="AAI31" s="49"/>
      <c r="AAJ31" s="49"/>
      <c r="AAK31" s="49"/>
      <c r="AAL31" s="49"/>
      <c r="AAM31" s="49"/>
      <c r="AAN31" s="49"/>
      <c r="AAO31" s="49"/>
      <c r="AAP31" s="49"/>
      <c r="AAQ31" s="49"/>
      <c r="AAR31" s="49"/>
      <c r="AAS31" s="49"/>
      <c r="AAT31" s="49"/>
      <c r="AAU31" s="49"/>
      <c r="AAV31" s="49"/>
      <c r="AAW31" s="49"/>
      <c r="AAX31" s="49"/>
      <c r="AAY31" s="49"/>
      <c r="AAZ31" s="49"/>
      <c r="ABA31" s="49"/>
      <c r="ABB31" s="49"/>
      <c r="ABC31" s="49"/>
      <c r="ABD31" s="49"/>
      <c r="ABE31" s="49"/>
      <c r="ABF31" s="49"/>
      <c r="ABG31" s="49"/>
      <c r="ABH31" s="49"/>
      <c r="ABI31" s="49"/>
      <c r="ABJ31" s="49"/>
      <c r="ABK31" s="49"/>
      <c r="ABL31" s="49"/>
      <c r="ABM31" s="49"/>
      <c r="ABN31" s="49"/>
      <c r="ABO31" s="49"/>
      <c r="ABP31" s="49"/>
      <c r="ABQ31" s="49"/>
      <c r="ABR31" s="49"/>
      <c r="ABS31" s="49"/>
      <c r="ABT31" s="49"/>
      <c r="ABU31" s="49"/>
      <c r="ABV31" s="49"/>
      <c r="ABW31" s="49"/>
      <c r="ABX31" s="49"/>
      <c r="ABY31" s="49"/>
      <c r="ABZ31" s="49"/>
      <c r="ACA31" s="49"/>
      <c r="ACB31" s="49"/>
      <c r="ACC31" s="49"/>
      <c r="ACD31" s="49"/>
      <c r="ACE31" s="49"/>
      <c r="ACF31" s="49"/>
      <c r="ACG31" s="49"/>
      <c r="ACH31" s="49"/>
      <c r="ACI31" s="49"/>
      <c r="ACJ31" s="49"/>
      <c r="ACK31" s="49"/>
      <c r="ACL31" s="49"/>
      <c r="ACM31" s="49"/>
      <c r="ACN31" s="49"/>
      <c r="ACO31" s="49"/>
      <c r="ACP31" s="49"/>
      <c r="ACQ31" s="49"/>
      <c r="ACR31" s="49"/>
      <c r="ACS31" s="49"/>
      <c r="ACT31" s="49"/>
      <c r="ACU31" s="49"/>
      <c r="ACV31" s="49"/>
      <c r="ACW31" s="49"/>
      <c r="ACX31" s="49"/>
      <c r="ACY31" s="49"/>
      <c r="ACZ31" s="49"/>
      <c r="ADA31" s="49"/>
      <c r="ADB31" s="49"/>
      <c r="ADC31" s="49"/>
      <c r="ADD31" s="49"/>
      <c r="ADE31" s="49"/>
      <c r="ADF31" s="49"/>
      <c r="ADG31" s="49"/>
      <c r="ADH31" s="49"/>
      <c r="ADI31" s="49"/>
      <c r="ADJ31" s="49"/>
      <c r="ADK31" s="49"/>
      <c r="ADL31" s="49"/>
      <c r="ADM31" s="49"/>
      <c r="ADN31" s="49"/>
      <c r="ADO31" s="49"/>
      <c r="ADP31" s="49"/>
      <c r="ADQ31" s="49"/>
      <c r="ADR31" s="49"/>
      <c r="ADS31" s="49"/>
      <c r="ADT31" s="49"/>
      <c r="ADU31" s="49"/>
      <c r="ADV31" s="49"/>
      <c r="ADW31" s="49"/>
      <c r="ADX31" s="49"/>
      <c r="ADY31" s="49"/>
      <c r="ADZ31" s="49"/>
      <c r="AEA31" s="49"/>
      <c r="AEB31" s="49"/>
      <c r="AEC31" s="49"/>
      <c r="AED31" s="49"/>
      <c r="AEE31" s="49"/>
      <c r="AEF31" s="49"/>
      <c r="AEG31" s="49"/>
      <c r="AEH31" s="49"/>
      <c r="AEI31" s="49"/>
      <c r="AEJ31" s="49"/>
      <c r="AEK31" s="49"/>
      <c r="AEL31" s="49"/>
      <c r="AEM31" s="49"/>
      <c r="AEN31" s="49"/>
      <c r="AEO31" s="49"/>
      <c r="AEP31" s="49"/>
      <c r="AEQ31" s="49"/>
      <c r="AER31" s="49"/>
      <c r="AES31" s="49"/>
      <c r="AET31" s="49"/>
      <c r="AEU31" s="49"/>
      <c r="AEV31" s="49"/>
      <c r="AEW31" s="49"/>
      <c r="AEX31" s="49"/>
      <c r="AEY31" s="49"/>
      <c r="AEZ31" s="49"/>
      <c r="AFA31" s="49"/>
      <c r="AFB31" s="49"/>
      <c r="AFC31" s="49"/>
      <c r="AFD31" s="49"/>
      <c r="AFE31" s="49"/>
      <c r="AFF31" s="49"/>
      <c r="AFG31" s="49"/>
      <c r="AFH31" s="49"/>
      <c r="AFI31" s="49"/>
      <c r="AFJ31" s="49"/>
      <c r="AFK31" s="49"/>
      <c r="AFL31" s="49"/>
      <c r="AFM31" s="49"/>
      <c r="AFN31" s="49"/>
      <c r="AFO31" s="49"/>
      <c r="AFP31" s="49"/>
      <c r="AFQ31" s="49"/>
      <c r="AFR31" s="49"/>
      <c r="AFS31" s="49"/>
      <c r="AFT31" s="49"/>
      <c r="AFU31" s="49"/>
      <c r="AFV31" s="49"/>
      <c r="AFW31" s="49"/>
      <c r="AFX31" s="49"/>
      <c r="AFY31" s="49"/>
      <c r="AFZ31" s="49"/>
      <c r="AGA31" s="49"/>
      <c r="AGB31" s="49"/>
      <c r="AGC31" s="49"/>
      <c r="AGD31" s="49"/>
      <c r="AGE31" s="49"/>
      <c r="AGF31" s="49"/>
      <c r="AGG31" s="49"/>
      <c r="AGH31" s="49"/>
      <c r="AGI31" s="49"/>
      <c r="AGJ31" s="49"/>
      <c r="AGK31" s="49"/>
      <c r="AGL31" s="49"/>
      <c r="AGM31" s="49"/>
      <c r="AGN31" s="49"/>
      <c r="AGO31" s="49"/>
      <c r="AGP31" s="49"/>
      <c r="AGQ31" s="49"/>
      <c r="AGR31" s="49"/>
      <c r="AGS31" s="49"/>
      <c r="AGT31" s="49"/>
      <c r="AGU31" s="49"/>
      <c r="AGV31" s="49"/>
      <c r="AGW31" s="49"/>
      <c r="AGX31" s="49"/>
      <c r="AGY31" s="49"/>
      <c r="AGZ31" s="49"/>
      <c r="AHA31" s="49"/>
      <c r="AHB31" s="49"/>
      <c r="AHC31" s="49"/>
      <c r="AHD31" s="49"/>
      <c r="AHE31" s="49"/>
      <c r="AHF31" s="49"/>
      <c r="AHG31" s="49"/>
      <c r="AHH31" s="49"/>
      <c r="AHI31" s="49"/>
      <c r="AHJ31" s="49"/>
      <c r="AHK31" s="49"/>
      <c r="AHL31" s="49"/>
      <c r="AHM31" s="49"/>
      <c r="AHN31" s="49"/>
      <c r="AHO31" s="49"/>
      <c r="AHP31" s="49"/>
      <c r="AHQ31" s="49"/>
      <c r="AHR31" s="49"/>
      <c r="AHS31" s="49"/>
      <c r="AHT31" s="49"/>
      <c r="AHU31" s="49"/>
      <c r="AHV31" s="49"/>
      <c r="AHW31" s="49"/>
      <c r="AHX31" s="49"/>
      <c r="AHY31" s="49"/>
      <c r="AHZ31" s="49"/>
      <c r="AIA31" s="49"/>
      <c r="AIB31" s="49"/>
      <c r="AIC31" s="49"/>
      <c r="AID31" s="49"/>
      <c r="AIE31" s="49"/>
      <c r="AIF31" s="49"/>
      <c r="AIG31" s="49"/>
      <c r="AIH31" s="49"/>
      <c r="AII31" s="49"/>
      <c r="AIJ31" s="49"/>
      <c r="AIK31" s="49"/>
      <c r="AIL31" s="49"/>
      <c r="AIM31" s="49"/>
      <c r="AIN31" s="49"/>
      <c r="AIO31" s="49"/>
      <c r="AIP31" s="49"/>
      <c r="AIQ31" s="49"/>
      <c r="AIR31" s="49"/>
      <c r="AIS31" s="49"/>
      <c r="AIT31" s="49"/>
      <c r="AIU31" s="49"/>
      <c r="AIV31" s="49"/>
      <c r="AIW31" s="49"/>
      <c r="AIX31" s="49"/>
      <c r="AIY31" s="49"/>
      <c r="AIZ31" s="49"/>
      <c r="AJA31" s="49"/>
      <c r="AJB31" s="49"/>
      <c r="AJC31" s="49"/>
      <c r="AJD31" s="49"/>
      <c r="AJE31" s="49"/>
      <c r="AJF31" s="49"/>
      <c r="AJG31" s="49"/>
      <c r="AJH31" s="49"/>
      <c r="AJI31" s="49"/>
      <c r="AJJ31" s="49"/>
      <c r="AJK31" s="49"/>
      <c r="AJL31" s="49"/>
      <c r="AJM31" s="49"/>
      <c r="AJN31" s="49"/>
      <c r="AJO31" s="49"/>
      <c r="AJP31" s="49"/>
      <c r="AJQ31" s="49"/>
      <c r="AJR31" s="49"/>
      <c r="AJS31" s="49"/>
      <c r="AJT31" s="49"/>
      <c r="AJU31" s="49"/>
      <c r="AJV31" s="49"/>
      <c r="AJW31" s="49"/>
      <c r="AJX31" s="49"/>
      <c r="AJY31" s="49"/>
      <c r="AJZ31" s="49"/>
      <c r="AKA31" s="49"/>
      <c r="AKB31" s="49"/>
      <c r="AKC31" s="49"/>
      <c r="AKD31" s="49"/>
      <c r="AKE31" s="49"/>
      <c r="AKF31" s="49"/>
      <c r="AKG31" s="49"/>
      <c r="AKH31" s="49"/>
      <c r="AKI31" s="49"/>
      <c r="AKJ31" s="49"/>
      <c r="AKK31" s="49"/>
      <c r="AKL31" s="49"/>
      <c r="AKM31" s="49"/>
      <c r="AKN31" s="49"/>
      <c r="AKO31" s="49"/>
      <c r="AKP31" s="49"/>
      <c r="AKQ31" s="49"/>
      <c r="AKR31" s="49"/>
      <c r="AKS31" s="49"/>
      <c r="AKT31" s="49"/>
      <c r="AKU31" s="49"/>
      <c r="AKV31" s="49"/>
      <c r="AKW31" s="49"/>
      <c r="AKX31" s="49"/>
      <c r="AKY31" s="49"/>
      <c r="AKZ31" s="49"/>
      <c r="ALA31" s="49"/>
      <c r="ALB31" s="49"/>
      <c r="ALC31" s="49"/>
      <c r="ALD31" s="49"/>
      <c r="ALE31" s="49"/>
      <c r="ALF31" s="49"/>
      <c r="ALG31" s="49"/>
      <c r="ALH31" s="49"/>
      <c r="ALI31" s="49"/>
      <c r="ALJ31" s="49"/>
      <c r="ALK31" s="49"/>
      <c r="ALL31" s="49"/>
      <c r="ALM31" s="49"/>
      <c r="ALN31" s="49"/>
      <c r="ALO31" s="49"/>
      <c r="ALP31" s="49"/>
      <c r="ALQ31" s="49"/>
      <c r="ALR31" s="49"/>
      <c r="ALS31" s="49"/>
      <c r="ALT31" s="49"/>
      <c r="ALU31" s="49"/>
      <c r="ALV31" s="49"/>
      <c r="ALW31" s="49"/>
      <c r="ALX31" s="49"/>
      <c r="ALY31" s="49"/>
      <c r="ALZ31" s="49"/>
      <c r="AMA31" s="49"/>
      <c r="AMB31" s="49"/>
      <c r="AMC31" s="49"/>
      <c r="AMD31" s="49"/>
      <c r="AME31" s="49"/>
      <c r="AMF31" s="49"/>
      <c r="AMG31" s="49"/>
      <c r="AMH31" s="49"/>
      <c r="AMI31" s="49"/>
      <c r="AMJ31" s="49"/>
      <c r="AMK31" s="49"/>
      <c r="AML31" s="49"/>
      <c r="AMM31" s="49"/>
      <c r="AMN31" s="49"/>
      <c r="AMO31" s="49"/>
      <c r="AMP31" s="49"/>
      <c r="AMQ31" s="49"/>
      <c r="AMR31" s="49"/>
      <c r="AMS31" s="49"/>
      <c r="AMT31" s="49"/>
      <c r="AMU31" s="49"/>
      <c r="AMV31" s="49"/>
      <c r="AMW31" s="49"/>
      <c r="AMX31" s="49"/>
      <c r="AMY31" s="49"/>
      <c r="AMZ31" s="49"/>
      <c r="ANA31" s="49"/>
      <c r="ANB31" s="49"/>
      <c r="ANC31" s="49"/>
      <c r="AND31" s="49"/>
      <c r="ANE31" s="49"/>
      <c r="ANF31" s="49"/>
      <c r="ANG31" s="49"/>
      <c r="ANH31" s="49"/>
      <c r="ANI31" s="49"/>
      <c r="ANJ31" s="49"/>
      <c r="ANK31" s="49"/>
      <c r="ANL31" s="49"/>
      <c r="ANM31" s="49"/>
      <c r="ANN31" s="49"/>
      <c r="ANO31" s="49"/>
      <c r="ANP31" s="49"/>
      <c r="ANQ31" s="49"/>
      <c r="ANR31" s="49"/>
      <c r="ANS31" s="49"/>
      <c r="ANT31" s="49"/>
      <c r="ANU31" s="49"/>
      <c r="ANV31" s="49"/>
      <c r="ANW31" s="49"/>
      <c r="ANX31" s="49"/>
      <c r="ANY31" s="49"/>
      <c r="ANZ31" s="49"/>
      <c r="AOA31" s="49"/>
      <c r="AOB31" s="49"/>
      <c r="AOC31" s="49"/>
      <c r="AOD31" s="49"/>
      <c r="AOE31" s="49"/>
      <c r="AOF31" s="49"/>
      <c r="AOG31" s="49"/>
      <c r="AOH31" s="49"/>
      <c r="AOI31" s="49"/>
      <c r="AOJ31" s="49"/>
      <c r="AOK31" s="49"/>
      <c r="AOL31" s="49"/>
      <c r="AOM31" s="49"/>
      <c r="AON31" s="49"/>
      <c r="AOO31" s="49"/>
      <c r="AOP31" s="49"/>
      <c r="AOQ31" s="49"/>
      <c r="AOR31" s="49"/>
      <c r="AOS31" s="49"/>
      <c r="AOT31" s="49"/>
      <c r="AOU31" s="49"/>
      <c r="AOV31" s="49"/>
      <c r="AOW31" s="49"/>
      <c r="AOX31" s="49"/>
      <c r="AOY31" s="49"/>
      <c r="AOZ31" s="49"/>
      <c r="APA31" s="49"/>
      <c r="APB31" s="49"/>
      <c r="APC31" s="49"/>
      <c r="APD31" s="49"/>
      <c r="APE31" s="49"/>
      <c r="APF31" s="49"/>
      <c r="APG31" s="49"/>
      <c r="APH31" s="49"/>
      <c r="API31" s="49"/>
      <c r="APJ31" s="49"/>
      <c r="APK31" s="49"/>
      <c r="APL31" s="49"/>
      <c r="APM31" s="49"/>
      <c r="APN31" s="49"/>
      <c r="APO31" s="49"/>
      <c r="APP31" s="49"/>
      <c r="APQ31" s="49"/>
      <c r="APR31" s="49"/>
      <c r="APS31" s="49"/>
      <c r="APT31" s="49"/>
      <c r="APU31" s="49"/>
      <c r="APV31" s="49"/>
      <c r="APW31" s="49"/>
      <c r="APX31" s="49"/>
      <c r="APY31" s="49"/>
      <c r="APZ31" s="49"/>
      <c r="AQA31" s="49"/>
      <c r="AQB31" s="49"/>
      <c r="AQC31" s="49"/>
      <c r="AQD31" s="49"/>
      <c r="AQE31" s="49"/>
      <c r="AQF31" s="49"/>
      <c r="AQG31" s="49"/>
      <c r="AQH31" s="49"/>
      <c r="AQI31" s="49"/>
      <c r="AQJ31" s="49"/>
      <c r="AQK31" s="49"/>
      <c r="AQL31" s="49"/>
      <c r="AQM31" s="49"/>
      <c r="AQN31" s="49"/>
      <c r="AQO31" s="49"/>
      <c r="AQP31" s="49"/>
      <c r="AQQ31" s="49"/>
      <c r="AQR31" s="49"/>
      <c r="AQS31" s="49"/>
      <c r="AQT31" s="49"/>
      <c r="AQU31" s="49"/>
      <c r="AQV31" s="49"/>
      <c r="AQW31" s="49"/>
      <c r="AQX31" s="49"/>
      <c r="AQY31" s="49"/>
      <c r="AQZ31" s="49"/>
      <c r="ARA31" s="49"/>
      <c r="ARB31" s="49"/>
      <c r="ARC31" s="49"/>
      <c r="ARD31" s="49"/>
      <c r="ARE31" s="49"/>
      <c r="ARF31" s="49"/>
      <c r="ARG31" s="49"/>
      <c r="ARH31" s="49"/>
      <c r="ARI31" s="49"/>
      <c r="ARJ31" s="49"/>
      <c r="ARK31" s="49"/>
      <c r="ARL31" s="49"/>
      <c r="ARM31" s="49"/>
      <c r="ARN31" s="49"/>
      <c r="ARO31" s="49"/>
      <c r="ARP31" s="49"/>
      <c r="ARQ31" s="49"/>
      <c r="ARR31" s="49"/>
      <c r="ARS31" s="49"/>
      <c r="ART31" s="49"/>
      <c r="ARU31" s="49"/>
      <c r="ARV31" s="49"/>
      <c r="ARW31" s="49"/>
      <c r="ARX31" s="49"/>
      <c r="ARY31" s="49"/>
      <c r="ARZ31" s="49"/>
      <c r="ASA31" s="49"/>
      <c r="ASB31" s="49"/>
      <c r="ASC31" s="49"/>
      <c r="ASD31" s="49"/>
      <c r="ASE31" s="49"/>
      <c r="ASF31" s="49"/>
      <c r="ASG31" s="49"/>
      <c r="ASH31" s="49"/>
      <c r="ASI31" s="49"/>
      <c r="ASJ31" s="49"/>
      <c r="ASK31" s="49"/>
      <c r="ASL31" s="49"/>
      <c r="ASM31" s="49"/>
      <c r="ASN31" s="49"/>
      <c r="ASO31" s="49"/>
      <c r="ASP31" s="49"/>
      <c r="ASQ31" s="49"/>
      <c r="ASR31" s="49"/>
      <c r="ASS31" s="49"/>
      <c r="AST31" s="49"/>
      <c r="ASU31" s="49"/>
      <c r="ASV31" s="49"/>
      <c r="ASW31" s="49"/>
      <c r="ASX31" s="49"/>
      <c r="ASY31" s="49"/>
      <c r="ASZ31" s="49"/>
      <c r="ATA31" s="49"/>
      <c r="ATB31" s="49"/>
      <c r="ATC31" s="49"/>
      <c r="ATD31" s="49"/>
      <c r="ATE31" s="49"/>
      <c r="ATF31" s="49"/>
      <c r="ATG31" s="49"/>
      <c r="ATH31" s="49"/>
      <c r="ATI31" s="49"/>
      <c r="ATJ31" s="49"/>
      <c r="ATK31" s="49"/>
      <c r="ATL31" s="49"/>
      <c r="ATM31" s="49"/>
      <c r="ATN31" s="49"/>
      <c r="ATO31" s="49"/>
      <c r="ATP31" s="49"/>
      <c r="ATQ31" s="49"/>
      <c r="ATR31" s="49"/>
      <c r="ATS31" s="49"/>
      <c r="ATT31" s="49"/>
      <c r="ATU31" s="49"/>
      <c r="ATV31" s="49"/>
      <c r="ATW31" s="49"/>
      <c r="ATX31" s="49"/>
      <c r="ATY31" s="49"/>
      <c r="ATZ31" s="49"/>
      <c r="AUA31" s="49"/>
      <c r="AUB31" s="49"/>
      <c r="AUC31" s="49"/>
      <c r="AUD31" s="49"/>
      <c r="AUE31" s="49"/>
      <c r="AUF31" s="49"/>
      <c r="AUG31" s="49"/>
      <c r="AUH31" s="49"/>
      <c r="AUI31" s="49"/>
      <c r="AUJ31" s="49"/>
      <c r="AUK31" s="49"/>
      <c r="AUL31" s="49"/>
      <c r="AUM31" s="49"/>
      <c r="AUN31" s="49"/>
      <c r="AUO31" s="49"/>
      <c r="AUP31" s="49"/>
      <c r="AUQ31" s="49"/>
      <c r="AUR31" s="49"/>
      <c r="AUS31" s="49"/>
      <c r="AUT31" s="49"/>
      <c r="AUU31" s="49"/>
      <c r="AUV31" s="49"/>
      <c r="AUW31" s="49"/>
      <c r="AUX31" s="49"/>
      <c r="AUY31" s="49"/>
      <c r="AUZ31" s="49"/>
      <c r="AVA31" s="49"/>
      <c r="AVB31" s="49"/>
      <c r="AVC31" s="49"/>
      <c r="AVD31" s="49"/>
      <c r="AVE31" s="49"/>
      <c r="AVF31" s="49"/>
      <c r="AVG31" s="49"/>
      <c r="AVH31" s="49"/>
      <c r="AVI31" s="49"/>
      <c r="AVJ31" s="49"/>
      <c r="AVK31" s="49"/>
      <c r="AVL31" s="49"/>
      <c r="AVM31" s="49"/>
      <c r="AVN31" s="49"/>
      <c r="AVO31" s="49"/>
      <c r="AVP31" s="49"/>
      <c r="AVQ31" s="49"/>
      <c r="AVR31" s="49"/>
      <c r="AVS31" s="49"/>
      <c r="AVT31" s="49"/>
      <c r="AVU31" s="49"/>
      <c r="AVV31" s="49"/>
      <c r="AVW31" s="49"/>
      <c r="AVX31" s="49"/>
      <c r="AVY31" s="49"/>
      <c r="AVZ31" s="49"/>
      <c r="AWA31" s="49"/>
      <c r="AWB31" s="49"/>
      <c r="AWC31" s="49"/>
      <c r="AWD31" s="49"/>
      <c r="AWE31" s="49"/>
      <c r="AWF31" s="49"/>
      <c r="AWG31" s="49"/>
      <c r="AWH31" s="49"/>
      <c r="AWI31" s="49"/>
      <c r="AWJ31" s="49"/>
      <c r="AWK31" s="49"/>
      <c r="AWL31" s="49"/>
      <c r="AWM31" s="49"/>
      <c r="AWN31" s="49"/>
      <c r="AWO31" s="49"/>
      <c r="AWP31" s="49"/>
      <c r="AWQ31" s="49"/>
      <c r="AWR31" s="49"/>
      <c r="AWS31" s="49"/>
      <c r="AWT31" s="49"/>
      <c r="AWU31" s="49"/>
      <c r="AWV31" s="49"/>
      <c r="AWW31" s="49"/>
      <c r="AWX31" s="49"/>
      <c r="AWY31" s="49"/>
      <c r="AWZ31" s="49"/>
      <c r="AXA31" s="49"/>
      <c r="AXB31" s="49"/>
      <c r="AXC31" s="49"/>
      <c r="AXD31" s="49"/>
      <c r="AXE31" s="49"/>
      <c r="AXF31" s="49"/>
      <c r="AXG31" s="49"/>
      <c r="AXH31" s="49"/>
      <c r="AXI31" s="49"/>
      <c r="AXJ31" s="49"/>
      <c r="AXK31" s="49"/>
      <c r="AXL31" s="49"/>
      <c r="AXM31" s="49"/>
      <c r="AXN31" s="49"/>
      <c r="AXO31" s="49"/>
      <c r="AXP31" s="49"/>
      <c r="AXQ31" s="49"/>
      <c r="AXR31" s="49"/>
      <c r="AXS31" s="49"/>
      <c r="AXT31" s="49"/>
      <c r="AXU31" s="49"/>
      <c r="AXV31" s="49"/>
      <c r="AXW31" s="49"/>
      <c r="AXX31" s="49"/>
      <c r="AXY31" s="49"/>
      <c r="AXZ31" s="49"/>
      <c r="AYA31" s="49"/>
      <c r="AYB31" s="49"/>
      <c r="AYC31" s="49"/>
      <c r="AYD31" s="49"/>
      <c r="AYE31" s="49"/>
      <c r="AYF31" s="49"/>
      <c r="AYG31" s="49"/>
      <c r="AYH31" s="49"/>
      <c r="AYI31" s="49"/>
      <c r="AYJ31" s="49"/>
      <c r="AYK31" s="49"/>
      <c r="AYL31" s="49"/>
      <c r="AYM31" s="49"/>
      <c r="AYN31" s="49"/>
      <c r="AYO31" s="49"/>
      <c r="AYP31" s="49"/>
      <c r="AYQ31" s="49"/>
      <c r="AYR31" s="49"/>
      <c r="AYS31" s="49"/>
      <c r="AYT31" s="49"/>
      <c r="AYU31" s="49"/>
      <c r="AYV31" s="49"/>
      <c r="AYW31" s="49"/>
      <c r="AYX31" s="49"/>
      <c r="AYY31" s="49"/>
      <c r="AYZ31" s="49"/>
      <c r="AZA31" s="49"/>
      <c r="AZB31" s="49"/>
      <c r="AZC31" s="49"/>
      <c r="AZD31" s="49"/>
      <c r="AZE31" s="49"/>
      <c r="AZF31" s="49"/>
      <c r="AZG31" s="49"/>
      <c r="AZH31" s="49"/>
      <c r="AZI31" s="49"/>
      <c r="AZJ31" s="49"/>
      <c r="AZK31" s="49"/>
      <c r="AZL31" s="49"/>
      <c r="AZM31" s="49"/>
      <c r="AZN31" s="49"/>
      <c r="AZO31" s="49"/>
      <c r="AZP31" s="49"/>
      <c r="AZQ31" s="49"/>
      <c r="AZR31" s="49"/>
      <c r="AZS31" s="49"/>
      <c r="AZT31" s="49"/>
      <c r="AZU31" s="49"/>
      <c r="AZV31" s="49"/>
      <c r="AZW31" s="49"/>
      <c r="AZX31" s="49"/>
      <c r="AZY31" s="49"/>
      <c r="AZZ31" s="49"/>
      <c r="BAA31" s="49"/>
      <c r="BAB31" s="49"/>
      <c r="BAC31" s="49"/>
      <c r="BAD31" s="49"/>
      <c r="BAE31" s="49"/>
      <c r="BAF31" s="49"/>
      <c r="BAG31" s="49"/>
      <c r="BAH31" s="49"/>
      <c r="BAI31" s="49"/>
      <c r="BAJ31" s="49"/>
      <c r="BAK31" s="49"/>
      <c r="BAL31" s="49"/>
      <c r="BAM31" s="49"/>
      <c r="BAN31" s="49"/>
      <c r="BAO31" s="49"/>
      <c r="BAP31" s="49"/>
      <c r="BAQ31" s="49"/>
      <c r="BAR31" s="49"/>
      <c r="BAS31" s="49"/>
      <c r="BAT31" s="49"/>
      <c r="BAU31" s="49"/>
      <c r="BAV31" s="49"/>
      <c r="BAW31" s="49"/>
      <c r="BAX31" s="49"/>
      <c r="BAY31" s="49"/>
      <c r="BAZ31" s="49"/>
      <c r="BBA31" s="49"/>
      <c r="BBB31" s="49"/>
      <c r="BBC31" s="49"/>
      <c r="BBD31" s="49"/>
      <c r="BBE31" s="49"/>
      <c r="BBF31" s="49"/>
      <c r="BBG31" s="49"/>
      <c r="BBH31" s="49"/>
      <c r="BBI31" s="49"/>
      <c r="BBJ31" s="49"/>
      <c r="BBK31" s="49"/>
      <c r="BBL31" s="49"/>
      <c r="BBM31" s="49"/>
      <c r="BBN31" s="49"/>
      <c r="BBO31" s="49"/>
      <c r="BBP31" s="49"/>
      <c r="BBQ31" s="49"/>
      <c r="BBR31" s="49"/>
      <c r="BBS31" s="49"/>
      <c r="BBT31" s="49"/>
      <c r="BBU31" s="49"/>
      <c r="BBV31" s="49"/>
      <c r="BBW31" s="49"/>
      <c r="BBX31" s="49"/>
      <c r="BBY31" s="49"/>
      <c r="BBZ31" s="49"/>
      <c r="BCA31" s="49"/>
      <c r="BCB31" s="49"/>
      <c r="BCC31" s="49"/>
      <c r="BCD31" s="49"/>
      <c r="BCE31" s="49"/>
      <c r="BCF31" s="49"/>
      <c r="BCG31" s="49"/>
      <c r="BCH31" s="49"/>
      <c r="BCI31" s="49"/>
      <c r="BCJ31" s="49"/>
      <c r="BCK31" s="49"/>
      <c r="BCL31" s="49"/>
      <c r="BCM31" s="49"/>
      <c r="BCN31" s="49"/>
    </row>
    <row r="32" spans="1:1444" s="47" customFormat="1">
      <c r="A32" s="52"/>
      <c r="B32" s="94">
        <v>45775</v>
      </c>
      <c r="C32" s="94" t="s">
        <v>192</v>
      </c>
      <c r="D32" s="95">
        <v>55</v>
      </c>
      <c r="E32" s="95">
        <v>93.885000000038417</v>
      </c>
      <c r="F32" s="95">
        <v>0</v>
      </c>
      <c r="G32" s="95">
        <v>3.5</v>
      </c>
      <c r="H32" s="95">
        <v>28</v>
      </c>
      <c r="I32" s="95">
        <v>38</v>
      </c>
      <c r="J32" s="95">
        <v>1069.1800000000003</v>
      </c>
      <c r="K32" s="95">
        <v>1688.8394000012599</v>
      </c>
      <c r="L32" s="95">
        <v>13</v>
      </c>
      <c r="M32" s="155">
        <f t="shared" si="0"/>
        <v>0</v>
      </c>
      <c r="N32" s="141">
        <f>'units overall'!O32</f>
        <v>2989.4044000012987</v>
      </c>
      <c r="O32" s="81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  <c r="FF32" s="49"/>
      <c r="FG32" s="49"/>
      <c r="FH32" s="49"/>
      <c r="FI32" s="49"/>
      <c r="FJ32" s="49"/>
      <c r="FK32" s="49"/>
      <c r="FL32" s="49"/>
      <c r="FM32" s="49"/>
      <c r="FN32" s="49"/>
      <c r="FO32" s="49"/>
      <c r="FP32" s="49"/>
      <c r="FQ32" s="49"/>
      <c r="FR32" s="49"/>
      <c r="FS32" s="49"/>
      <c r="FT32" s="49"/>
      <c r="FU32" s="49"/>
      <c r="FV32" s="49"/>
      <c r="FW32" s="49"/>
      <c r="FX32" s="49"/>
      <c r="FY32" s="49"/>
      <c r="FZ32" s="49"/>
      <c r="GA32" s="49"/>
      <c r="GB32" s="49"/>
      <c r="GC32" s="49"/>
      <c r="GD32" s="49"/>
      <c r="GE32" s="49"/>
      <c r="GF32" s="49"/>
      <c r="GG32" s="49"/>
      <c r="GH32" s="49"/>
      <c r="GI32" s="49"/>
      <c r="GJ32" s="49"/>
      <c r="GK32" s="49"/>
      <c r="GL32" s="49"/>
      <c r="GM32" s="49"/>
      <c r="GN32" s="49"/>
      <c r="GO32" s="49"/>
      <c r="GP32" s="49"/>
      <c r="GQ32" s="49"/>
      <c r="GR32" s="49"/>
      <c r="GS32" s="49"/>
      <c r="GT32" s="49"/>
      <c r="GU32" s="49"/>
      <c r="GV32" s="49"/>
      <c r="GW32" s="49"/>
      <c r="GX32" s="49"/>
      <c r="GY32" s="49"/>
      <c r="GZ32" s="49"/>
      <c r="HA32" s="49"/>
      <c r="HB32" s="49"/>
      <c r="HC32" s="49"/>
      <c r="HD32" s="49"/>
      <c r="HE32" s="49"/>
      <c r="HF32" s="49"/>
      <c r="HG32" s="49"/>
      <c r="HH32" s="49"/>
      <c r="HI32" s="49"/>
      <c r="HJ32" s="49"/>
      <c r="HK32" s="49"/>
      <c r="HL32" s="49"/>
      <c r="HM32" s="49"/>
      <c r="HN32" s="49"/>
      <c r="HO32" s="49"/>
      <c r="HP32" s="49"/>
      <c r="HQ32" s="49"/>
      <c r="HR32" s="49"/>
      <c r="HS32" s="49"/>
      <c r="HT32" s="49"/>
      <c r="HU32" s="49"/>
      <c r="HV32" s="49"/>
      <c r="HW32" s="49"/>
      <c r="HX32" s="49"/>
      <c r="HY32" s="49"/>
      <c r="HZ32" s="49"/>
      <c r="IA32" s="49"/>
      <c r="IB32" s="49"/>
      <c r="IC32" s="49"/>
      <c r="ID32" s="49"/>
      <c r="IE32" s="49"/>
      <c r="IF32" s="49"/>
      <c r="IG32" s="49"/>
      <c r="IH32" s="49"/>
      <c r="II32" s="49"/>
      <c r="IJ32" s="49"/>
      <c r="IK32" s="49"/>
      <c r="IL32" s="49"/>
      <c r="IM32" s="49"/>
      <c r="IN32" s="49"/>
      <c r="IO32" s="49"/>
      <c r="IP32" s="49"/>
      <c r="IQ32" s="49"/>
      <c r="IR32" s="49"/>
      <c r="IS32" s="49"/>
      <c r="IT32" s="49"/>
      <c r="IU32" s="49"/>
      <c r="IV32" s="49"/>
      <c r="IW32" s="49"/>
      <c r="IX32" s="49"/>
      <c r="IY32" s="49"/>
      <c r="IZ32" s="49"/>
      <c r="JA32" s="49"/>
      <c r="JB32" s="49"/>
      <c r="JC32" s="49"/>
      <c r="JD32" s="49"/>
      <c r="JE32" s="49"/>
      <c r="JF32" s="49"/>
      <c r="JG32" s="49"/>
      <c r="JH32" s="49"/>
      <c r="JI32" s="49"/>
      <c r="JJ32" s="49"/>
      <c r="JK32" s="49"/>
      <c r="JL32" s="49"/>
      <c r="JM32" s="49"/>
      <c r="JN32" s="49"/>
      <c r="JO32" s="49"/>
      <c r="JP32" s="49"/>
      <c r="JQ32" s="49"/>
      <c r="JR32" s="49"/>
      <c r="JS32" s="49"/>
      <c r="JT32" s="49"/>
      <c r="JU32" s="49"/>
      <c r="JV32" s="49"/>
      <c r="JW32" s="49"/>
      <c r="JX32" s="49"/>
      <c r="JY32" s="49"/>
      <c r="JZ32" s="49"/>
      <c r="KA32" s="49"/>
      <c r="KB32" s="49"/>
      <c r="KC32" s="49"/>
      <c r="KD32" s="49"/>
      <c r="KE32" s="49"/>
      <c r="KF32" s="49"/>
      <c r="KG32" s="49"/>
      <c r="KH32" s="49"/>
      <c r="KI32" s="49"/>
      <c r="KJ32" s="49"/>
      <c r="KK32" s="49"/>
      <c r="KL32" s="49"/>
      <c r="KM32" s="49"/>
      <c r="KN32" s="49"/>
      <c r="KO32" s="49"/>
      <c r="KP32" s="49"/>
      <c r="KQ32" s="49"/>
      <c r="KR32" s="49"/>
      <c r="KS32" s="49"/>
      <c r="KT32" s="49"/>
      <c r="KU32" s="49"/>
      <c r="KV32" s="49"/>
      <c r="KW32" s="49"/>
      <c r="KX32" s="49"/>
      <c r="KY32" s="49"/>
      <c r="KZ32" s="49"/>
      <c r="LA32" s="49"/>
      <c r="LB32" s="49"/>
      <c r="LC32" s="49"/>
      <c r="LD32" s="49"/>
      <c r="LE32" s="49"/>
      <c r="LF32" s="49"/>
      <c r="LG32" s="49"/>
      <c r="LH32" s="49"/>
      <c r="LI32" s="49"/>
      <c r="LJ32" s="49"/>
      <c r="LK32" s="49"/>
      <c r="LL32" s="49"/>
      <c r="LM32" s="49"/>
      <c r="LN32" s="49"/>
      <c r="LO32" s="49"/>
      <c r="LP32" s="49"/>
      <c r="LQ32" s="49"/>
      <c r="LR32" s="49"/>
      <c r="LS32" s="49"/>
      <c r="LT32" s="49"/>
      <c r="LU32" s="49"/>
      <c r="LV32" s="49"/>
      <c r="LW32" s="49"/>
      <c r="LX32" s="49"/>
      <c r="LY32" s="49"/>
      <c r="LZ32" s="49"/>
      <c r="MA32" s="49"/>
      <c r="MB32" s="49"/>
      <c r="MC32" s="49"/>
      <c r="MD32" s="49"/>
      <c r="ME32" s="49"/>
      <c r="MF32" s="49"/>
      <c r="MG32" s="49"/>
      <c r="MH32" s="49"/>
      <c r="MI32" s="49"/>
      <c r="MJ32" s="49"/>
      <c r="MK32" s="49"/>
      <c r="ML32" s="49"/>
      <c r="MM32" s="49"/>
      <c r="MN32" s="49"/>
      <c r="MO32" s="49"/>
      <c r="MP32" s="49"/>
      <c r="MQ32" s="49"/>
      <c r="MR32" s="49"/>
      <c r="MS32" s="49"/>
      <c r="MT32" s="49"/>
      <c r="MU32" s="49"/>
      <c r="MV32" s="49"/>
      <c r="MW32" s="49"/>
      <c r="MX32" s="49"/>
      <c r="MY32" s="49"/>
      <c r="MZ32" s="49"/>
      <c r="NA32" s="49"/>
      <c r="NB32" s="49"/>
      <c r="NC32" s="49"/>
      <c r="ND32" s="49"/>
      <c r="NE32" s="49"/>
      <c r="NF32" s="49"/>
      <c r="NG32" s="49"/>
      <c r="NH32" s="49"/>
      <c r="NI32" s="49"/>
      <c r="NJ32" s="49"/>
      <c r="NK32" s="49"/>
      <c r="NL32" s="49"/>
      <c r="NM32" s="49"/>
      <c r="NN32" s="49"/>
      <c r="NO32" s="49"/>
      <c r="NP32" s="49"/>
      <c r="NQ32" s="49"/>
      <c r="NR32" s="49"/>
      <c r="NS32" s="49"/>
      <c r="NT32" s="49"/>
      <c r="NU32" s="49"/>
      <c r="NV32" s="49"/>
      <c r="NW32" s="49"/>
      <c r="NX32" s="49"/>
      <c r="NY32" s="49"/>
      <c r="NZ32" s="49"/>
      <c r="OA32" s="49"/>
      <c r="OB32" s="49"/>
      <c r="OC32" s="49"/>
      <c r="OD32" s="49"/>
      <c r="OE32" s="49"/>
      <c r="OF32" s="49"/>
      <c r="OG32" s="49"/>
      <c r="OH32" s="49"/>
      <c r="OI32" s="49"/>
      <c r="OJ32" s="49"/>
      <c r="OK32" s="49"/>
      <c r="OL32" s="49"/>
      <c r="OM32" s="49"/>
      <c r="ON32" s="49"/>
      <c r="OO32" s="49"/>
      <c r="OP32" s="49"/>
      <c r="OQ32" s="49"/>
      <c r="OR32" s="49"/>
      <c r="OS32" s="49"/>
      <c r="OT32" s="49"/>
      <c r="OU32" s="49"/>
      <c r="OV32" s="49"/>
      <c r="OW32" s="49"/>
      <c r="OX32" s="49"/>
      <c r="OY32" s="49"/>
      <c r="OZ32" s="49"/>
      <c r="PA32" s="49"/>
      <c r="PB32" s="49"/>
      <c r="PC32" s="49"/>
      <c r="PD32" s="49"/>
      <c r="PE32" s="49"/>
      <c r="PF32" s="49"/>
      <c r="PG32" s="49"/>
      <c r="PH32" s="49"/>
      <c r="PI32" s="49"/>
      <c r="PJ32" s="49"/>
      <c r="PK32" s="49"/>
      <c r="PL32" s="49"/>
      <c r="PM32" s="49"/>
      <c r="PN32" s="49"/>
      <c r="PO32" s="49"/>
      <c r="PP32" s="49"/>
      <c r="PQ32" s="49"/>
      <c r="PR32" s="49"/>
      <c r="PS32" s="49"/>
      <c r="PT32" s="49"/>
      <c r="PU32" s="49"/>
      <c r="PV32" s="49"/>
      <c r="PW32" s="49"/>
      <c r="PX32" s="49"/>
      <c r="PY32" s="49"/>
      <c r="PZ32" s="49"/>
      <c r="QA32" s="49"/>
      <c r="QB32" s="49"/>
      <c r="QC32" s="49"/>
      <c r="QD32" s="49"/>
      <c r="QE32" s="49"/>
      <c r="QF32" s="49"/>
      <c r="QG32" s="49"/>
      <c r="QH32" s="49"/>
      <c r="QI32" s="49"/>
      <c r="QJ32" s="49"/>
      <c r="QK32" s="49"/>
      <c r="QL32" s="49"/>
      <c r="QM32" s="49"/>
      <c r="QN32" s="49"/>
      <c r="QO32" s="49"/>
      <c r="QP32" s="49"/>
      <c r="QQ32" s="49"/>
      <c r="QR32" s="49"/>
      <c r="QS32" s="49"/>
      <c r="QT32" s="49"/>
      <c r="QU32" s="49"/>
      <c r="QV32" s="49"/>
      <c r="QW32" s="49"/>
      <c r="QX32" s="49"/>
      <c r="QY32" s="49"/>
      <c r="QZ32" s="49"/>
      <c r="RA32" s="49"/>
      <c r="RB32" s="49"/>
      <c r="RC32" s="49"/>
      <c r="RD32" s="49"/>
      <c r="RE32" s="49"/>
      <c r="RF32" s="49"/>
      <c r="RG32" s="49"/>
      <c r="RH32" s="49"/>
      <c r="RI32" s="49"/>
      <c r="RJ32" s="49"/>
      <c r="RK32" s="49"/>
      <c r="RL32" s="49"/>
      <c r="RM32" s="49"/>
      <c r="RN32" s="49"/>
      <c r="RO32" s="49"/>
      <c r="RP32" s="49"/>
      <c r="RQ32" s="49"/>
      <c r="RR32" s="49"/>
      <c r="RS32" s="49"/>
      <c r="RT32" s="49"/>
      <c r="RU32" s="49"/>
      <c r="RV32" s="49"/>
      <c r="RW32" s="49"/>
      <c r="RX32" s="49"/>
      <c r="RY32" s="49"/>
      <c r="RZ32" s="49"/>
      <c r="SA32" s="49"/>
      <c r="SB32" s="49"/>
      <c r="SC32" s="49"/>
      <c r="SD32" s="49"/>
      <c r="SE32" s="49"/>
      <c r="SF32" s="49"/>
      <c r="SG32" s="49"/>
      <c r="SH32" s="49"/>
      <c r="SI32" s="49"/>
      <c r="SJ32" s="49"/>
      <c r="SK32" s="49"/>
      <c r="SL32" s="49"/>
      <c r="SM32" s="49"/>
      <c r="SN32" s="49"/>
      <c r="SO32" s="49"/>
      <c r="SP32" s="49"/>
      <c r="SQ32" s="49"/>
      <c r="SR32" s="49"/>
      <c r="SS32" s="49"/>
      <c r="ST32" s="49"/>
      <c r="SU32" s="49"/>
      <c r="SV32" s="49"/>
      <c r="SW32" s="49"/>
      <c r="SX32" s="49"/>
      <c r="SY32" s="49"/>
      <c r="SZ32" s="49"/>
      <c r="TA32" s="49"/>
      <c r="TB32" s="49"/>
      <c r="TC32" s="49"/>
      <c r="TD32" s="49"/>
      <c r="TE32" s="49"/>
      <c r="TF32" s="49"/>
      <c r="TG32" s="49"/>
      <c r="TH32" s="49"/>
      <c r="TI32" s="49"/>
      <c r="TJ32" s="49"/>
      <c r="TK32" s="49"/>
      <c r="TL32" s="49"/>
      <c r="TM32" s="49"/>
      <c r="TN32" s="49"/>
      <c r="TO32" s="49"/>
      <c r="TP32" s="49"/>
      <c r="TQ32" s="49"/>
      <c r="TR32" s="49"/>
      <c r="TS32" s="49"/>
      <c r="TT32" s="49"/>
      <c r="TU32" s="49"/>
      <c r="TV32" s="49"/>
      <c r="TW32" s="49"/>
      <c r="TX32" s="49"/>
      <c r="TY32" s="49"/>
      <c r="TZ32" s="49"/>
      <c r="UA32" s="49"/>
      <c r="UB32" s="49"/>
      <c r="UC32" s="49"/>
      <c r="UD32" s="49"/>
      <c r="UE32" s="49"/>
      <c r="UF32" s="49"/>
      <c r="UG32" s="49"/>
      <c r="UH32" s="49"/>
      <c r="UI32" s="49"/>
      <c r="UJ32" s="49"/>
      <c r="UK32" s="49"/>
      <c r="UL32" s="49"/>
      <c r="UM32" s="49"/>
      <c r="UN32" s="49"/>
      <c r="UO32" s="49"/>
      <c r="UP32" s="49"/>
      <c r="UQ32" s="49"/>
      <c r="UR32" s="49"/>
      <c r="US32" s="49"/>
      <c r="UT32" s="49"/>
      <c r="UU32" s="49"/>
      <c r="UV32" s="49"/>
      <c r="UW32" s="49"/>
      <c r="UX32" s="49"/>
      <c r="UY32" s="49"/>
      <c r="UZ32" s="49"/>
      <c r="VA32" s="49"/>
      <c r="VB32" s="49"/>
      <c r="VC32" s="49"/>
      <c r="VD32" s="49"/>
      <c r="VE32" s="49"/>
      <c r="VF32" s="49"/>
      <c r="VG32" s="49"/>
      <c r="VH32" s="49"/>
      <c r="VI32" s="49"/>
      <c r="VJ32" s="49"/>
      <c r="VK32" s="49"/>
      <c r="VL32" s="49"/>
      <c r="VM32" s="49"/>
      <c r="VN32" s="49"/>
      <c r="VO32" s="49"/>
      <c r="VP32" s="49"/>
      <c r="VQ32" s="49"/>
      <c r="VR32" s="49"/>
      <c r="VS32" s="49"/>
      <c r="VT32" s="49"/>
      <c r="VU32" s="49"/>
      <c r="VV32" s="49"/>
      <c r="VW32" s="49"/>
      <c r="VX32" s="49"/>
      <c r="VY32" s="49"/>
      <c r="VZ32" s="49"/>
      <c r="WA32" s="49"/>
      <c r="WB32" s="49"/>
      <c r="WC32" s="49"/>
      <c r="WD32" s="49"/>
      <c r="WE32" s="49"/>
      <c r="WF32" s="49"/>
      <c r="WG32" s="49"/>
      <c r="WH32" s="49"/>
      <c r="WI32" s="49"/>
      <c r="WJ32" s="49"/>
      <c r="WK32" s="49"/>
      <c r="WL32" s="49"/>
      <c r="WM32" s="49"/>
      <c r="WN32" s="49"/>
      <c r="WO32" s="49"/>
      <c r="WP32" s="49"/>
      <c r="WQ32" s="49"/>
      <c r="WR32" s="49"/>
      <c r="WS32" s="49"/>
      <c r="WT32" s="49"/>
      <c r="WU32" s="49"/>
      <c r="WV32" s="49"/>
      <c r="WW32" s="49"/>
      <c r="WX32" s="49"/>
      <c r="WY32" s="49"/>
      <c r="WZ32" s="49"/>
      <c r="XA32" s="49"/>
      <c r="XB32" s="49"/>
      <c r="XC32" s="49"/>
      <c r="XD32" s="49"/>
      <c r="XE32" s="49"/>
      <c r="XF32" s="49"/>
      <c r="XG32" s="49"/>
      <c r="XH32" s="49"/>
      <c r="XI32" s="49"/>
      <c r="XJ32" s="49"/>
      <c r="XK32" s="49"/>
      <c r="XL32" s="49"/>
      <c r="XM32" s="49"/>
      <c r="XN32" s="49"/>
      <c r="XO32" s="49"/>
      <c r="XP32" s="49"/>
      <c r="XQ32" s="49"/>
      <c r="XR32" s="49"/>
      <c r="XS32" s="49"/>
      <c r="XT32" s="49"/>
      <c r="XU32" s="49"/>
      <c r="XV32" s="49"/>
      <c r="XW32" s="49"/>
      <c r="XX32" s="49"/>
      <c r="XY32" s="49"/>
      <c r="XZ32" s="49"/>
      <c r="YA32" s="49"/>
      <c r="YB32" s="49"/>
      <c r="YC32" s="49"/>
      <c r="YD32" s="49"/>
      <c r="YE32" s="49"/>
      <c r="YF32" s="49"/>
      <c r="YG32" s="49"/>
      <c r="YH32" s="49"/>
      <c r="YI32" s="49"/>
      <c r="YJ32" s="49"/>
      <c r="YK32" s="49"/>
      <c r="YL32" s="49"/>
      <c r="YM32" s="49"/>
      <c r="YN32" s="49"/>
      <c r="YO32" s="49"/>
      <c r="YP32" s="49"/>
      <c r="YQ32" s="49"/>
      <c r="YR32" s="49"/>
      <c r="YS32" s="49"/>
      <c r="YT32" s="49"/>
      <c r="YU32" s="49"/>
      <c r="YV32" s="49"/>
      <c r="YW32" s="49"/>
      <c r="YX32" s="49"/>
      <c r="YY32" s="49"/>
      <c r="YZ32" s="49"/>
      <c r="ZA32" s="49"/>
      <c r="ZB32" s="49"/>
      <c r="ZC32" s="49"/>
      <c r="ZD32" s="49"/>
      <c r="ZE32" s="49"/>
      <c r="ZF32" s="49"/>
      <c r="ZG32" s="49"/>
      <c r="ZH32" s="49"/>
      <c r="ZI32" s="49"/>
      <c r="ZJ32" s="49"/>
      <c r="ZK32" s="49"/>
      <c r="ZL32" s="49"/>
      <c r="ZM32" s="49"/>
      <c r="ZN32" s="49"/>
      <c r="ZO32" s="49"/>
      <c r="ZP32" s="49"/>
      <c r="ZQ32" s="49"/>
      <c r="ZR32" s="49"/>
      <c r="ZS32" s="49"/>
      <c r="ZT32" s="49"/>
      <c r="ZU32" s="49"/>
      <c r="ZV32" s="49"/>
      <c r="ZW32" s="49"/>
      <c r="ZX32" s="49"/>
      <c r="ZY32" s="49"/>
      <c r="ZZ32" s="49"/>
      <c r="AAA32" s="49"/>
      <c r="AAB32" s="49"/>
      <c r="AAC32" s="49"/>
      <c r="AAD32" s="49"/>
      <c r="AAE32" s="49"/>
      <c r="AAF32" s="49"/>
      <c r="AAG32" s="49"/>
      <c r="AAH32" s="49"/>
      <c r="AAI32" s="49"/>
      <c r="AAJ32" s="49"/>
      <c r="AAK32" s="49"/>
      <c r="AAL32" s="49"/>
      <c r="AAM32" s="49"/>
      <c r="AAN32" s="49"/>
      <c r="AAO32" s="49"/>
      <c r="AAP32" s="49"/>
      <c r="AAQ32" s="49"/>
      <c r="AAR32" s="49"/>
      <c r="AAS32" s="49"/>
      <c r="AAT32" s="49"/>
      <c r="AAU32" s="49"/>
      <c r="AAV32" s="49"/>
      <c r="AAW32" s="49"/>
      <c r="AAX32" s="49"/>
      <c r="AAY32" s="49"/>
      <c r="AAZ32" s="49"/>
      <c r="ABA32" s="49"/>
      <c r="ABB32" s="49"/>
      <c r="ABC32" s="49"/>
      <c r="ABD32" s="49"/>
      <c r="ABE32" s="49"/>
      <c r="ABF32" s="49"/>
      <c r="ABG32" s="49"/>
      <c r="ABH32" s="49"/>
      <c r="ABI32" s="49"/>
      <c r="ABJ32" s="49"/>
      <c r="ABK32" s="49"/>
      <c r="ABL32" s="49"/>
      <c r="ABM32" s="49"/>
      <c r="ABN32" s="49"/>
      <c r="ABO32" s="49"/>
      <c r="ABP32" s="49"/>
      <c r="ABQ32" s="49"/>
      <c r="ABR32" s="49"/>
      <c r="ABS32" s="49"/>
      <c r="ABT32" s="49"/>
      <c r="ABU32" s="49"/>
      <c r="ABV32" s="49"/>
      <c r="ABW32" s="49"/>
      <c r="ABX32" s="49"/>
      <c r="ABY32" s="49"/>
      <c r="ABZ32" s="49"/>
      <c r="ACA32" s="49"/>
      <c r="ACB32" s="49"/>
      <c r="ACC32" s="49"/>
      <c r="ACD32" s="49"/>
      <c r="ACE32" s="49"/>
      <c r="ACF32" s="49"/>
      <c r="ACG32" s="49"/>
      <c r="ACH32" s="49"/>
      <c r="ACI32" s="49"/>
      <c r="ACJ32" s="49"/>
      <c r="ACK32" s="49"/>
      <c r="ACL32" s="49"/>
      <c r="ACM32" s="49"/>
      <c r="ACN32" s="49"/>
      <c r="ACO32" s="49"/>
      <c r="ACP32" s="49"/>
      <c r="ACQ32" s="49"/>
      <c r="ACR32" s="49"/>
      <c r="ACS32" s="49"/>
      <c r="ACT32" s="49"/>
      <c r="ACU32" s="49"/>
      <c r="ACV32" s="49"/>
      <c r="ACW32" s="49"/>
      <c r="ACX32" s="49"/>
      <c r="ACY32" s="49"/>
      <c r="ACZ32" s="49"/>
      <c r="ADA32" s="49"/>
      <c r="ADB32" s="49"/>
      <c r="ADC32" s="49"/>
      <c r="ADD32" s="49"/>
      <c r="ADE32" s="49"/>
      <c r="ADF32" s="49"/>
      <c r="ADG32" s="49"/>
      <c r="ADH32" s="49"/>
      <c r="ADI32" s="49"/>
      <c r="ADJ32" s="49"/>
      <c r="ADK32" s="49"/>
      <c r="ADL32" s="49"/>
      <c r="ADM32" s="49"/>
      <c r="ADN32" s="49"/>
      <c r="ADO32" s="49"/>
      <c r="ADP32" s="49"/>
      <c r="ADQ32" s="49"/>
      <c r="ADR32" s="49"/>
      <c r="ADS32" s="49"/>
      <c r="ADT32" s="49"/>
      <c r="ADU32" s="49"/>
      <c r="ADV32" s="49"/>
      <c r="ADW32" s="49"/>
      <c r="ADX32" s="49"/>
      <c r="ADY32" s="49"/>
      <c r="ADZ32" s="49"/>
      <c r="AEA32" s="49"/>
      <c r="AEB32" s="49"/>
      <c r="AEC32" s="49"/>
      <c r="AED32" s="49"/>
      <c r="AEE32" s="49"/>
      <c r="AEF32" s="49"/>
      <c r="AEG32" s="49"/>
      <c r="AEH32" s="49"/>
      <c r="AEI32" s="49"/>
      <c r="AEJ32" s="49"/>
      <c r="AEK32" s="49"/>
      <c r="AEL32" s="49"/>
      <c r="AEM32" s="49"/>
      <c r="AEN32" s="49"/>
      <c r="AEO32" s="49"/>
      <c r="AEP32" s="49"/>
      <c r="AEQ32" s="49"/>
      <c r="AER32" s="49"/>
      <c r="AES32" s="49"/>
      <c r="AET32" s="49"/>
      <c r="AEU32" s="49"/>
      <c r="AEV32" s="49"/>
      <c r="AEW32" s="49"/>
      <c r="AEX32" s="49"/>
      <c r="AEY32" s="49"/>
      <c r="AEZ32" s="49"/>
      <c r="AFA32" s="49"/>
      <c r="AFB32" s="49"/>
      <c r="AFC32" s="49"/>
      <c r="AFD32" s="49"/>
      <c r="AFE32" s="49"/>
      <c r="AFF32" s="49"/>
      <c r="AFG32" s="49"/>
      <c r="AFH32" s="49"/>
      <c r="AFI32" s="49"/>
      <c r="AFJ32" s="49"/>
      <c r="AFK32" s="49"/>
      <c r="AFL32" s="49"/>
      <c r="AFM32" s="49"/>
      <c r="AFN32" s="49"/>
      <c r="AFO32" s="49"/>
      <c r="AFP32" s="49"/>
      <c r="AFQ32" s="49"/>
      <c r="AFR32" s="49"/>
      <c r="AFS32" s="49"/>
      <c r="AFT32" s="49"/>
      <c r="AFU32" s="49"/>
      <c r="AFV32" s="49"/>
      <c r="AFW32" s="49"/>
      <c r="AFX32" s="49"/>
      <c r="AFY32" s="49"/>
      <c r="AFZ32" s="49"/>
      <c r="AGA32" s="49"/>
      <c r="AGB32" s="49"/>
      <c r="AGC32" s="49"/>
      <c r="AGD32" s="49"/>
      <c r="AGE32" s="49"/>
      <c r="AGF32" s="49"/>
      <c r="AGG32" s="49"/>
      <c r="AGH32" s="49"/>
      <c r="AGI32" s="49"/>
      <c r="AGJ32" s="49"/>
      <c r="AGK32" s="49"/>
      <c r="AGL32" s="49"/>
      <c r="AGM32" s="49"/>
      <c r="AGN32" s="49"/>
      <c r="AGO32" s="49"/>
      <c r="AGP32" s="49"/>
      <c r="AGQ32" s="49"/>
      <c r="AGR32" s="49"/>
      <c r="AGS32" s="49"/>
      <c r="AGT32" s="49"/>
      <c r="AGU32" s="49"/>
      <c r="AGV32" s="49"/>
      <c r="AGW32" s="49"/>
      <c r="AGX32" s="49"/>
      <c r="AGY32" s="49"/>
      <c r="AGZ32" s="49"/>
      <c r="AHA32" s="49"/>
      <c r="AHB32" s="49"/>
      <c r="AHC32" s="49"/>
      <c r="AHD32" s="49"/>
      <c r="AHE32" s="49"/>
      <c r="AHF32" s="49"/>
      <c r="AHG32" s="49"/>
      <c r="AHH32" s="49"/>
      <c r="AHI32" s="49"/>
      <c r="AHJ32" s="49"/>
      <c r="AHK32" s="49"/>
      <c r="AHL32" s="49"/>
      <c r="AHM32" s="49"/>
      <c r="AHN32" s="49"/>
      <c r="AHO32" s="49"/>
      <c r="AHP32" s="49"/>
      <c r="AHQ32" s="49"/>
      <c r="AHR32" s="49"/>
      <c r="AHS32" s="49"/>
      <c r="AHT32" s="49"/>
      <c r="AHU32" s="49"/>
      <c r="AHV32" s="49"/>
      <c r="AHW32" s="49"/>
      <c r="AHX32" s="49"/>
      <c r="AHY32" s="49"/>
      <c r="AHZ32" s="49"/>
      <c r="AIA32" s="49"/>
      <c r="AIB32" s="49"/>
      <c r="AIC32" s="49"/>
      <c r="AID32" s="49"/>
      <c r="AIE32" s="49"/>
      <c r="AIF32" s="49"/>
      <c r="AIG32" s="49"/>
      <c r="AIH32" s="49"/>
      <c r="AII32" s="49"/>
      <c r="AIJ32" s="49"/>
      <c r="AIK32" s="49"/>
      <c r="AIL32" s="49"/>
      <c r="AIM32" s="49"/>
      <c r="AIN32" s="49"/>
      <c r="AIO32" s="49"/>
      <c r="AIP32" s="49"/>
      <c r="AIQ32" s="49"/>
      <c r="AIR32" s="49"/>
      <c r="AIS32" s="49"/>
      <c r="AIT32" s="49"/>
      <c r="AIU32" s="49"/>
      <c r="AIV32" s="49"/>
      <c r="AIW32" s="49"/>
      <c r="AIX32" s="49"/>
      <c r="AIY32" s="49"/>
      <c r="AIZ32" s="49"/>
      <c r="AJA32" s="49"/>
      <c r="AJB32" s="49"/>
      <c r="AJC32" s="49"/>
      <c r="AJD32" s="49"/>
      <c r="AJE32" s="49"/>
      <c r="AJF32" s="49"/>
      <c r="AJG32" s="49"/>
      <c r="AJH32" s="49"/>
      <c r="AJI32" s="49"/>
      <c r="AJJ32" s="49"/>
      <c r="AJK32" s="49"/>
      <c r="AJL32" s="49"/>
      <c r="AJM32" s="49"/>
      <c r="AJN32" s="49"/>
      <c r="AJO32" s="49"/>
      <c r="AJP32" s="49"/>
      <c r="AJQ32" s="49"/>
      <c r="AJR32" s="49"/>
      <c r="AJS32" s="49"/>
      <c r="AJT32" s="49"/>
      <c r="AJU32" s="49"/>
      <c r="AJV32" s="49"/>
      <c r="AJW32" s="49"/>
      <c r="AJX32" s="49"/>
      <c r="AJY32" s="49"/>
      <c r="AJZ32" s="49"/>
      <c r="AKA32" s="49"/>
      <c r="AKB32" s="49"/>
      <c r="AKC32" s="49"/>
      <c r="AKD32" s="49"/>
      <c r="AKE32" s="49"/>
      <c r="AKF32" s="49"/>
      <c r="AKG32" s="49"/>
      <c r="AKH32" s="49"/>
      <c r="AKI32" s="49"/>
      <c r="AKJ32" s="49"/>
      <c r="AKK32" s="49"/>
      <c r="AKL32" s="49"/>
      <c r="AKM32" s="49"/>
      <c r="AKN32" s="49"/>
      <c r="AKO32" s="49"/>
      <c r="AKP32" s="49"/>
      <c r="AKQ32" s="49"/>
      <c r="AKR32" s="49"/>
      <c r="AKS32" s="49"/>
      <c r="AKT32" s="49"/>
      <c r="AKU32" s="49"/>
      <c r="AKV32" s="49"/>
      <c r="AKW32" s="49"/>
      <c r="AKX32" s="49"/>
      <c r="AKY32" s="49"/>
      <c r="AKZ32" s="49"/>
      <c r="ALA32" s="49"/>
      <c r="ALB32" s="49"/>
      <c r="ALC32" s="49"/>
      <c r="ALD32" s="49"/>
      <c r="ALE32" s="49"/>
      <c r="ALF32" s="49"/>
      <c r="ALG32" s="49"/>
      <c r="ALH32" s="49"/>
      <c r="ALI32" s="49"/>
      <c r="ALJ32" s="49"/>
      <c r="ALK32" s="49"/>
      <c r="ALL32" s="49"/>
      <c r="ALM32" s="49"/>
      <c r="ALN32" s="49"/>
      <c r="ALO32" s="49"/>
      <c r="ALP32" s="49"/>
      <c r="ALQ32" s="49"/>
      <c r="ALR32" s="49"/>
      <c r="ALS32" s="49"/>
      <c r="ALT32" s="49"/>
      <c r="ALU32" s="49"/>
      <c r="ALV32" s="49"/>
      <c r="ALW32" s="49"/>
      <c r="ALX32" s="49"/>
      <c r="ALY32" s="49"/>
      <c r="ALZ32" s="49"/>
      <c r="AMA32" s="49"/>
      <c r="AMB32" s="49"/>
      <c r="AMC32" s="49"/>
      <c r="AMD32" s="49"/>
      <c r="AME32" s="49"/>
      <c r="AMF32" s="49"/>
      <c r="AMG32" s="49"/>
      <c r="AMH32" s="49"/>
      <c r="AMI32" s="49"/>
      <c r="AMJ32" s="49"/>
      <c r="AMK32" s="49"/>
      <c r="AML32" s="49"/>
      <c r="AMM32" s="49"/>
      <c r="AMN32" s="49"/>
      <c r="AMO32" s="49"/>
      <c r="AMP32" s="49"/>
      <c r="AMQ32" s="49"/>
      <c r="AMR32" s="49"/>
      <c r="AMS32" s="49"/>
      <c r="AMT32" s="49"/>
      <c r="AMU32" s="49"/>
      <c r="AMV32" s="49"/>
      <c r="AMW32" s="49"/>
      <c r="AMX32" s="49"/>
      <c r="AMY32" s="49"/>
      <c r="AMZ32" s="49"/>
      <c r="ANA32" s="49"/>
      <c r="ANB32" s="49"/>
      <c r="ANC32" s="49"/>
      <c r="AND32" s="49"/>
      <c r="ANE32" s="49"/>
      <c r="ANF32" s="49"/>
      <c r="ANG32" s="49"/>
      <c r="ANH32" s="49"/>
      <c r="ANI32" s="49"/>
      <c r="ANJ32" s="49"/>
      <c r="ANK32" s="49"/>
      <c r="ANL32" s="49"/>
      <c r="ANM32" s="49"/>
      <c r="ANN32" s="49"/>
      <c r="ANO32" s="49"/>
      <c r="ANP32" s="49"/>
      <c r="ANQ32" s="49"/>
      <c r="ANR32" s="49"/>
      <c r="ANS32" s="49"/>
      <c r="ANT32" s="49"/>
      <c r="ANU32" s="49"/>
      <c r="ANV32" s="49"/>
      <c r="ANW32" s="49"/>
      <c r="ANX32" s="49"/>
      <c r="ANY32" s="49"/>
      <c r="ANZ32" s="49"/>
      <c r="AOA32" s="49"/>
      <c r="AOB32" s="49"/>
      <c r="AOC32" s="49"/>
      <c r="AOD32" s="49"/>
      <c r="AOE32" s="49"/>
      <c r="AOF32" s="49"/>
      <c r="AOG32" s="49"/>
      <c r="AOH32" s="49"/>
      <c r="AOI32" s="49"/>
      <c r="AOJ32" s="49"/>
      <c r="AOK32" s="49"/>
      <c r="AOL32" s="49"/>
      <c r="AOM32" s="49"/>
      <c r="AON32" s="49"/>
      <c r="AOO32" s="49"/>
      <c r="AOP32" s="49"/>
      <c r="AOQ32" s="49"/>
      <c r="AOR32" s="49"/>
      <c r="AOS32" s="49"/>
      <c r="AOT32" s="49"/>
      <c r="AOU32" s="49"/>
      <c r="AOV32" s="49"/>
      <c r="AOW32" s="49"/>
      <c r="AOX32" s="49"/>
      <c r="AOY32" s="49"/>
      <c r="AOZ32" s="49"/>
      <c r="APA32" s="49"/>
      <c r="APB32" s="49"/>
      <c r="APC32" s="49"/>
      <c r="APD32" s="49"/>
      <c r="APE32" s="49"/>
      <c r="APF32" s="49"/>
      <c r="APG32" s="49"/>
      <c r="APH32" s="49"/>
      <c r="API32" s="49"/>
      <c r="APJ32" s="49"/>
      <c r="APK32" s="49"/>
      <c r="APL32" s="49"/>
      <c r="APM32" s="49"/>
      <c r="APN32" s="49"/>
      <c r="APO32" s="49"/>
      <c r="APP32" s="49"/>
      <c r="APQ32" s="49"/>
      <c r="APR32" s="49"/>
      <c r="APS32" s="49"/>
      <c r="APT32" s="49"/>
      <c r="APU32" s="49"/>
      <c r="APV32" s="49"/>
      <c r="APW32" s="49"/>
      <c r="APX32" s="49"/>
      <c r="APY32" s="49"/>
      <c r="APZ32" s="49"/>
      <c r="AQA32" s="49"/>
      <c r="AQB32" s="49"/>
      <c r="AQC32" s="49"/>
      <c r="AQD32" s="49"/>
      <c r="AQE32" s="49"/>
      <c r="AQF32" s="49"/>
      <c r="AQG32" s="49"/>
      <c r="AQH32" s="49"/>
      <c r="AQI32" s="49"/>
      <c r="AQJ32" s="49"/>
      <c r="AQK32" s="49"/>
      <c r="AQL32" s="49"/>
      <c r="AQM32" s="49"/>
      <c r="AQN32" s="49"/>
      <c r="AQO32" s="49"/>
      <c r="AQP32" s="49"/>
      <c r="AQQ32" s="49"/>
      <c r="AQR32" s="49"/>
      <c r="AQS32" s="49"/>
      <c r="AQT32" s="49"/>
      <c r="AQU32" s="49"/>
      <c r="AQV32" s="49"/>
      <c r="AQW32" s="49"/>
      <c r="AQX32" s="49"/>
      <c r="AQY32" s="49"/>
      <c r="AQZ32" s="49"/>
      <c r="ARA32" s="49"/>
      <c r="ARB32" s="49"/>
      <c r="ARC32" s="49"/>
      <c r="ARD32" s="49"/>
      <c r="ARE32" s="49"/>
      <c r="ARF32" s="49"/>
      <c r="ARG32" s="49"/>
      <c r="ARH32" s="49"/>
      <c r="ARI32" s="49"/>
      <c r="ARJ32" s="49"/>
      <c r="ARK32" s="49"/>
      <c r="ARL32" s="49"/>
      <c r="ARM32" s="49"/>
      <c r="ARN32" s="49"/>
      <c r="ARO32" s="49"/>
      <c r="ARP32" s="49"/>
      <c r="ARQ32" s="49"/>
      <c r="ARR32" s="49"/>
      <c r="ARS32" s="49"/>
      <c r="ART32" s="49"/>
      <c r="ARU32" s="49"/>
      <c r="ARV32" s="49"/>
      <c r="ARW32" s="49"/>
      <c r="ARX32" s="49"/>
      <c r="ARY32" s="49"/>
      <c r="ARZ32" s="49"/>
      <c r="ASA32" s="49"/>
      <c r="ASB32" s="49"/>
      <c r="ASC32" s="49"/>
      <c r="ASD32" s="49"/>
      <c r="ASE32" s="49"/>
      <c r="ASF32" s="49"/>
      <c r="ASG32" s="49"/>
      <c r="ASH32" s="49"/>
      <c r="ASI32" s="49"/>
      <c r="ASJ32" s="49"/>
      <c r="ASK32" s="49"/>
      <c r="ASL32" s="49"/>
      <c r="ASM32" s="49"/>
      <c r="ASN32" s="49"/>
      <c r="ASO32" s="49"/>
      <c r="ASP32" s="49"/>
      <c r="ASQ32" s="49"/>
      <c r="ASR32" s="49"/>
      <c r="ASS32" s="49"/>
      <c r="AST32" s="49"/>
      <c r="ASU32" s="49"/>
      <c r="ASV32" s="49"/>
      <c r="ASW32" s="49"/>
      <c r="ASX32" s="49"/>
      <c r="ASY32" s="49"/>
      <c r="ASZ32" s="49"/>
      <c r="ATA32" s="49"/>
      <c r="ATB32" s="49"/>
      <c r="ATC32" s="49"/>
      <c r="ATD32" s="49"/>
      <c r="ATE32" s="49"/>
      <c r="ATF32" s="49"/>
      <c r="ATG32" s="49"/>
      <c r="ATH32" s="49"/>
      <c r="ATI32" s="49"/>
      <c r="ATJ32" s="49"/>
      <c r="ATK32" s="49"/>
      <c r="ATL32" s="49"/>
      <c r="ATM32" s="49"/>
      <c r="ATN32" s="49"/>
      <c r="ATO32" s="49"/>
      <c r="ATP32" s="49"/>
      <c r="ATQ32" s="49"/>
      <c r="ATR32" s="49"/>
      <c r="ATS32" s="49"/>
      <c r="ATT32" s="49"/>
      <c r="ATU32" s="49"/>
      <c r="ATV32" s="49"/>
      <c r="ATW32" s="49"/>
      <c r="ATX32" s="49"/>
      <c r="ATY32" s="49"/>
      <c r="ATZ32" s="49"/>
      <c r="AUA32" s="49"/>
      <c r="AUB32" s="49"/>
      <c r="AUC32" s="49"/>
      <c r="AUD32" s="49"/>
      <c r="AUE32" s="49"/>
      <c r="AUF32" s="49"/>
      <c r="AUG32" s="49"/>
      <c r="AUH32" s="49"/>
      <c r="AUI32" s="49"/>
      <c r="AUJ32" s="49"/>
      <c r="AUK32" s="49"/>
      <c r="AUL32" s="49"/>
      <c r="AUM32" s="49"/>
      <c r="AUN32" s="49"/>
      <c r="AUO32" s="49"/>
      <c r="AUP32" s="49"/>
      <c r="AUQ32" s="49"/>
      <c r="AUR32" s="49"/>
      <c r="AUS32" s="49"/>
      <c r="AUT32" s="49"/>
      <c r="AUU32" s="49"/>
      <c r="AUV32" s="49"/>
      <c r="AUW32" s="49"/>
      <c r="AUX32" s="49"/>
      <c r="AUY32" s="49"/>
      <c r="AUZ32" s="49"/>
      <c r="AVA32" s="49"/>
      <c r="AVB32" s="49"/>
      <c r="AVC32" s="49"/>
      <c r="AVD32" s="49"/>
      <c r="AVE32" s="49"/>
      <c r="AVF32" s="49"/>
      <c r="AVG32" s="49"/>
      <c r="AVH32" s="49"/>
      <c r="AVI32" s="49"/>
      <c r="AVJ32" s="49"/>
      <c r="AVK32" s="49"/>
      <c r="AVL32" s="49"/>
      <c r="AVM32" s="49"/>
      <c r="AVN32" s="49"/>
      <c r="AVO32" s="49"/>
      <c r="AVP32" s="49"/>
      <c r="AVQ32" s="49"/>
      <c r="AVR32" s="49"/>
      <c r="AVS32" s="49"/>
      <c r="AVT32" s="49"/>
      <c r="AVU32" s="49"/>
      <c r="AVV32" s="49"/>
      <c r="AVW32" s="49"/>
      <c r="AVX32" s="49"/>
      <c r="AVY32" s="49"/>
      <c r="AVZ32" s="49"/>
      <c r="AWA32" s="49"/>
      <c r="AWB32" s="49"/>
      <c r="AWC32" s="49"/>
      <c r="AWD32" s="49"/>
      <c r="AWE32" s="49"/>
      <c r="AWF32" s="49"/>
      <c r="AWG32" s="49"/>
      <c r="AWH32" s="49"/>
      <c r="AWI32" s="49"/>
      <c r="AWJ32" s="49"/>
      <c r="AWK32" s="49"/>
      <c r="AWL32" s="49"/>
      <c r="AWM32" s="49"/>
      <c r="AWN32" s="49"/>
      <c r="AWO32" s="49"/>
      <c r="AWP32" s="49"/>
      <c r="AWQ32" s="49"/>
      <c r="AWR32" s="49"/>
      <c r="AWS32" s="49"/>
      <c r="AWT32" s="49"/>
      <c r="AWU32" s="49"/>
      <c r="AWV32" s="49"/>
      <c r="AWW32" s="49"/>
      <c r="AWX32" s="49"/>
      <c r="AWY32" s="49"/>
      <c r="AWZ32" s="49"/>
      <c r="AXA32" s="49"/>
      <c r="AXB32" s="49"/>
      <c r="AXC32" s="49"/>
      <c r="AXD32" s="49"/>
      <c r="AXE32" s="49"/>
      <c r="AXF32" s="49"/>
      <c r="AXG32" s="49"/>
      <c r="AXH32" s="49"/>
      <c r="AXI32" s="49"/>
      <c r="AXJ32" s="49"/>
      <c r="AXK32" s="49"/>
      <c r="AXL32" s="49"/>
      <c r="AXM32" s="49"/>
      <c r="AXN32" s="49"/>
      <c r="AXO32" s="49"/>
      <c r="AXP32" s="49"/>
      <c r="AXQ32" s="49"/>
      <c r="AXR32" s="49"/>
      <c r="AXS32" s="49"/>
      <c r="AXT32" s="49"/>
      <c r="AXU32" s="49"/>
      <c r="AXV32" s="49"/>
      <c r="AXW32" s="49"/>
      <c r="AXX32" s="49"/>
      <c r="AXY32" s="49"/>
      <c r="AXZ32" s="49"/>
      <c r="AYA32" s="49"/>
      <c r="AYB32" s="49"/>
      <c r="AYC32" s="49"/>
      <c r="AYD32" s="49"/>
      <c r="AYE32" s="49"/>
      <c r="AYF32" s="49"/>
      <c r="AYG32" s="49"/>
      <c r="AYH32" s="49"/>
      <c r="AYI32" s="49"/>
      <c r="AYJ32" s="49"/>
      <c r="AYK32" s="49"/>
      <c r="AYL32" s="49"/>
      <c r="AYM32" s="49"/>
      <c r="AYN32" s="49"/>
      <c r="AYO32" s="49"/>
      <c r="AYP32" s="49"/>
      <c r="AYQ32" s="49"/>
      <c r="AYR32" s="49"/>
      <c r="AYS32" s="49"/>
      <c r="AYT32" s="49"/>
      <c r="AYU32" s="49"/>
      <c r="AYV32" s="49"/>
      <c r="AYW32" s="49"/>
      <c r="AYX32" s="49"/>
      <c r="AYY32" s="49"/>
      <c r="AYZ32" s="49"/>
      <c r="AZA32" s="49"/>
      <c r="AZB32" s="49"/>
      <c r="AZC32" s="49"/>
      <c r="AZD32" s="49"/>
      <c r="AZE32" s="49"/>
      <c r="AZF32" s="49"/>
      <c r="AZG32" s="49"/>
      <c r="AZH32" s="49"/>
      <c r="AZI32" s="49"/>
      <c r="AZJ32" s="49"/>
      <c r="AZK32" s="49"/>
      <c r="AZL32" s="49"/>
      <c r="AZM32" s="49"/>
      <c r="AZN32" s="49"/>
      <c r="AZO32" s="49"/>
      <c r="AZP32" s="49"/>
      <c r="AZQ32" s="49"/>
      <c r="AZR32" s="49"/>
      <c r="AZS32" s="49"/>
      <c r="AZT32" s="49"/>
      <c r="AZU32" s="49"/>
      <c r="AZV32" s="49"/>
      <c r="AZW32" s="49"/>
      <c r="AZX32" s="49"/>
      <c r="AZY32" s="49"/>
      <c r="AZZ32" s="49"/>
      <c r="BAA32" s="49"/>
      <c r="BAB32" s="49"/>
      <c r="BAC32" s="49"/>
      <c r="BAD32" s="49"/>
      <c r="BAE32" s="49"/>
      <c r="BAF32" s="49"/>
      <c r="BAG32" s="49"/>
      <c r="BAH32" s="49"/>
      <c r="BAI32" s="49"/>
      <c r="BAJ32" s="49"/>
      <c r="BAK32" s="49"/>
      <c r="BAL32" s="49"/>
      <c r="BAM32" s="49"/>
      <c r="BAN32" s="49"/>
      <c r="BAO32" s="49"/>
      <c r="BAP32" s="49"/>
      <c r="BAQ32" s="49"/>
      <c r="BAR32" s="49"/>
      <c r="BAS32" s="49"/>
      <c r="BAT32" s="49"/>
      <c r="BAU32" s="49"/>
      <c r="BAV32" s="49"/>
      <c r="BAW32" s="49"/>
      <c r="BAX32" s="49"/>
      <c r="BAY32" s="49"/>
      <c r="BAZ32" s="49"/>
      <c r="BBA32" s="49"/>
      <c r="BBB32" s="49"/>
      <c r="BBC32" s="49"/>
      <c r="BBD32" s="49"/>
      <c r="BBE32" s="49"/>
      <c r="BBF32" s="49"/>
      <c r="BBG32" s="49"/>
      <c r="BBH32" s="49"/>
      <c r="BBI32" s="49"/>
      <c r="BBJ32" s="49"/>
      <c r="BBK32" s="49"/>
      <c r="BBL32" s="49"/>
      <c r="BBM32" s="49"/>
      <c r="BBN32" s="49"/>
      <c r="BBO32" s="49"/>
      <c r="BBP32" s="49"/>
      <c r="BBQ32" s="49"/>
      <c r="BBR32" s="49"/>
      <c r="BBS32" s="49"/>
      <c r="BBT32" s="49"/>
      <c r="BBU32" s="49"/>
      <c r="BBV32" s="49"/>
      <c r="BBW32" s="49"/>
      <c r="BBX32" s="49"/>
      <c r="BBY32" s="49"/>
      <c r="BBZ32" s="49"/>
      <c r="BCA32" s="49"/>
      <c r="BCB32" s="49"/>
      <c r="BCC32" s="49"/>
      <c r="BCD32" s="49"/>
      <c r="BCE32" s="49"/>
      <c r="BCF32" s="49"/>
      <c r="BCG32" s="49"/>
      <c r="BCH32" s="49"/>
      <c r="BCI32" s="49"/>
      <c r="BCJ32" s="49"/>
      <c r="BCK32" s="49"/>
      <c r="BCL32" s="49"/>
      <c r="BCM32" s="49"/>
      <c r="BCN32" s="49"/>
    </row>
    <row r="33" spans="1:1444" s="47" customFormat="1">
      <c r="A33" s="52"/>
      <c r="B33" s="94">
        <v>45776</v>
      </c>
      <c r="C33" s="94" t="s">
        <v>193</v>
      </c>
      <c r="D33" s="95">
        <v>57</v>
      </c>
      <c r="E33" s="95">
        <v>93.75</v>
      </c>
      <c r="F33" s="95">
        <v>0</v>
      </c>
      <c r="G33" s="95">
        <v>0</v>
      </c>
      <c r="H33" s="95">
        <v>30</v>
      </c>
      <c r="I33" s="95">
        <v>38</v>
      </c>
      <c r="J33" s="95">
        <v>1120.21</v>
      </c>
      <c r="K33" s="95">
        <v>1313.9853000000398</v>
      </c>
      <c r="L33" s="95">
        <v>13</v>
      </c>
      <c r="M33" s="155">
        <f t="shared" si="0"/>
        <v>0</v>
      </c>
      <c r="N33" s="141">
        <f>'units overall'!O33</f>
        <v>2665.9453000000399</v>
      </c>
      <c r="O33" s="81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  <c r="FW33" s="49"/>
      <c r="FX33" s="49"/>
      <c r="FY33" s="49"/>
      <c r="FZ33" s="49"/>
      <c r="GA33" s="49"/>
      <c r="GB33" s="49"/>
      <c r="GC33" s="49"/>
      <c r="GD33" s="49"/>
      <c r="GE33" s="49"/>
      <c r="GF33" s="49"/>
      <c r="GG33" s="49"/>
      <c r="GH33" s="49"/>
      <c r="GI33" s="49"/>
      <c r="GJ33" s="49"/>
      <c r="GK33" s="49"/>
      <c r="GL33" s="49"/>
      <c r="GM33" s="49"/>
      <c r="GN33" s="49"/>
      <c r="GO33" s="49"/>
      <c r="GP33" s="49"/>
      <c r="GQ33" s="49"/>
      <c r="GR33" s="49"/>
      <c r="GS33" s="49"/>
      <c r="GT33" s="49"/>
      <c r="GU33" s="49"/>
      <c r="GV33" s="49"/>
      <c r="GW33" s="49"/>
      <c r="GX33" s="49"/>
      <c r="GY33" s="49"/>
      <c r="GZ33" s="49"/>
      <c r="HA33" s="49"/>
      <c r="HB33" s="49"/>
      <c r="HC33" s="49"/>
      <c r="HD33" s="49"/>
      <c r="HE33" s="49"/>
      <c r="HF33" s="49"/>
      <c r="HG33" s="49"/>
      <c r="HH33" s="49"/>
      <c r="HI33" s="49"/>
      <c r="HJ33" s="49"/>
      <c r="HK33" s="49"/>
      <c r="HL33" s="49"/>
      <c r="HM33" s="49"/>
      <c r="HN33" s="49"/>
      <c r="HO33" s="49"/>
      <c r="HP33" s="49"/>
      <c r="HQ33" s="49"/>
      <c r="HR33" s="49"/>
      <c r="HS33" s="49"/>
      <c r="HT33" s="49"/>
      <c r="HU33" s="49"/>
      <c r="HV33" s="49"/>
      <c r="HW33" s="49"/>
      <c r="HX33" s="49"/>
      <c r="HY33" s="49"/>
      <c r="HZ33" s="49"/>
      <c r="IA33" s="49"/>
      <c r="IB33" s="49"/>
      <c r="IC33" s="49"/>
      <c r="ID33" s="49"/>
      <c r="IE33" s="49"/>
      <c r="IF33" s="49"/>
      <c r="IG33" s="49"/>
      <c r="IH33" s="49"/>
      <c r="II33" s="49"/>
      <c r="IJ33" s="49"/>
      <c r="IK33" s="49"/>
      <c r="IL33" s="49"/>
      <c r="IM33" s="49"/>
      <c r="IN33" s="49"/>
      <c r="IO33" s="49"/>
      <c r="IP33" s="49"/>
      <c r="IQ33" s="49"/>
      <c r="IR33" s="49"/>
      <c r="IS33" s="49"/>
      <c r="IT33" s="49"/>
      <c r="IU33" s="49"/>
      <c r="IV33" s="49"/>
      <c r="IW33" s="49"/>
      <c r="IX33" s="49"/>
      <c r="IY33" s="49"/>
      <c r="IZ33" s="49"/>
      <c r="JA33" s="49"/>
      <c r="JB33" s="49"/>
      <c r="JC33" s="49"/>
      <c r="JD33" s="49"/>
      <c r="JE33" s="49"/>
      <c r="JF33" s="49"/>
      <c r="JG33" s="49"/>
      <c r="JH33" s="49"/>
      <c r="JI33" s="49"/>
      <c r="JJ33" s="49"/>
      <c r="JK33" s="49"/>
      <c r="JL33" s="49"/>
      <c r="JM33" s="49"/>
      <c r="JN33" s="49"/>
      <c r="JO33" s="49"/>
      <c r="JP33" s="49"/>
      <c r="JQ33" s="49"/>
      <c r="JR33" s="49"/>
      <c r="JS33" s="49"/>
      <c r="JT33" s="49"/>
      <c r="JU33" s="49"/>
      <c r="JV33" s="49"/>
      <c r="JW33" s="49"/>
      <c r="JX33" s="49"/>
      <c r="JY33" s="49"/>
      <c r="JZ33" s="49"/>
      <c r="KA33" s="49"/>
      <c r="KB33" s="49"/>
      <c r="KC33" s="49"/>
      <c r="KD33" s="49"/>
      <c r="KE33" s="49"/>
      <c r="KF33" s="49"/>
      <c r="KG33" s="49"/>
      <c r="KH33" s="49"/>
      <c r="KI33" s="49"/>
      <c r="KJ33" s="49"/>
      <c r="KK33" s="49"/>
      <c r="KL33" s="49"/>
      <c r="KM33" s="49"/>
      <c r="KN33" s="49"/>
      <c r="KO33" s="49"/>
      <c r="KP33" s="49"/>
      <c r="KQ33" s="49"/>
      <c r="KR33" s="49"/>
      <c r="KS33" s="49"/>
      <c r="KT33" s="49"/>
      <c r="KU33" s="49"/>
      <c r="KV33" s="49"/>
      <c r="KW33" s="49"/>
      <c r="KX33" s="49"/>
      <c r="KY33" s="49"/>
      <c r="KZ33" s="49"/>
      <c r="LA33" s="49"/>
      <c r="LB33" s="49"/>
      <c r="LC33" s="49"/>
      <c r="LD33" s="49"/>
      <c r="LE33" s="49"/>
      <c r="LF33" s="49"/>
      <c r="LG33" s="49"/>
      <c r="LH33" s="49"/>
      <c r="LI33" s="49"/>
      <c r="LJ33" s="49"/>
      <c r="LK33" s="49"/>
      <c r="LL33" s="49"/>
      <c r="LM33" s="49"/>
      <c r="LN33" s="49"/>
      <c r="LO33" s="49"/>
      <c r="LP33" s="49"/>
      <c r="LQ33" s="49"/>
      <c r="LR33" s="49"/>
      <c r="LS33" s="49"/>
      <c r="LT33" s="49"/>
      <c r="LU33" s="49"/>
      <c r="LV33" s="49"/>
      <c r="LW33" s="49"/>
      <c r="LX33" s="49"/>
      <c r="LY33" s="49"/>
      <c r="LZ33" s="49"/>
      <c r="MA33" s="49"/>
      <c r="MB33" s="49"/>
      <c r="MC33" s="49"/>
      <c r="MD33" s="49"/>
      <c r="ME33" s="49"/>
      <c r="MF33" s="49"/>
      <c r="MG33" s="49"/>
      <c r="MH33" s="49"/>
      <c r="MI33" s="49"/>
      <c r="MJ33" s="49"/>
      <c r="MK33" s="49"/>
      <c r="ML33" s="49"/>
      <c r="MM33" s="49"/>
      <c r="MN33" s="49"/>
      <c r="MO33" s="49"/>
      <c r="MP33" s="49"/>
      <c r="MQ33" s="49"/>
      <c r="MR33" s="49"/>
      <c r="MS33" s="49"/>
      <c r="MT33" s="49"/>
      <c r="MU33" s="49"/>
      <c r="MV33" s="49"/>
      <c r="MW33" s="49"/>
      <c r="MX33" s="49"/>
      <c r="MY33" s="49"/>
      <c r="MZ33" s="49"/>
      <c r="NA33" s="49"/>
      <c r="NB33" s="49"/>
      <c r="NC33" s="49"/>
      <c r="ND33" s="49"/>
      <c r="NE33" s="49"/>
      <c r="NF33" s="49"/>
      <c r="NG33" s="49"/>
      <c r="NH33" s="49"/>
      <c r="NI33" s="49"/>
      <c r="NJ33" s="49"/>
      <c r="NK33" s="49"/>
      <c r="NL33" s="49"/>
      <c r="NM33" s="49"/>
      <c r="NN33" s="49"/>
      <c r="NO33" s="49"/>
      <c r="NP33" s="49"/>
      <c r="NQ33" s="49"/>
      <c r="NR33" s="49"/>
      <c r="NS33" s="49"/>
      <c r="NT33" s="49"/>
      <c r="NU33" s="49"/>
      <c r="NV33" s="49"/>
      <c r="NW33" s="49"/>
      <c r="NX33" s="49"/>
      <c r="NY33" s="49"/>
      <c r="NZ33" s="49"/>
      <c r="OA33" s="49"/>
      <c r="OB33" s="49"/>
      <c r="OC33" s="49"/>
      <c r="OD33" s="49"/>
      <c r="OE33" s="49"/>
      <c r="OF33" s="49"/>
      <c r="OG33" s="49"/>
      <c r="OH33" s="49"/>
      <c r="OI33" s="49"/>
      <c r="OJ33" s="49"/>
      <c r="OK33" s="49"/>
      <c r="OL33" s="49"/>
      <c r="OM33" s="49"/>
      <c r="ON33" s="49"/>
      <c r="OO33" s="49"/>
      <c r="OP33" s="49"/>
      <c r="OQ33" s="49"/>
      <c r="OR33" s="49"/>
      <c r="OS33" s="49"/>
      <c r="OT33" s="49"/>
      <c r="OU33" s="49"/>
      <c r="OV33" s="49"/>
      <c r="OW33" s="49"/>
      <c r="OX33" s="49"/>
      <c r="OY33" s="49"/>
      <c r="OZ33" s="49"/>
      <c r="PA33" s="49"/>
      <c r="PB33" s="49"/>
      <c r="PC33" s="49"/>
      <c r="PD33" s="49"/>
      <c r="PE33" s="49"/>
      <c r="PF33" s="49"/>
      <c r="PG33" s="49"/>
      <c r="PH33" s="49"/>
      <c r="PI33" s="49"/>
      <c r="PJ33" s="49"/>
      <c r="PK33" s="49"/>
      <c r="PL33" s="49"/>
      <c r="PM33" s="49"/>
      <c r="PN33" s="49"/>
      <c r="PO33" s="49"/>
      <c r="PP33" s="49"/>
      <c r="PQ33" s="49"/>
      <c r="PR33" s="49"/>
      <c r="PS33" s="49"/>
      <c r="PT33" s="49"/>
      <c r="PU33" s="49"/>
      <c r="PV33" s="49"/>
      <c r="PW33" s="49"/>
      <c r="PX33" s="49"/>
      <c r="PY33" s="49"/>
      <c r="PZ33" s="49"/>
      <c r="QA33" s="49"/>
      <c r="QB33" s="49"/>
      <c r="QC33" s="49"/>
      <c r="QD33" s="49"/>
      <c r="QE33" s="49"/>
      <c r="QF33" s="49"/>
      <c r="QG33" s="49"/>
      <c r="QH33" s="49"/>
      <c r="QI33" s="49"/>
      <c r="QJ33" s="49"/>
      <c r="QK33" s="49"/>
      <c r="QL33" s="49"/>
      <c r="QM33" s="49"/>
      <c r="QN33" s="49"/>
      <c r="QO33" s="49"/>
      <c r="QP33" s="49"/>
      <c r="QQ33" s="49"/>
      <c r="QR33" s="49"/>
      <c r="QS33" s="49"/>
      <c r="QT33" s="49"/>
      <c r="QU33" s="49"/>
      <c r="QV33" s="49"/>
      <c r="QW33" s="49"/>
      <c r="QX33" s="49"/>
      <c r="QY33" s="49"/>
      <c r="QZ33" s="49"/>
      <c r="RA33" s="49"/>
      <c r="RB33" s="49"/>
      <c r="RC33" s="49"/>
      <c r="RD33" s="49"/>
      <c r="RE33" s="49"/>
      <c r="RF33" s="49"/>
      <c r="RG33" s="49"/>
      <c r="RH33" s="49"/>
      <c r="RI33" s="49"/>
      <c r="RJ33" s="49"/>
      <c r="RK33" s="49"/>
      <c r="RL33" s="49"/>
      <c r="RM33" s="49"/>
      <c r="RN33" s="49"/>
      <c r="RO33" s="49"/>
      <c r="RP33" s="49"/>
      <c r="RQ33" s="49"/>
      <c r="RR33" s="49"/>
      <c r="RS33" s="49"/>
      <c r="RT33" s="49"/>
      <c r="RU33" s="49"/>
      <c r="RV33" s="49"/>
      <c r="RW33" s="49"/>
      <c r="RX33" s="49"/>
      <c r="RY33" s="49"/>
      <c r="RZ33" s="49"/>
      <c r="SA33" s="49"/>
      <c r="SB33" s="49"/>
      <c r="SC33" s="49"/>
      <c r="SD33" s="49"/>
      <c r="SE33" s="49"/>
      <c r="SF33" s="49"/>
      <c r="SG33" s="49"/>
      <c r="SH33" s="49"/>
      <c r="SI33" s="49"/>
      <c r="SJ33" s="49"/>
      <c r="SK33" s="49"/>
      <c r="SL33" s="49"/>
      <c r="SM33" s="49"/>
      <c r="SN33" s="49"/>
      <c r="SO33" s="49"/>
      <c r="SP33" s="49"/>
      <c r="SQ33" s="49"/>
      <c r="SR33" s="49"/>
      <c r="SS33" s="49"/>
      <c r="ST33" s="49"/>
      <c r="SU33" s="49"/>
      <c r="SV33" s="49"/>
      <c r="SW33" s="49"/>
      <c r="SX33" s="49"/>
      <c r="SY33" s="49"/>
      <c r="SZ33" s="49"/>
      <c r="TA33" s="49"/>
      <c r="TB33" s="49"/>
      <c r="TC33" s="49"/>
      <c r="TD33" s="49"/>
      <c r="TE33" s="49"/>
      <c r="TF33" s="49"/>
      <c r="TG33" s="49"/>
      <c r="TH33" s="49"/>
      <c r="TI33" s="49"/>
      <c r="TJ33" s="49"/>
      <c r="TK33" s="49"/>
      <c r="TL33" s="49"/>
      <c r="TM33" s="49"/>
      <c r="TN33" s="49"/>
      <c r="TO33" s="49"/>
      <c r="TP33" s="49"/>
      <c r="TQ33" s="49"/>
      <c r="TR33" s="49"/>
      <c r="TS33" s="49"/>
      <c r="TT33" s="49"/>
      <c r="TU33" s="49"/>
      <c r="TV33" s="49"/>
      <c r="TW33" s="49"/>
      <c r="TX33" s="49"/>
      <c r="TY33" s="49"/>
      <c r="TZ33" s="49"/>
      <c r="UA33" s="49"/>
      <c r="UB33" s="49"/>
      <c r="UC33" s="49"/>
      <c r="UD33" s="49"/>
      <c r="UE33" s="49"/>
      <c r="UF33" s="49"/>
      <c r="UG33" s="49"/>
      <c r="UH33" s="49"/>
      <c r="UI33" s="49"/>
      <c r="UJ33" s="49"/>
      <c r="UK33" s="49"/>
      <c r="UL33" s="49"/>
      <c r="UM33" s="49"/>
      <c r="UN33" s="49"/>
      <c r="UO33" s="49"/>
      <c r="UP33" s="49"/>
      <c r="UQ33" s="49"/>
      <c r="UR33" s="49"/>
      <c r="US33" s="49"/>
      <c r="UT33" s="49"/>
      <c r="UU33" s="49"/>
      <c r="UV33" s="49"/>
      <c r="UW33" s="49"/>
      <c r="UX33" s="49"/>
      <c r="UY33" s="49"/>
      <c r="UZ33" s="49"/>
      <c r="VA33" s="49"/>
      <c r="VB33" s="49"/>
      <c r="VC33" s="49"/>
      <c r="VD33" s="49"/>
      <c r="VE33" s="49"/>
      <c r="VF33" s="49"/>
      <c r="VG33" s="49"/>
      <c r="VH33" s="49"/>
      <c r="VI33" s="49"/>
      <c r="VJ33" s="49"/>
      <c r="VK33" s="49"/>
      <c r="VL33" s="49"/>
      <c r="VM33" s="49"/>
      <c r="VN33" s="49"/>
      <c r="VO33" s="49"/>
      <c r="VP33" s="49"/>
      <c r="VQ33" s="49"/>
      <c r="VR33" s="49"/>
      <c r="VS33" s="49"/>
      <c r="VT33" s="49"/>
      <c r="VU33" s="49"/>
      <c r="VV33" s="49"/>
      <c r="VW33" s="49"/>
      <c r="VX33" s="49"/>
      <c r="VY33" s="49"/>
      <c r="VZ33" s="49"/>
      <c r="WA33" s="49"/>
      <c r="WB33" s="49"/>
      <c r="WC33" s="49"/>
      <c r="WD33" s="49"/>
      <c r="WE33" s="49"/>
      <c r="WF33" s="49"/>
      <c r="WG33" s="49"/>
      <c r="WH33" s="49"/>
      <c r="WI33" s="49"/>
      <c r="WJ33" s="49"/>
      <c r="WK33" s="49"/>
      <c r="WL33" s="49"/>
      <c r="WM33" s="49"/>
      <c r="WN33" s="49"/>
      <c r="WO33" s="49"/>
      <c r="WP33" s="49"/>
      <c r="WQ33" s="49"/>
      <c r="WR33" s="49"/>
      <c r="WS33" s="49"/>
      <c r="WT33" s="49"/>
      <c r="WU33" s="49"/>
      <c r="WV33" s="49"/>
      <c r="WW33" s="49"/>
      <c r="WX33" s="49"/>
      <c r="WY33" s="49"/>
      <c r="WZ33" s="49"/>
      <c r="XA33" s="49"/>
      <c r="XB33" s="49"/>
      <c r="XC33" s="49"/>
      <c r="XD33" s="49"/>
      <c r="XE33" s="49"/>
      <c r="XF33" s="49"/>
      <c r="XG33" s="49"/>
      <c r="XH33" s="49"/>
      <c r="XI33" s="49"/>
      <c r="XJ33" s="49"/>
      <c r="XK33" s="49"/>
      <c r="XL33" s="49"/>
      <c r="XM33" s="49"/>
      <c r="XN33" s="49"/>
      <c r="XO33" s="49"/>
      <c r="XP33" s="49"/>
      <c r="XQ33" s="49"/>
      <c r="XR33" s="49"/>
      <c r="XS33" s="49"/>
      <c r="XT33" s="49"/>
      <c r="XU33" s="49"/>
      <c r="XV33" s="49"/>
      <c r="XW33" s="49"/>
      <c r="XX33" s="49"/>
      <c r="XY33" s="49"/>
      <c r="XZ33" s="49"/>
      <c r="YA33" s="49"/>
      <c r="YB33" s="49"/>
      <c r="YC33" s="49"/>
      <c r="YD33" s="49"/>
      <c r="YE33" s="49"/>
      <c r="YF33" s="49"/>
      <c r="YG33" s="49"/>
      <c r="YH33" s="49"/>
      <c r="YI33" s="49"/>
      <c r="YJ33" s="49"/>
      <c r="YK33" s="49"/>
      <c r="YL33" s="49"/>
      <c r="YM33" s="49"/>
      <c r="YN33" s="49"/>
      <c r="YO33" s="49"/>
      <c r="YP33" s="49"/>
      <c r="YQ33" s="49"/>
      <c r="YR33" s="49"/>
      <c r="YS33" s="49"/>
      <c r="YT33" s="49"/>
      <c r="YU33" s="49"/>
      <c r="YV33" s="49"/>
      <c r="YW33" s="49"/>
      <c r="YX33" s="49"/>
      <c r="YY33" s="49"/>
      <c r="YZ33" s="49"/>
      <c r="ZA33" s="49"/>
      <c r="ZB33" s="49"/>
      <c r="ZC33" s="49"/>
      <c r="ZD33" s="49"/>
      <c r="ZE33" s="49"/>
      <c r="ZF33" s="49"/>
      <c r="ZG33" s="49"/>
      <c r="ZH33" s="49"/>
      <c r="ZI33" s="49"/>
      <c r="ZJ33" s="49"/>
      <c r="ZK33" s="49"/>
      <c r="ZL33" s="49"/>
      <c r="ZM33" s="49"/>
      <c r="ZN33" s="49"/>
      <c r="ZO33" s="49"/>
      <c r="ZP33" s="49"/>
      <c r="ZQ33" s="49"/>
      <c r="ZR33" s="49"/>
      <c r="ZS33" s="49"/>
      <c r="ZT33" s="49"/>
      <c r="ZU33" s="49"/>
      <c r="ZV33" s="49"/>
      <c r="ZW33" s="49"/>
      <c r="ZX33" s="49"/>
      <c r="ZY33" s="49"/>
      <c r="ZZ33" s="49"/>
      <c r="AAA33" s="49"/>
      <c r="AAB33" s="49"/>
      <c r="AAC33" s="49"/>
      <c r="AAD33" s="49"/>
      <c r="AAE33" s="49"/>
      <c r="AAF33" s="49"/>
      <c r="AAG33" s="49"/>
      <c r="AAH33" s="49"/>
      <c r="AAI33" s="49"/>
      <c r="AAJ33" s="49"/>
      <c r="AAK33" s="49"/>
      <c r="AAL33" s="49"/>
      <c r="AAM33" s="49"/>
      <c r="AAN33" s="49"/>
      <c r="AAO33" s="49"/>
      <c r="AAP33" s="49"/>
      <c r="AAQ33" s="49"/>
      <c r="AAR33" s="49"/>
      <c r="AAS33" s="49"/>
      <c r="AAT33" s="49"/>
      <c r="AAU33" s="49"/>
      <c r="AAV33" s="49"/>
      <c r="AAW33" s="49"/>
      <c r="AAX33" s="49"/>
      <c r="AAY33" s="49"/>
      <c r="AAZ33" s="49"/>
      <c r="ABA33" s="49"/>
      <c r="ABB33" s="49"/>
      <c r="ABC33" s="49"/>
      <c r="ABD33" s="49"/>
      <c r="ABE33" s="49"/>
      <c r="ABF33" s="49"/>
      <c r="ABG33" s="49"/>
      <c r="ABH33" s="49"/>
      <c r="ABI33" s="49"/>
      <c r="ABJ33" s="49"/>
      <c r="ABK33" s="49"/>
      <c r="ABL33" s="49"/>
      <c r="ABM33" s="49"/>
      <c r="ABN33" s="49"/>
      <c r="ABO33" s="49"/>
      <c r="ABP33" s="49"/>
      <c r="ABQ33" s="49"/>
      <c r="ABR33" s="49"/>
      <c r="ABS33" s="49"/>
      <c r="ABT33" s="49"/>
      <c r="ABU33" s="49"/>
      <c r="ABV33" s="49"/>
      <c r="ABW33" s="49"/>
      <c r="ABX33" s="49"/>
      <c r="ABY33" s="49"/>
      <c r="ABZ33" s="49"/>
      <c r="ACA33" s="49"/>
      <c r="ACB33" s="49"/>
      <c r="ACC33" s="49"/>
      <c r="ACD33" s="49"/>
      <c r="ACE33" s="49"/>
      <c r="ACF33" s="49"/>
      <c r="ACG33" s="49"/>
      <c r="ACH33" s="49"/>
      <c r="ACI33" s="49"/>
      <c r="ACJ33" s="49"/>
      <c r="ACK33" s="49"/>
      <c r="ACL33" s="49"/>
      <c r="ACM33" s="49"/>
      <c r="ACN33" s="49"/>
      <c r="ACO33" s="49"/>
      <c r="ACP33" s="49"/>
      <c r="ACQ33" s="49"/>
      <c r="ACR33" s="49"/>
      <c r="ACS33" s="49"/>
      <c r="ACT33" s="49"/>
      <c r="ACU33" s="49"/>
      <c r="ACV33" s="49"/>
      <c r="ACW33" s="49"/>
      <c r="ACX33" s="49"/>
      <c r="ACY33" s="49"/>
      <c r="ACZ33" s="49"/>
      <c r="ADA33" s="49"/>
      <c r="ADB33" s="49"/>
      <c r="ADC33" s="49"/>
      <c r="ADD33" s="49"/>
      <c r="ADE33" s="49"/>
      <c r="ADF33" s="49"/>
      <c r="ADG33" s="49"/>
      <c r="ADH33" s="49"/>
      <c r="ADI33" s="49"/>
      <c r="ADJ33" s="49"/>
      <c r="ADK33" s="49"/>
      <c r="ADL33" s="49"/>
      <c r="ADM33" s="49"/>
      <c r="ADN33" s="49"/>
      <c r="ADO33" s="49"/>
      <c r="ADP33" s="49"/>
      <c r="ADQ33" s="49"/>
      <c r="ADR33" s="49"/>
      <c r="ADS33" s="49"/>
      <c r="ADT33" s="49"/>
      <c r="ADU33" s="49"/>
      <c r="ADV33" s="49"/>
      <c r="ADW33" s="49"/>
      <c r="ADX33" s="49"/>
      <c r="ADY33" s="49"/>
      <c r="ADZ33" s="49"/>
      <c r="AEA33" s="49"/>
      <c r="AEB33" s="49"/>
      <c r="AEC33" s="49"/>
      <c r="AED33" s="49"/>
      <c r="AEE33" s="49"/>
      <c r="AEF33" s="49"/>
      <c r="AEG33" s="49"/>
      <c r="AEH33" s="49"/>
      <c r="AEI33" s="49"/>
      <c r="AEJ33" s="49"/>
      <c r="AEK33" s="49"/>
      <c r="AEL33" s="49"/>
      <c r="AEM33" s="49"/>
      <c r="AEN33" s="49"/>
      <c r="AEO33" s="49"/>
      <c r="AEP33" s="49"/>
      <c r="AEQ33" s="49"/>
      <c r="AER33" s="49"/>
      <c r="AES33" s="49"/>
      <c r="AET33" s="49"/>
      <c r="AEU33" s="49"/>
      <c r="AEV33" s="49"/>
      <c r="AEW33" s="49"/>
      <c r="AEX33" s="49"/>
      <c r="AEY33" s="49"/>
      <c r="AEZ33" s="49"/>
      <c r="AFA33" s="49"/>
      <c r="AFB33" s="49"/>
      <c r="AFC33" s="49"/>
      <c r="AFD33" s="49"/>
      <c r="AFE33" s="49"/>
      <c r="AFF33" s="49"/>
      <c r="AFG33" s="49"/>
      <c r="AFH33" s="49"/>
      <c r="AFI33" s="49"/>
      <c r="AFJ33" s="49"/>
      <c r="AFK33" s="49"/>
      <c r="AFL33" s="49"/>
      <c r="AFM33" s="49"/>
      <c r="AFN33" s="49"/>
      <c r="AFO33" s="49"/>
      <c r="AFP33" s="49"/>
      <c r="AFQ33" s="49"/>
      <c r="AFR33" s="49"/>
      <c r="AFS33" s="49"/>
      <c r="AFT33" s="49"/>
      <c r="AFU33" s="49"/>
      <c r="AFV33" s="49"/>
      <c r="AFW33" s="49"/>
      <c r="AFX33" s="49"/>
      <c r="AFY33" s="49"/>
      <c r="AFZ33" s="49"/>
      <c r="AGA33" s="49"/>
      <c r="AGB33" s="49"/>
      <c r="AGC33" s="49"/>
      <c r="AGD33" s="49"/>
      <c r="AGE33" s="49"/>
      <c r="AGF33" s="49"/>
      <c r="AGG33" s="49"/>
      <c r="AGH33" s="49"/>
      <c r="AGI33" s="49"/>
      <c r="AGJ33" s="49"/>
      <c r="AGK33" s="49"/>
      <c r="AGL33" s="49"/>
      <c r="AGM33" s="49"/>
      <c r="AGN33" s="49"/>
      <c r="AGO33" s="49"/>
      <c r="AGP33" s="49"/>
      <c r="AGQ33" s="49"/>
      <c r="AGR33" s="49"/>
      <c r="AGS33" s="49"/>
      <c r="AGT33" s="49"/>
      <c r="AGU33" s="49"/>
      <c r="AGV33" s="49"/>
      <c r="AGW33" s="49"/>
      <c r="AGX33" s="49"/>
      <c r="AGY33" s="49"/>
      <c r="AGZ33" s="49"/>
      <c r="AHA33" s="49"/>
      <c r="AHB33" s="49"/>
      <c r="AHC33" s="49"/>
      <c r="AHD33" s="49"/>
      <c r="AHE33" s="49"/>
      <c r="AHF33" s="49"/>
      <c r="AHG33" s="49"/>
      <c r="AHH33" s="49"/>
      <c r="AHI33" s="49"/>
      <c r="AHJ33" s="49"/>
      <c r="AHK33" s="49"/>
      <c r="AHL33" s="49"/>
      <c r="AHM33" s="49"/>
      <c r="AHN33" s="49"/>
      <c r="AHO33" s="49"/>
      <c r="AHP33" s="49"/>
      <c r="AHQ33" s="49"/>
      <c r="AHR33" s="49"/>
      <c r="AHS33" s="49"/>
      <c r="AHT33" s="49"/>
      <c r="AHU33" s="49"/>
      <c r="AHV33" s="49"/>
      <c r="AHW33" s="49"/>
      <c r="AHX33" s="49"/>
      <c r="AHY33" s="49"/>
      <c r="AHZ33" s="49"/>
      <c r="AIA33" s="49"/>
      <c r="AIB33" s="49"/>
      <c r="AIC33" s="49"/>
      <c r="AID33" s="49"/>
      <c r="AIE33" s="49"/>
      <c r="AIF33" s="49"/>
      <c r="AIG33" s="49"/>
      <c r="AIH33" s="49"/>
      <c r="AII33" s="49"/>
      <c r="AIJ33" s="49"/>
      <c r="AIK33" s="49"/>
      <c r="AIL33" s="49"/>
      <c r="AIM33" s="49"/>
      <c r="AIN33" s="49"/>
      <c r="AIO33" s="49"/>
      <c r="AIP33" s="49"/>
      <c r="AIQ33" s="49"/>
      <c r="AIR33" s="49"/>
      <c r="AIS33" s="49"/>
      <c r="AIT33" s="49"/>
      <c r="AIU33" s="49"/>
      <c r="AIV33" s="49"/>
      <c r="AIW33" s="49"/>
      <c r="AIX33" s="49"/>
      <c r="AIY33" s="49"/>
      <c r="AIZ33" s="49"/>
      <c r="AJA33" s="49"/>
      <c r="AJB33" s="49"/>
      <c r="AJC33" s="49"/>
      <c r="AJD33" s="49"/>
      <c r="AJE33" s="49"/>
      <c r="AJF33" s="49"/>
      <c r="AJG33" s="49"/>
      <c r="AJH33" s="49"/>
      <c r="AJI33" s="49"/>
      <c r="AJJ33" s="49"/>
      <c r="AJK33" s="49"/>
      <c r="AJL33" s="49"/>
      <c r="AJM33" s="49"/>
      <c r="AJN33" s="49"/>
      <c r="AJO33" s="49"/>
      <c r="AJP33" s="49"/>
      <c r="AJQ33" s="49"/>
      <c r="AJR33" s="49"/>
      <c r="AJS33" s="49"/>
      <c r="AJT33" s="49"/>
      <c r="AJU33" s="49"/>
      <c r="AJV33" s="49"/>
      <c r="AJW33" s="49"/>
      <c r="AJX33" s="49"/>
      <c r="AJY33" s="49"/>
      <c r="AJZ33" s="49"/>
      <c r="AKA33" s="49"/>
      <c r="AKB33" s="49"/>
      <c r="AKC33" s="49"/>
      <c r="AKD33" s="49"/>
      <c r="AKE33" s="49"/>
      <c r="AKF33" s="49"/>
      <c r="AKG33" s="49"/>
      <c r="AKH33" s="49"/>
      <c r="AKI33" s="49"/>
      <c r="AKJ33" s="49"/>
      <c r="AKK33" s="49"/>
      <c r="AKL33" s="49"/>
      <c r="AKM33" s="49"/>
      <c r="AKN33" s="49"/>
      <c r="AKO33" s="49"/>
      <c r="AKP33" s="49"/>
      <c r="AKQ33" s="49"/>
      <c r="AKR33" s="49"/>
      <c r="AKS33" s="49"/>
      <c r="AKT33" s="49"/>
      <c r="AKU33" s="49"/>
      <c r="AKV33" s="49"/>
      <c r="AKW33" s="49"/>
      <c r="AKX33" s="49"/>
      <c r="AKY33" s="49"/>
      <c r="AKZ33" s="49"/>
      <c r="ALA33" s="49"/>
      <c r="ALB33" s="49"/>
      <c r="ALC33" s="49"/>
      <c r="ALD33" s="49"/>
      <c r="ALE33" s="49"/>
      <c r="ALF33" s="49"/>
      <c r="ALG33" s="49"/>
      <c r="ALH33" s="49"/>
      <c r="ALI33" s="49"/>
      <c r="ALJ33" s="49"/>
      <c r="ALK33" s="49"/>
      <c r="ALL33" s="49"/>
      <c r="ALM33" s="49"/>
      <c r="ALN33" s="49"/>
      <c r="ALO33" s="49"/>
      <c r="ALP33" s="49"/>
      <c r="ALQ33" s="49"/>
      <c r="ALR33" s="49"/>
      <c r="ALS33" s="49"/>
      <c r="ALT33" s="49"/>
      <c r="ALU33" s="49"/>
      <c r="ALV33" s="49"/>
      <c r="ALW33" s="49"/>
      <c r="ALX33" s="49"/>
      <c r="ALY33" s="49"/>
      <c r="ALZ33" s="49"/>
      <c r="AMA33" s="49"/>
      <c r="AMB33" s="49"/>
      <c r="AMC33" s="49"/>
      <c r="AMD33" s="49"/>
      <c r="AME33" s="49"/>
      <c r="AMF33" s="49"/>
      <c r="AMG33" s="49"/>
      <c r="AMH33" s="49"/>
      <c r="AMI33" s="49"/>
      <c r="AMJ33" s="49"/>
      <c r="AMK33" s="49"/>
      <c r="AML33" s="49"/>
      <c r="AMM33" s="49"/>
      <c r="AMN33" s="49"/>
      <c r="AMO33" s="49"/>
      <c r="AMP33" s="49"/>
      <c r="AMQ33" s="49"/>
      <c r="AMR33" s="49"/>
      <c r="AMS33" s="49"/>
      <c r="AMT33" s="49"/>
      <c r="AMU33" s="49"/>
      <c r="AMV33" s="49"/>
      <c r="AMW33" s="49"/>
      <c r="AMX33" s="49"/>
      <c r="AMY33" s="49"/>
      <c r="AMZ33" s="49"/>
      <c r="ANA33" s="49"/>
      <c r="ANB33" s="49"/>
      <c r="ANC33" s="49"/>
      <c r="AND33" s="49"/>
      <c r="ANE33" s="49"/>
      <c r="ANF33" s="49"/>
      <c r="ANG33" s="49"/>
      <c r="ANH33" s="49"/>
      <c r="ANI33" s="49"/>
      <c r="ANJ33" s="49"/>
      <c r="ANK33" s="49"/>
      <c r="ANL33" s="49"/>
      <c r="ANM33" s="49"/>
      <c r="ANN33" s="49"/>
      <c r="ANO33" s="49"/>
      <c r="ANP33" s="49"/>
      <c r="ANQ33" s="49"/>
      <c r="ANR33" s="49"/>
      <c r="ANS33" s="49"/>
      <c r="ANT33" s="49"/>
      <c r="ANU33" s="49"/>
      <c r="ANV33" s="49"/>
      <c r="ANW33" s="49"/>
      <c r="ANX33" s="49"/>
      <c r="ANY33" s="49"/>
      <c r="ANZ33" s="49"/>
      <c r="AOA33" s="49"/>
      <c r="AOB33" s="49"/>
      <c r="AOC33" s="49"/>
      <c r="AOD33" s="49"/>
      <c r="AOE33" s="49"/>
      <c r="AOF33" s="49"/>
      <c r="AOG33" s="49"/>
      <c r="AOH33" s="49"/>
      <c r="AOI33" s="49"/>
      <c r="AOJ33" s="49"/>
      <c r="AOK33" s="49"/>
      <c r="AOL33" s="49"/>
      <c r="AOM33" s="49"/>
      <c r="AON33" s="49"/>
      <c r="AOO33" s="49"/>
      <c r="AOP33" s="49"/>
      <c r="AOQ33" s="49"/>
      <c r="AOR33" s="49"/>
      <c r="AOS33" s="49"/>
      <c r="AOT33" s="49"/>
      <c r="AOU33" s="49"/>
      <c r="AOV33" s="49"/>
      <c r="AOW33" s="49"/>
      <c r="AOX33" s="49"/>
      <c r="AOY33" s="49"/>
      <c r="AOZ33" s="49"/>
      <c r="APA33" s="49"/>
      <c r="APB33" s="49"/>
      <c r="APC33" s="49"/>
      <c r="APD33" s="49"/>
      <c r="APE33" s="49"/>
      <c r="APF33" s="49"/>
      <c r="APG33" s="49"/>
      <c r="APH33" s="49"/>
      <c r="API33" s="49"/>
      <c r="APJ33" s="49"/>
      <c r="APK33" s="49"/>
      <c r="APL33" s="49"/>
      <c r="APM33" s="49"/>
      <c r="APN33" s="49"/>
      <c r="APO33" s="49"/>
      <c r="APP33" s="49"/>
      <c r="APQ33" s="49"/>
      <c r="APR33" s="49"/>
      <c r="APS33" s="49"/>
      <c r="APT33" s="49"/>
      <c r="APU33" s="49"/>
      <c r="APV33" s="49"/>
      <c r="APW33" s="49"/>
      <c r="APX33" s="49"/>
      <c r="APY33" s="49"/>
      <c r="APZ33" s="49"/>
      <c r="AQA33" s="49"/>
      <c r="AQB33" s="49"/>
      <c r="AQC33" s="49"/>
      <c r="AQD33" s="49"/>
      <c r="AQE33" s="49"/>
      <c r="AQF33" s="49"/>
      <c r="AQG33" s="49"/>
      <c r="AQH33" s="49"/>
      <c r="AQI33" s="49"/>
      <c r="AQJ33" s="49"/>
      <c r="AQK33" s="49"/>
      <c r="AQL33" s="49"/>
      <c r="AQM33" s="49"/>
      <c r="AQN33" s="49"/>
      <c r="AQO33" s="49"/>
      <c r="AQP33" s="49"/>
      <c r="AQQ33" s="49"/>
      <c r="AQR33" s="49"/>
      <c r="AQS33" s="49"/>
      <c r="AQT33" s="49"/>
      <c r="AQU33" s="49"/>
      <c r="AQV33" s="49"/>
      <c r="AQW33" s="49"/>
      <c r="AQX33" s="49"/>
      <c r="AQY33" s="49"/>
      <c r="AQZ33" s="49"/>
      <c r="ARA33" s="49"/>
      <c r="ARB33" s="49"/>
      <c r="ARC33" s="49"/>
      <c r="ARD33" s="49"/>
      <c r="ARE33" s="49"/>
      <c r="ARF33" s="49"/>
      <c r="ARG33" s="49"/>
      <c r="ARH33" s="49"/>
      <c r="ARI33" s="49"/>
      <c r="ARJ33" s="49"/>
      <c r="ARK33" s="49"/>
      <c r="ARL33" s="49"/>
      <c r="ARM33" s="49"/>
      <c r="ARN33" s="49"/>
      <c r="ARO33" s="49"/>
      <c r="ARP33" s="49"/>
      <c r="ARQ33" s="49"/>
      <c r="ARR33" s="49"/>
      <c r="ARS33" s="49"/>
      <c r="ART33" s="49"/>
      <c r="ARU33" s="49"/>
      <c r="ARV33" s="49"/>
      <c r="ARW33" s="49"/>
      <c r="ARX33" s="49"/>
      <c r="ARY33" s="49"/>
      <c r="ARZ33" s="49"/>
      <c r="ASA33" s="49"/>
      <c r="ASB33" s="49"/>
      <c r="ASC33" s="49"/>
      <c r="ASD33" s="49"/>
      <c r="ASE33" s="49"/>
      <c r="ASF33" s="49"/>
      <c r="ASG33" s="49"/>
      <c r="ASH33" s="49"/>
      <c r="ASI33" s="49"/>
      <c r="ASJ33" s="49"/>
      <c r="ASK33" s="49"/>
      <c r="ASL33" s="49"/>
      <c r="ASM33" s="49"/>
      <c r="ASN33" s="49"/>
      <c r="ASO33" s="49"/>
      <c r="ASP33" s="49"/>
      <c r="ASQ33" s="49"/>
      <c r="ASR33" s="49"/>
      <c r="ASS33" s="49"/>
      <c r="AST33" s="49"/>
      <c r="ASU33" s="49"/>
      <c r="ASV33" s="49"/>
      <c r="ASW33" s="49"/>
      <c r="ASX33" s="49"/>
      <c r="ASY33" s="49"/>
      <c r="ASZ33" s="49"/>
      <c r="ATA33" s="49"/>
      <c r="ATB33" s="49"/>
      <c r="ATC33" s="49"/>
      <c r="ATD33" s="49"/>
      <c r="ATE33" s="49"/>
      <c r="ATF33" s="49"/>
      <c r="ATG33" s="49"/>
      <c r="ATH33" s="49"/>
      <c r="ATI33" s="49"/>
      <c r="ATJ33" s="49"/>
      <c r="ATK33" s="49"/>
      <c r="ATL33" s="49"/>
      <c r="ATM33" s="49"/>
      <c r="ATN33" s="49"/>
      <c r="ATO33" s="49"/>
      <c r="ATP33" s="49"/>
      <c r="ATQ33" s="49"/>
      <c r="ATR33" s="49"/>
      <c r="ATS33" s="49"/>
      <c r="ATT33" s="49"/>
      <c r="ATU33" s="49"/>
      <c r="ATV33" s="49"/>
      <c r="ATW33" s="49"/>
      <c r="ATX33" s="49"/>
      <c r="ATY33" s="49"/>
      <c r="ATZ33" s="49"/>
      <c r="AUA33" s="49"/>
      <c r="AUB33" s="49"/>
      <c r="AUC33" s="49"/>
      <c r="AUD33" s="49"/>
      <c r="AUE33" s="49"/>
      <c r="AUF33" s="49"/>
      <c r="AUG33" s="49"/>
      <c r="AUH33" s="49"/>
      <c r="AUI33" s="49"/>
      <c r="AUJ33" s="49"/>
      <c r="AUK33" s="49"/>
      <c r="AUL33" s="49"/>
      <c r="AUM33" s="49"/>
      <c r="AUN33" s="49"/>
      <c r="AUO33" s="49"/>
      <c r="AUP33" s="49"/>
      <c r="AUQ33" s="49"/>
      <c r="AUR33" s="49"/>
      <c r="AUS33" s="49"/>
      <c r="AUT33" s="49"/>
      <c r="AUU33" s="49"/>
      <c r="AUV33" s="49"/>
      <c r="AUW33" s="49"/>
      <c r="AUX33" s="49"/>
      <c r="AUY33" s="49"/>
      <c r="AUZ33" s="49"/>
      <c r="AVA33" s="49"/>
      <c r="AVB33" s="49"/>
      <c r="AVC33" s="49"/>
      <c r="AVD33" s="49"/>
      <c r="AVE33" s="49"/>
      <c r="AVF33" s="49"/>
      <c r="AVG33" s="49"/>
      <c r="AVH33" s="49"/>
      <c r="AVI33" s="49"/>
      <c r="AVJ33" s="49"/>
      <c r="AVK33" s="49"/>
      <c r="AVL33" s="49"/>
      <c r="AVM33" s="49"/>
      <c r="AVN33" s="49"/>
      <c r="AVO33" s="49"/>
      <c r="AVP33" s="49"/>
      <c r="AVQ33" s="49"/>
      <c r="AVR33" s="49"/>
      <c r="AVS33" s="49"/>
      <c r="AVT33" s="49"/>
      <c r="AVU33" s="49"/>
      <c r="AVV33" s="49"/>
      <c r="AVW33" s="49"/>
      <c r="AVX33" s="49"/>
      <c r="AVY33" s="49"/>
      <c r="AVZ33" s="49"/>
      <c r="AWA33" s="49"/>
      <c r="AWB33" s="49"/>
      <c r="AWC33" s="49"/>
      <c r="AWD33" s="49"/>
      <c r="AWE33" s="49"/>
      <c r="AWF33" s="49"/>
      <c r="AWG33" s="49"/>
      <c r="AWH33" s="49"/>
      <c r="AWI33" s="49"/>
      <c r="AWJ33" s="49"/>
      <c r="AWK33" s="49"/>
      <c r="AWL33" s="49"/>
      <c r="AWM33" s="49"/>
      <c r="AWN33" s="49"/>
      <c r="AWO33" s="49"/>
      <c r="AWP33" s="49"/>
      <c r="AWQ33" s="49"/>
      <c r="AWR33" s="49"/>
      <c r="AWS33" s="49"/>
      <c r="AWT33" s="49"/>
      <c r="AWU33" s="49"/>
      <c r="AWV33" s="49"/>
      <c r="AWW33" s="49"/>
      <c r="AWX33" s="49"/>
      <c r="AWY33" s="49"/>
      <c r="AWZ33" s="49"/>
      <c r="AXA33" s="49"/>
      <c r="AXB33" s="49"/>
      <c r="AXC33" s="49"/>
      <c r="AXD33" s="49"/>
      <c r="AXE33" s="49"/>
      <c r="AXF33" s="49"/>
      <c r="AXG33" s="49"/>
      <c r="AXH33" s="49"/>
      <c r="AXI33" s="49"/>
      <c r="AXJ33" s="49"/>
      <c r="AXK33" s="49"/>
      <c r="AXL33" s="49"/>
      <c r="AXM33" s="49"/>
      <c r="AXN33" s="49"/>
      <c r="AXO33" s="49"/>
      <c r="AXP33" s="49"/>
      <c r="AXQ33" s="49"/>
      <c r="AXR33" s="49"/>
      <c r="AXS33" s="49"/>
      <c r="AXT33" s="49"/>
      <c r="AXU33" s="49"/>
      <c r="AXV33" s="49"/>
      <c r="AXW33" s="49"/>
      <c r="AXX33" s="49"/>
      <c r="AXY33" s="49"/>
      <c r="AXZ33" s="49"/>
      <c r="AYA33" s="49"/>
      <c r="AYB33" s="49"/>
      <c r="AYC33" s="49"/>
      <c r="AYD33" s="49"/>
      <c r="AYE33" s="49"/>
      <c r="AYF33" s="49"/>
      <c r="AYG33" s="49"/>
      <c r="AYH33" s="49"/>
      <c r="AYI33" s="49"/>
      <c r="AYJ33" s="49"/>
      <c r="AYK33" s="49"/>
      <c r="AYL33" s="49"/>
      <c r="AYM33" s="49"/>
      <c r="AYN33" s="49"/>
      <c r="AYO33" s="49"/>
      <c r="AYP33" s="49"/>
      <c r="AYQ33" s="49"/>
      <c r="AYR33" s="49"/>
      <c r="AYS33" s="49"/>
      <c r="AYT33" s="49"/>
      <c r="AYU33" s="49"/>
      <c r="AYV33" s="49"/>
      <c r="AYW33" s="49"/>
      <c r="AYX33" s="49"/>
      <c r="AYY33" s="49"/>
      <c r="AYZ33" s="49"/>
      <c r="AZA33" s="49"/>
      <c r="AZB33" s="49"/>
      <c r="AZC33" s="49"/>
      <c r="AZD33" s="49"/>
      <c r="AZE33" s="49"/>
      <c r="AZF33" s="49"/>
      <c r="AZG33" s="49"/>
      <c r="AZH33" s="49"/>
      <c r="AZI33" s="49"/>
      <c r="AZJ33" s="49"/>
      <c r="AZK33" s="49"/>
      <c r="AZL33" s="49"/>
      <c r="AZM33" s="49"/>
      <c r="AZN33" s="49"/>
      <c r="AZO33" s="49"/>
      <c r="AZP33" s="49"/>
      <c r="AZQ33" s="49"/>
      <c r="AZR33" s="49"/>
      <c r="AZS33" s="49"/>
      <c r="AZT33" s="49"/>
      <c r="AZU33" s="49"/>
      <c r="AZV33" s="49"/>
      <c r="AZW33" s="49"/>
      <c r="AZX33" s="49"/>
      <c r="AZY33" s="49"/>
      <c r="AZZ33" s="49"/>
      <c r="BAA33" s="49"/>
      <c r="BAB33" s="49"/>
      <c r="BAC33" s="49"/>
      <c r="BAD33" s="49"/>
      <c r="BAE33" s="49"/>
      <c r="BAF33" s="49"/>
      <c r="BAG33" s="49"/>
      <c r="BAH33" s="49"/>
      <c r="BAI33" s="49"/>
      <c r="BAJ33" s="49"/>
      <c r="BAK33" s="49"/>
      <c r="BAL33" s="49"/>
      <c r="BAM33" s="49"/>
      <c r="BAN33" s="49"/>
      <c r="BAO33" s="49"/>
      <c r="BAP33" s="49"/>
      <c r="BAQ33" s="49"/>
      <c r="BAR33" s="49"/>
      <c r="BAS33" s="49"/>
      <c r="BAT33" s="49"/>
      <c r="BAU33" s="49"/>
      <c r="BAV33" s="49"/>
      <c r="BAW33" s="49"/>
      <c r="BAX33" s="49"/>
      <c r="BAY33" s="49"/>
      <c r="BAZ33" s="49"/>
      <c r="BBA33" s="49"/>
      <c r="BBB33" s="49"/>
      <c r="BBC33" s="49"/>
      <c r="BBD33" s="49"/>
      <c r="BBE33" s="49"/>
      <c r="BBF33" s="49"/>
      <c r="BBG33" s="49"/>
      <c r="BBH33" s="49"/>
      <c r="BBI33" s="49"/>
      <c r="BBJ33" s="49"/>
      <c r="BBK33" s="49"/>
      <c r="BBL33" s="49"/>
      <c r="BBM33" s="49"/>
      <c r="BBN33" s="49"/>
      <c r="BBO33" s="49"/>
      <c r="BBP33" s="49"/>
      <c r="BBQ33" s="49"/>
      <c r="BBR33" s="49"/>
      <c r="BBS33" s="49"/>
      <c r="BBT33" s="49"/>
      <c r="BBU33" s="49"/>
      <c r="BBV33" s="49"/>
      <c r="BBW33" s="49"/>
      <c r="BBX33" s="49"/>
      <c r="BBY33" s="49"/>
      <c r="BBZ33" s="49"/>
      <c r="BCA33" s="49"/>
      <c r="BCB33" s="49"/>
      <c r="BCC33" s="49"/>
      <c r="BCD33" s="49"/>
      <c r="BCE33" s="49"/>
      <c r="BCF33" s="49"/>
      <c r="BCG33" s="49"/>
      <c r="BCH33" s="49"/>
      <c r="BCI33" s="49"/>
      <c r="BCJ33" s="49"/>
      <c r="BCK33" s="49"/>
      <c r="BCL33" s="49"/>
      <c r="BCM33" s="49"/>
      <c r="BCN33" s="49"/>
    </row>
    <row r="34" spans="1:1444" s="47" customFormat="1">
      <c r="A34" s="52"/>
      <c r="B34" s="94">
        <v>45777</v>
      </c>
      <c r="C34" s="94" t="s">
        <v>194</v>
      </c>
      <c r="D34" s="95">
        <v>54</v>
      </c>
      <c r="E34" s="95">
        <v>99.40500000002794</v>
      </c>
      <c r="F34" s="95">
        <v>0</v>
      </c>
      <c r="G34" s="95">
        <v>4.5999999999985448</v>
      </c>
      <c r="H34" s="95">
        <v>34</v>
      </c>
      <c r="I34" s="95">
        <v>38</v>
      </c>
      <c r="J34" s="95">
        <v>1061.52</v>
      </c>
      <c r="K34" s="95">
        <v>1505.9591999997306</v>
      </c>
      <c r="L34" s="95">
        <v>13</v>
      </c>
      <c r="M34" s="155">
        <f>N34-D34-E34-F34-G34-H34-I34-J34-K34-L34</f>
        <v>0</v>
      </c>
      <c r="N34" s="141">
        <f>'units overall'!O34</f>
        <v>2810.484199999757</v>
      </c>
      <c r="O34" s="81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49"/>
      <c r="FV34" s="49"/>
      <c r="FW34" s="49"/>
      <c r="FX34" s="49"/>
      <c r="FY34" s="49"/>
      <c r="FZ34" s="49"/>
      <c r="GA34" s="49"/>
      <c r="GB34" s="49"/>
      <c r="GC34" s="49"/>
      <c r="GD34" s="49"/>
      <c r="GE34" s="49"/>
      <c r="GF34" s="49"/>
      <c r="GG34" s="49"/>
      <c r="GH34" s="49"/>
      <c r="GI34" s="49"/>
      <c r="GJ34" s="49"/>
      <c r="GK34" s="49"/>
      <c r="GL34" s="49"/>
      <c r="GM34" s="49"/>
      <c r="GN34" s="49"/>
      <c r="GO34" s="49"/>
      <c r="GP34" s="49"/>
      <c r="GQ34" s="49"/>
      <c r="GR34" s="49"/>
      <c r="GS34" s="49"/>
      <c r="GT34" s="49"/>
      <c r="GU34" s="49"/>
      <c r="GV34" s="49"/>
      <c r="GW34" s="49"/>
      <c r="GX34" s="49"/>
      <c r="GY34" s="49"/>
      <c r="GZ34" s="49"/>
      <c r="HA34" s="49"/>
      <c r="HB34" s="49"/>
      <c r="HC34" s="49"/>
      <c r="HD34" s="49"/>
      <c r="HE34" s="49"/>
      <c r="HF34" s="49"/>
      <c r="HG34" s="49"/>
      <c r="HH34" s="49"/>
      <c r="HI34" s="49"/>
      <c r="HJ34" s="49"/>
      <c r="HK34" s="49"/>
      <c r="HL34" s="49"/>
      <c r="HM34" s="49"/>
      <c r="HN34" s="49"/>
      <c r="HO34" s="49"/>
      <c r="HP34" s="49"/>
      <c r="HQ34" s="49"/>
      <c r="HR34" s="49"/>
      <c r="HS34" s="49"/>
      <c r="HT34" s="49"/>
      <c r="HU34" s="49"/>
      <c r="HV34" s="49"/>
      <c r="HW34" s="49"/>
      <c r="HX34" s="49"/>
      <c r="HY34" s="49"/>
      <c r="HZ34" s="49"/>
      <c r="IA34" s="49"/>
      <c r="IB34" s="49"/>
      <c r="IC34" s="49"/>
      <c r="ID34" s="49"/>
      <c r="IE34" s="49"/>
      <c r="IF34" s="49"/>
      <c r="IG34" s="49"/>
      <c r="IH34" s="49"/>
      <c r="II34" s="49"/>
      <c r="IJ34" s="49"/>
      <c r="IK34" s="49"/>
      <c r="IL34" s="49"/>
      <c r="IM34" s="49"/>
      <c r="IN34" s="49"/>
      <c r="IO34" s="49"/>
      <c r="IP34" s="49"/>
      <c r="IQ34" s="49"/>
      <c r="IR34" s="49"/>
      <c r="IS34" s="49"/>
      <c r="IT34" s="49"/>
      <c r="IU34" s="49"/>
      <c r="IV34" s="49"/>
      <c r="IW34" s="49"/>
      <c r="IX34" s="49"/>
      <c r="IY34" s="49"/>
      <c r="IZ34" s="49"/>
      <c r="JA34" s="49"/>
      <c r="JB34" s="49"/>
      <c r="JC34" s="49"/>
      <c r="JD34" s="49"/>
      <c r="JE34" s="49"/>
      <c r="JF34" s="49"/>
      <c r="JG34" s="49"/>
      <c r="JH34" s="49"/>
      <c r="JI34" s="49"/>
      <c r="JJ34" s="49"/>
      <c r="JK34" s="49"/>
      <c r="JL34" s="49"/>
      <c r="JM34" s="49"/>
      <c r="JN34" s="49"/>
      <c r="JO34" s="49"/>
      <c r="JP34" s="49"/>
      <c r="JQ34" s="49"/>
      <c r="JR34" s="49"/>
      <c r="JS34" s="49"/>
      <c r="JT34" s="49"/>
      <c r="JU34" s="49"/>
      <c r="JV34" s="49"/>
      <c r="JW34" s="49"/>
      <c r="JX34" s="49"/>
      <c r="JY34" s="49"/>
      <c r="JZ34" s="49"/>
      <c r="KA34" s="49"/>
      <c r="KB34" s="49"/>
      <c r="KC34" s="49"/>
      <c r="KD34" s="49"/>
      <c r="KE34" s="49"/>
      <c r="KF34" s="49"/>
      <c r="KG34" s="49"/>
      <c r="KH34" s="49"/>
      <c r="KI34" s="49"/>
      <c r="KJ34" s="49"/>
      <c r="KK34" s="49"/>
      <c r="KL34" s="49"/>
      <c r="KM34" s="49"/>
      <c r="KN34" s="49"/>
      <c r="KO34" s="49"/>
      <c r="KP34" s="49"/>
      <c r="KQ34" s="49"/>
      <c r="KR34" s="49"/>
      <c r="KS34" s="49"/>
      <c r="KT34" s="49"/>
      <c r="KU34" s="49"/>
      <c r="KV34" s="49"/>
      <c r="KW34" s="49"/>
      <c r="KX34" s="49"/>
      <c r="KY34" s="49"/>
      <c r="KZ34" s="49"/>
      <c r="LA34" s="49"/>
      <c r="LB34" s="49"/>
      <c r="LC34" s="49"/>
      <c r="LD34" s="49"/>
      <c r="LE34" s="49"/>
      <c r="LF34" s="49"/>
      <c r="LG34" s="49"/>
      <c r="LH34" s="49"/>
      <c r="LI34" s="49"/>
      <c r="LJ34" s="49"/>
      <c r="LK34" s="49"/>
      <c r="LL34" s="49"/>
      <c r="LM34" s="49"/>
      <c r="LN34" s="49"/>
      <c r="LO34" s="49"/>
      <c r="LP34" s="49"/>
      <c r="LQ34" s="49"/>
      <c r="LR34" s="49"/>
      <c r="LS34" s="49"/>
      <c r="LT34" s="49"/>
      <c r="LU34" s="49"/>
      <c r="LV34" s="49"/>
      <c r="LW34" s="49"/>
      <c r="LX34" s="49"/>
      <c r="LY34" s="49"/>
      <c r="LZ34" s="49"/>
      <c r="MA34" s="49"/>
      <c r="MB34" s="49"/>
      <c r="MC34" s="49"/>
      <c r="MD34" s="49"/>
      <c r="ME34" s="49"/>
      <c r="MF34" s="49"/>
      <c r="MG34" s="49"/>
      <c r="MH34" s="49"/>
      <c r="MI34" s="49"/>
      <c r="MJ34" s="49"/>
      <c r="MK34" s="49"/>
      <c r="ML34" s="49"/>
      <c r="MM34" s="49"/>
      <c r="MN34" s="49"/>
      <c r="MO34" s="49"/>
      <c r="MP34" s="49"/>
      <c r="MQ34" s="49"/>
      <c r="MR34" s="49"/>
      <c r="MS34" s="49"/>
      <c r="MT34" s="49"/>
      <c r="MU34" s="49"/>
      <c r="MV34" s="49"/>
      <c r="MW34" s="49"/>
      <c r="MX34" s="49"/>
      <c r="MY34" s="49"/>
      <c r="MZ34" s="49"/>
      <c r="NA34" s="49"/>
      <c r="NB34" s="49"/>
      <c r="NC34" s="49"/>
      <c r="ND34" s="49"/>
      <c r="NE34" s="49"/>
      <c r="NF34" s="49"/>
      <c r="NG34" s="49"/>
      <c r="NH34" s="49"/>
      <c r="NI34" s="49"/>
      <c r="NJ34" s="49"/>
      <c r="NK34" s="49"/>
      <c r="NL34" s="49"/>
      <c r="NM34" s="49"/>
      <c r="NN34" s="49"/>
      <c r="NO34" s="49"/>
      <c r="NP34" s="49"/>
      <c r="NQ34" s="49"/>
      <c r="NR34" s="49"/>
      <c r="NS34" s="49"/>
      <c r="NT34" s="49"/>
      <c r="NU34" s="49"/>
      <c r="NV34" s="49"/>
      <c r="NW34" s="49"/>
      <c r="NX34" s="49"/>
      <c r="NY34" s="49"/>
      <c r="NZ34" s="49"/>
      <c r="OA34" s="49"/>
      <c r="OB34" s="49"/>
      <c r="OC34" s="49"/>
      <c r="OD34" s="49"/>
      <c r="OE34" s="49"/>
      <c r="OF34" s="49"/>
      <c r="OG34" s="49"/>
      <c r="OH34" s="49"/>
      <c r="OI34" s="49"/>
      <c r="OJ34" s="49"/>
      <c r="OK34" s="49"/>
      <c r="OL34" s="49"/>
      <c r="OM34" s="49"/>
      <c r="ON34" s="49"/>
      <c r="OO34" s="49"/>
      <c r="OP34" s="49"/>
      <c r="OQ34" s="49"/>
      <c r="OR34" s="49"/>
      <c r="OS34" s="49"/>
      <c r="OT34" s="49"/>
      <c r="OU34" s="49"/>
      <c r="OV34" s="49"/>
      <c r="OW34" s="49"/>
      <c r="OX34" s="49"/>
      <c r="OY34" s="49"/>
      <c r="OZ34" s="49"/>
      <c r="PA34" s="49"/>
      <c r="PB34" s="49"/>
      <c r="PC34" s="49"/>
      <c r="PD34" s="49"/>
      <c r="PE34" s="49"/>
      <c r="PF34" s="49"/>
      <c r="PG34" s="49"/>
      <c r="PH34" s="49"/>
      <c r="PI34" s="49"/>
      <c r="PJ34" s="49"/>
      <c r="PK34" s="49"/>
      <c r="PL34" s="49"/>
      <c r="PM34" s="49"/>
      <c r="PN34" s="49"/>
      <c r="PO34" s="49"/>
      <c r="PP34" s="49"/>
      <c r="PQ34" s="49"/>
      <c r="PR34" s="49"/>
      <c r="PS34" s="49"/>
      <c r="PT34" s="49"/>
      <c r="PU34" s="49"/>
      <c r="PV34" s="49"/>
      <c r="PW34" s="49"/>
      <c r="PX34" s="49"/>
      <c r="PY34" s="49"/>
      <c r="PZ34" s="49"/>
      <c r="QA34" s="49"/>
      <c r="QB34" s="49"/>
      <c r="QC34" s="49"/>
      <c r="QD34" s="49"/>
      <c r="QE34" s="49"/>
      <c r="QF34" s="49"/>
      <c r="QG34" s="49"/>
      <c r="QH34" s="49"/>
      <c r="QI34" s="49"/>
      <c r="QJ34" s="49"/>
      <c r="QK34" s="49"/>
      <c r="QL34" s="49"/>
      <c r="QM34" s="49"/>
      <c r="QN34" s="49"/>
      <c r="QO34" s="49"/>
      <c r="QP34" s="49"/>
      <c r="QQ34" s="49"/>
      <c r="QR34" s="49"/>
      <c r="QS34" s="49"/>
      <c r="QT34" s="49"/>
      <c r="QU34" s="49"/>
      <c r="QV34" s="49"/>
      <c r="QW34" s="49"/>
      <c r="QX34" s="49"/>
      <c r="QY34" s="49"/>
      <c r="QZ34" s="49"/>
      <c r="RA34" s="49"/>
      <c r="RB34" s="49"/>
      <c r="RC34" s="49"/>
      <c r="RD34" s="49"/>
      <c r="RE34" s="49"/>
      <c r="RF34" s="49"/>
      <c r="RG34" s="49"/>
      <c r="RH34" s="49"/>
      <c r="RI34" s="49"/>
      <c r="RJ34" s="49"/>
      <c r="RK34" s="49"/>
      <c r="RL34" s="49"/>
      <c r="RM34" s="49"/>
      <c r="RN34" s="49"/>
      <c r="RO34" s="49"/>
      <c r="RP34" s="49"/>
      <c r="RQ34" s="49"/>
      <c r="RR34" s="49"/>
      <c r="RS34" s="49"/>
      <c r="RT34" s="49"/>
      <c r="RU34" s="49"/>
      <c r="RV34" s="49"/>
      <c r="RW34" s="49"/>
      <c r="RX34" s="49"/>
      <c r="RY34" s="49"/>
      <c r="RZ34" s="49"/>
      <c r="SA34" s="49"/>
      <c r="SB34" s="49"/>
      <c r="SC34" s="49"/>
      <c r="SD34" s="49"/>
      <c r="SE34" s="49"/>
      <c r="SF34" s="49"/>
      <c r="SG34" s="49"/>
      <c r="SH34" s="49"/>
      <c r="SI34" s="49"/>
      <c r="SJ34" s="49"/>
      <c r="SK34" s="49"/>
      <c r="SL34" s="49"/>
      <c r="SM34" s="49"/>
      <c r="SN34" s="49"/>
      <c r="SO34" s="49"/>
      <c r="SP34" s="49"/>
      <c r="SQ34" s="49"/>
      <c r="SR34" s="49"/>
      <c r="SS34" s="49"/>
      <c r="ST34" s="49"/>
      <c r="SU34" s="49"/>
      <c r="SV34" s="49"/>
      <c r="SW34" s="49"/>
      <c r="SX34" s="49"/>
      <c r="SY34" s="49"/>
      <c r="SZ34" s="49"/>
      <c r="TA34" s="49"/>
      <c r="TB34" s="49"/>
      <c r="TC34" s="49"/>
      <c r="TD34" s="49"/>
      <c r="TE34" s="49"/>
      <c r="TF34" s="49"/>
      <c r="TG34" s="49"/>
      <c r="TH34" s="49"/>
      <c r="TI34" s="49"/>
      <c r="TJ34" s="49"/>
      <c r="TK34" s="49"/>
      <c r="TL34" s="49"/>
      <c r="TM34" s="49"/>
      <c r="TN34" s="49"/>
      <c r="TO34" s="49"/>
      <c r="TP34" s="49"/>
      <c r="TQ34" s="49"/>
      <c r="TR34" s="49"/>
      <c r="TS34" s="49"/>
      <c r="TT34" s="49"/>
      <c r="TU34" s="49"/>
      <c r="TV34" s="49"/>
      <c r="TW34" s="49"/>
      <c r="TX34" s="49"/>
      <c r="TY34" s="49"/>
      <c r="TZ34" s="49"/>
      <c r="UA34" s="49"/>
      <c r="UB34" s="49"/>
      <c r="UC34" s="49"/>
      <c r="UD34" s="49"/>
      <c r="UE34" s="49"/>
      <c r="UF34" s="49"/>
      <c r="UG34" s="49"/>
      <c r="UH34" s="49"/>
      <c r="UI34" s="49"/>
      <c r="UJ34" s="49"/>
      <c r="UK34" s="49"/>
      <c r="UL34" s="49"/>
      <c r="UM34" s="49"/>
      <c r="UN34" s="49"/>
      <c r="UO34" s="49"/>
      <c r="UP34" s="49"/>
      <c r="UQ34" s="49"/>
      <c r="UR34" s="49"/>
      <c r="US34" s="49"/>
      <c r="UT34" s="49"/>
      <c r="UU34" s="49"/>
      <c r="UV34" s="49"/>
      <c r="UW34" s="49"/>
      <c r="UX34" s="49"/>
      <c r="UY34" s="49"/>
      <c r="UZ34" s="49"/>
      <c r="VA34" s="49"/>
      <c r="VB34" s="49"/>
      <c r="VC34" s="49"/>
      <c r="VD34" s="49"/>
      <c r="VE34" s="49"/>
      <c r="VF34" s="49"/>
      <c r="VG34" s="49"/>
      <c r="VH34" s="49"/>
      <c r="VI34" s="49"/>
      <c r="VJ34" s="49"/>
      <c r="VK34" s="49"/>
      <c r="VL34" s="49"/>
      <c r="VM34" s="49"/>
      <c r="VN34" s="49"/>
      <c r="VO34" s="49"/>
      <c r="VP34" s="49"/>
      <c r="VQ34" s="49"/>
      <c r="VR34" s="49"/>
      <c r="VS34" s="49"/>
      <c r="VT34" s="49"/>
      <c r="VU34" s="49"/>
      <c r="VV34" s="49"/>
      <c r="VW34" s="49"/>
      <c r="VX34" s="49"/>
      <c r="VY34" s="49"/>
      <c r="VZ34" s="49"/>
      <c r="WA34" s="49"/>
      <c r="WB34" s="49"/>
      <c r="WC34" s="49"/>
      <c r="WD34" s="49"/>
      <c r="WE34" s="49"/>
      <c r="WF34" s="49"/>
      <c r="WG34" s="49"/>
      <c r="WH34" s="49"/>
      <c r="WI34" s="49"/>
      <c r="WJ34" s="49"/>
      <c r="WK34" s="49"/>
      <c r="WL34" s="49"/>
      <c r="WM34" s="49"/>
      <c r="WN34" s="49"/>
      <c r="WO34" s="49"/>
      <c r="WP34" s="49"/>
      <c r="WQ34" s="49"/>
      <c r="WR34" s="49"/>
      <c r="WS34" s="49"/>
      <c r="WT34" s="49"/>
      <c r="WU34" s="49"/>
      <c r="WV34" s="49"/>
      <c r="WW34" s="49"/>
      <c r="WX34" s="49"/>
      <c r="WY34" s="49"/>
      <c r="WZ34" s="49"/>
      <c r="XA34" s="49"/>
      <c r="XB34" s="49"/>
      <c r="XC34" s="49"/>
      <c r="XD34" s="49"/>
      <c r="XE34" s="49"/>
      <c r="XF34" s="49"/>
      <c r="XG34" s="49"/>
      <c r="XH34" s="49"/>
      <c r="XI34" s="49"/>
      <c r="XJ34" s="49"/>
      <c r="XK34" s="49"/>
      <c r="XL34" s="49"/>
      <c r="XM34" s="49"/>
      <c r="XN34" s="49"/>
      <c r="XO34" s="49"/>
      <c r="XP34" s="49"/>
      <c r="XQ34" s="49"/>
      <c r="XR34" s="49"/>
      <c r="XS34" s="49"/>
      <c r="XT34" s="49"/>
      <c r="XU34" s="49"/>
      <c r="XV34" s="49"/>
      <c r="XW34" s="49"/>
      <c r="XX34" s="49"/>
      <c r="XY34" s="49"/>
      <c r="XZ34" s="49"/>
      <c r="YA34" s="49"/>
      <c r="YB34" s="49"/>
      <c r="YC34" s="49"/>
      <c r="YD34" s="49"/>
      <c r="YE34" s="49"/>
      <c r="YF34" s="49"/>
      <c r="YG34" s="49"/>
      <c r="YH34" s="49"/>
      <c r="YI34" s="49"/>
      <c r="YJ34" s="49"/>
      <c r="YK34" s="49"/>
      <c r="YL34" s="49"/>
      <c r="YM34" s="49"/>
      <c r="YN34" s="49"/>
      <c r="YO34" s="49"/>
      <c r="YP34" s="49"/>
      <c r="YQ34" s="49"/>
      <c r="YR34" s="49"/>
      <c r="YS34" s="49"/>
      <c r="YT34" s="49"/>
      <c r="YU34" s="49"/>
      <c r="YV34" s="49"/>
      <c r="YW34" s="49"/>
      <c r="YX34" s="49"/>
      <c r="YY34" s="49"/>
      <c r="YZ34" s="49"/>
      <c r="ZA34" s="49"/>
      <c r="ZB34" s="49"/>
      <c r="ZC34" s="49"/>
      <c r="ZD34" s="49"/>
      <c r="ZE34" s="49"/>
      <c r="ZF34" s="49"/>
      <c r="ZG34" s="49"/>
      <c r="ZH34" s="49"/>
      <c r="ZI34" s="49"/>
      <c r="ZJ34" s="49"/>
      <c r="ZK34" s="49"/>
      <c r="ZL34" s="49"/>
      <c r="ZM34" s="49"/>
      <c r="ZN34" s="49"/>
      <c r="ZO34" s="49"/>
      <c r="ZP34" s="49"/>
      <c r="ZQ34" s="49"/>
      <c r="ZR34" s="49"/>
      <c r="ZS34" s="49"/>
      <c r="ZT34" s="49"/>
      <c r="ZU34" s="49"/>
      <c r="ZV34" s="49"/>
      <c r="ZW34" s="49"/>
      <c r="ZX34" s="49"/>
      <c r="ZY34" s="49"/>
      <c r="ZZ34" s="49"/>
      <c r="AAA34" s="49"/>
      <c r="AAB34" s="49"/>
      <c r="AAC34" s="49"/>
      <c r="AAD34" s="49"/>
      <c r="AAE34" s="49"/>
      <c r="AAF34" s="49"/>
      <c r="AAG34" s="49"/>
      <c r="AAH34" s="49"/>
      <c r="AAI34" s="49"/>
      <c r="AAJ34" s="49"/>
      <c r="AAK34" s="49"/>
      <c r="AAL34" s="49"/>
      <c r="AAM34" s="49"/>
      <c r="AAN34" s="49"/>
      <c r="AAO34" s="49"/>
      <c r="AAP34" s="49"/>
      <c r="AAQ34" s="49"/>
      <c r="AAR34" s="49"/>
      <c r="AAS34" s="49"/>
      <c r="AAT34" s="49"/>
      <c r="AAU34" s="49"/>
      <c r="AAV34" s="49"/>
      <c r="AAW34" s="49"/>
      <c r="AAX34" s="49"/>
      <c r="AAY34" s="49"/>
      <c r="AAZ34" s="49"/>
      <c r="ABA34" s="49"/>
      <c r="ABB34" s="49"/>
      <c r="ABC34" s="49"/>
      <c r="ABD34" s="49"/>
      <c r="ABE34" s="49"/>
      <c r="ABF34" s="49"/>
      <c r="ABG34" s="49"/>
      <c r="ABH34" s="49"/>
      <c r="ABI34" s="49"/>
      <c r="ABJ34" s="49"/>
      <c r="ABK34" s="49"/>
      <c r="ABL34" s="49"/>
      <c r="ABM34" s="49"/>
      <c r="ABN34" s="49"/>
      <c r="ABO34" s="49"/>
      <c r="ABP34" s="49"/>
      <c r="ABQ34" s="49"/>
      <c r="ABR34" s="49"/>
      <c r="ABS34" s="49"/>
      <c r="ABT34" s="49"/>
      <c r="ABU34" s="49"/>
      <c r="ABV34" s="49"/>
      <c r="ABW34" s="49"/>
      <c r="ABX34" s="49"/>
      <c r="ABY34" s="49"/>
      <c r="ABZ34" s="49"/>
      <c r="ACA34" s="49"/>
      <c r="ACB34" s="49"/>
      <c r="ACC34" s="49"/>
      <c r="ACD34" s="49"/>
      <c r="ACE34" s="49"/>
      <c r="ACF34" s="49"/>
      <c r="ACG34" s="49"/>
      <c r="ACH34" s="49"/>
      <c r="ACI34" s="49"/>
      <c r="ACJ34" s="49"/>
      <c r="ACK34" s="49"/>
      <c r="ACL34" s="49"/>
      <c r="ACM34" s="49"/>
      <c r="ACN34" s="49"/>
      <c r="ACO34" s="49"/>
      <c r="ACP34" s="49"/>
      <c r="ACQ34" s="49"/>
      <c r="ACR34" s="49"/>
      <c r="ACS34" s="49"/>
      <c r="ACT34" s="49"/>
      <c r="ACU34" s="49"/>
      <c r="ACV34" s="49"/>
      <c r="ACW34" s="49"/>
      <c r="ACX34" s="49"/>
      <c r="ACY34" s="49"/>
      <c r="ACZ34" s="49"/>
      <c r="ADA34" s="49"/>
      <c r="ADB34" s="49"/>
      <c r="ADC34" s="49"/>
      <c r="ADD34" s="49"/>
      <c r="ADE34" s="49"/>
      <c r="ADF34" s="49"/>
      <c r="ADG34" s="49"/>
      <c r="ADH34" s="49"/>
      <c r="ADI34" s="49"/>
      <c r="ADJ34" s="49"/>
      <c r="ADK34" s="49"/>
      <c r="ADL34" s="49"/>
      <c r="ADM34" s="49"/>
      <c r="ADN34" s="49"/>
      <c r="ADO34" s="49"/>
      <c r="ADP34" s="49"/>
      <c r="ADQ34" s="49"/>
      <c r="ADR34" s="49"/>
      <c r="ADS34" s="49"/>
      <c r="ADT34" s="49"/>
      <c r="ADU34" s="49"/>
      <c r="ADV34" s="49"/>
      <c r="ADW34" s="49"/>
      <c r="ADX34" s="49"/>
      <c r="ADY34" s="49"/>
      <c r="ADZ34" s="49"/>
      <c r="AEA34" s="49"/>
      <c r="AEB34" s="49"/>
      <c r="AEC34" s="49"/>
      <c r="AED34" s="49"/>
      <c r="AEE34" s="49"/>
      <c r="AEF34" s="49"/>
      <c r="AEG34" s="49"/>
      <c r="AEH34" s="49"/>
      <c r="AEI34" s="49"/>
      <c r="AEJ34" s="49"/>
      <c r="AEK34" s="49"/>
      <c r="AEL34" s="49"/>
      <c r="AEM34" s="49"/>
      <c r="AEN34" s="49"/>
      <c r="AEO34" s="49"/>
      <c r="AEP34" s="49"/>
      <c r="AEQ34" s="49"/>
      <c r="AER34" s="49"/>
      <c r="AES34" s="49"/>
      <c r="AET34" s="49"/>
      <c r="AEU34" s="49"/>
      <c r="AEV34" s="49"/>
      <c r="AEW34" s="49"/>
      <c r="AEX34" s="49"/>
      <c r="AEY34" s="49"/>
      <c r="AEZ34" s="49"/>
      <c r="AFA34" s="49"/>
      <c r="AFB34" s="49"/>
      <c r="AFC34" s="49"/>
      <c r="AFD34" s="49"/>
      <c r="AFE34" s="49"/>
      <c r="AFF34" s="49"/>
      <c r="AFG34" s="49"/>
      <c r="AFH34" s="49"/>
      <c r="AFI34" s="49"/>
      <c r="AFJ34" s="49"/>
      <c r="AFK34" s="49"/>
      <c r="AFL34" s="49"/>
      <c r="AFM34" s="49"/>
      <c r="AFN34" s="49"/>
      <c r="AFO34" s="49"/>
      <c r="AFP34" s="49"/>
      <c r="AFQ34" s="49"/>
      <c r="AFR34" s="49"/>
      <c r="AFS34" s="49"/>
      <c r="AFT34" s="49"/>
      <c r="AFU34" s="49"/>
      <c r="AFV34" s="49"/>
      <c r="AFW34" s="49"/>
      <c r="AFX34" s="49"/>
      <c r="AFY34" s="49"/>
      <c r="AFZ34" s="49"/>
      <c r="AGA34" s="49"/>
      <c r="AGB34" s="49"/>
      <c r="AGC34" s="49"/>
      <c r="AGD34" s="49"/>
      <c r="AGE34" s="49"/>
      <c r="AGF34" s="49"/>
      <c r="AGG34" s="49"/>
      <c r="AGH34" s="49"/>
      <c r="AGI34" s="49"/>
      <c r="AGJ34" s="49"/>
      <c r="AGK34" s="49"/>
      <c r="AGL34" s="49"/>
      <c r="AGM34" s="49"/>
      <c r="AGN34" s="49"/>
      <c r="AGO34" s="49"/>
      <c r="AGP34" s="49"/>
      <c r="AGQ34" s="49"/>
      <c r="AGR34" s="49"/>
      <c r="AGS34" s="49"/>
      <c r="AGT34" s="49"/>
      <c r="AGU34" s="49"/>
      <c r="AGV34" s="49"/>
      <c r="AGW34" s="49"/>
      <c r="AGX34" s="49"/>
      <c r="AGY34" s="49"/>
      <c r="AGZ34" s="49"/>
      <c r="AHA34" s="49"/>
      <c r="AHB34" s="49"/>
      <c r="AHC34" s="49"/>
      <c r="AHD34" s="49"/>
      <c r="AHE34" s="49"/>
      <c r="AHF34" s="49"/>
      <c r="AHG34" s="49"/>
      <c r="AHH34" s="49"/>
      <c r="AHI34" s="49"/>
      <c r="AHJ34" s="49"/>
      <c r="AHK34" s="49"/>
      <c r="AHL34" s="49"/>
      <c r="AHM34" s="49"/>
      <c r="AHN34" s="49"/>
      <c r="AHO34" s="49"/>
      <c r="AHP34" s="49"/>
      <c r="AHQ34" s="49"/>
      <c r="AHR34" s="49"/>
      <c r="AHS34" s="49"/>
      <c r="AHT34" s="49"/>
      <c r="AHU34" s="49"/>
      <c r="AHV34" s="49"/>
      <c r="AHW34" s="49"/>
      <c r="AHX34" s="49"/>
      <c r="AHY34" s="49"/>
      <c r="AHZ34" s="49"/>
      <c r="AIA34" s="49"/>
      <c r="AIB34" s="49"/>
      <c r="AIC34" s="49"/>
      <c r="AID34" s="49"/>
      <c r="AIE34" s="49"/>
      <c r="AIF34" s="49"/>
      <c r="AIG34" s="49"/>
      <c r="AIH34" s="49"/>
      <c r="AII34" s="49"/>
      <c r="AIJ34" s="49"/>
      <c r="AIK34" s="49"/>
      <c r="AIL34" s="49"/>
      <c r="AIM34" s="49"/>
      <c r="AIN34" s="49"/>
      <c r="AIO34" s="49"/>
      <c r="AIP34" s="49"/>
      <c r="AIQ34" s="49"/>
      <c r="AIR34" s="49"/>
      <c r="AIS34" s="49"/>
      <c r="AIT34" s="49"/>
      <c r="AIU34" s="49"/>
      <c r="AIV34" s="49"/>
      <c r="AIW34" s="49"/>
      <c r="AIX34" s="49"/>
      <c r="AIY34" s="49"/>
      <c r="AIZ34" s="49"/>
      <c r="AJA34" s="49"/>
      <c r="AJB34" s="49"/>
      <c r="AJC34" s="49"/>
      <c r="AJD34" s="49"/>
      <c r="AJE34" s="49"/>
      <c r="AJF34" s="49"/>
      <c r="AJG34" s="49"/>
      <c r="AJH34" s="49"/>
      <c r="AJI34" s="49"/>
      <c r="AJJ34" s="49"/>
      <c r="AJK34" s="49"/>
      <c r="AJL34" s="49"/>
      <c r="AJM34" s="49"/>
      <c r="AJN34" s="49"/>
      <c r="AJO34" s="49"/>
      <c r="AJP34" s="49"/>
      <c r="AJQ34" s="49"/>
      <c r="AJR34" s="49"/>
      <c r="AJS34" s="49"/>
      <c r="AJT34" s="49"/>
      <c r="AJU34" s="49"/>
      <c r="AJV34" s="49"/>
      <c r="AJW34" s="49"/>
      <c r="AJX34" s="49"/>
      <c r="AJY34" s="49"/>
      <c r="AJZ34" s="49"/>
      <c r="AKA34" s="49"/>
      <c r="AKB34" s="49"/>
      <c r="AKC34" s="49"/>
      <c r="AKD34" s="49"/>
      <c r="AKE34" s="49"/>
      <c r="AKF34" s="49"/>
      <c r="AKG34" s="49"/>
      <c r="AKH34" s="49"/>
      <c r="AKI34" s="49"/>
      <c r="AKJ34" s="49"/>
      <c r="AKK34" s="49"/>
      <c r="AKL34" s="49"/>
      <c r="AKM34" s="49"/>
      <c r="AKN34" s="49"/>
      <c r="AKO34" s="49"/>
      <c r="AKP34" s="49"/>
      <c r="AKQ34" s="49"/>
      <c r="AKR34" s="49"/>
      <c r="AKS34" s="49"/>
      <c r="AKT34" s="49"/>
      <c r="AKU34" s="49"/>
      <c r="AKV34" s="49"/>
      <c r="AKW34" s="49"/>
      <c r="AKX34" s="49"/>
      <c r="AKY34" s="49"/>
      <c r="AKZ34" s="49"/>
      <c r="ALA34" s="49"/>
      <c r="ALB34" s="49"/>
      <c r="ALC34" s="49"/>
      <c r="ALD34" s="49"/>
      <c r="ALE34" s="49"/>
      <c r="ALF34" s="49"/>
      <c r="ALG34" s="49"/>
      <c r="ALH34" s="49"/>
      <c r="ALI34" s="49"/>
      <c r="ALJ34" s="49"/>
      <c r="ALK34" s="49"/>
      <c r="ALL34" s="49"/>
      <c r="ALM34" s="49"/>
      <c r="ALN34" s="49"/>
      <c r="ALO34" s="49"/>
      <c r="ALP34" s="49"/>
      <c r="ALQ34" s="49"/>
      <c r="ALR34" s="49"/>
      <c r="ALS34" s="49"/>
      <c r="ALT34" s="49"/>
      <c r="ALU34" s="49"/>
      <c r="ALV34" s="49"/>
      <c r="ALW34" s="49"/>
      <c r="ALX34" s="49"/>
      <c r="ALY34" s="49"/>
      <c r="ALZ34" s="49"/>
      <c r="AMA34" s="49"/>
      <c r="AMB34" s="49"/>
      <c r="AMC34" s="49"/>
      <c r="AMD34" s="49"/>
      <c r="AME34" s="49"/>
      <c r="AMF34" s="49"/>
      <c r="AMG34" s="49"/>
      <c r="AMH34" s="49"/>
      <c r="AMI34" s="49"/>
      <c r="AMJ34" s="49"/>
      <c r="AMK34" s="49"/>
      <c r="AML34" s="49"/>
      <c r="AMM34" s="49"/>
      <c r="AMN34" s="49"/>
      <c r="AMO34" s="49"/>
      <c r="AMP34" s="49"/>
      <c r="AMQ34" s="49"/>
      <c r="AMR34" s="49"/>
      <c r="AMS34" s="49"/>
      <c r="AMT34" s="49"/>
      <c r="AMU34" s="49"/>
      <c r="AMV34" s="49"/>
      <c r="AMW34" s="49"/>
      <c r="AMX34" s="49"/>
      <c r="AMY34" s="49"/>
      <c r="AMZ34" s="49"/>
      <c r="ANA34" s="49"/>
      <c r="ANB34" s="49"/>
      <c r="ANC34" s="49"/>
      <c r="AND34" s="49"/>
      <c r="ANE34" s="49"/>
      <c r="ANF34" s="49"/>
      <c r="ANG34" s="49"/>
      <c r="ANH34" s="49"/>
      <c r="ANI34" s="49"/>
      <c r="ANJ34" s="49"/>
      <c r="ANK34" s="49"/>
      <c r="ANL34" s="49"/>
      <c r="ANM34" s="49"/>
      <c r="ANN34" s="49"/>
      <c r="ANO34" s="49"/>
      <c r="ANP34" s="49"/>
      <c r="ANQ34" s="49"/>
      <c r="ANR34" s="49"/>
      <c r="ANS34" s="49"/>
      <c r="ANT34" s="49"/>
      <c r="ANU34" s="49"/>
      <c r="ANV34" s="49"/>
      <c r="ANW34" s="49"/>
      <c r="ANX34" s="49"/>
      <c r="ANY34" s="49"/>
      <c r="ANZ34" s="49"/>
      <c r="AOA34" s="49"/>
      <c r="AOB34" s="49"/>
      <c r="AOC34" s="49"/>
      <c r="AOD34" s="49"/>
      <c r="AOE34" s="49"/>
      <c r="AOF34" s="49"/>
      <c r="AOG34" s="49"/>
      <c r="AOH34" s="49"/>
      <c r="AOI34" s="49"/>
      <c r="AOJ34" s="49"/>
      <c r="AOK34" s="49"/>
      <c r="AOL34" s="49"/>
      <c r="AOM34" s="49"/>
      <c r="AON34" s="49"/>
      <c r="AOO34" s="49"/>
      <c r="AOP34" s="49"/>
      <c r="AOQ34" s="49"/>
      <c r="AOR34" s="49"/>
      <c r="AOS34" s="49"/>
      <c r="AOT34" s="49"/>
      <c r="AOU34" s="49"/>
      <c r="AOV34" s="49"/>
      <c r="AOW34" s="49"/>
      <c r="AOX34" s="49"/>
      <c r="AOY34" s="49"/>
      <c r="AOZ34" s="49"/>
      <c r="APA34" s="49"/>
      <c r="APB34" s="49"/>
      <c r="APC34" s="49"/>
      <c r="APD34" s="49"/>
      <c r="APE34" s="49"/>
      <c r="APF34" s="49"/>
      <c r="APG34" s="49"/>
      <c r="APH34" s="49"/>
      <c r="API34" s="49"/>
      <c r="APJ34" s="49"/>
      <c r="APK34" s="49"/>
      <c r="APL34" s="49"/>
      <c r="APM34" s="49"/>
      <c r="APN34" s="49"/>
      <c r="APO34" s="49"/>
      <c r="APP34" s="49"/>
      <c r="APQ34" s="49"/>
      <c r="APR34" s="49"/>
      <c r="APS34" s="49"/>
      <c r="APT34" s="49"/>
      <c r="APU34" s="49"/>
      <c r="APV34" s="49"/>
      <c r="APW34" s="49"/>
      <c r="APX34" s="49"/>
      <c r="APY34" s="49"/>
      <c r="APZ34" s="49"/>
      <c r="AQA34" s="49"/>
      <c r="AQB34" s="49"/>
      <c r="AQC34" s="49"/>
      <c r="AQD34" s="49"/>
      <c r="AQE34" s="49"/>
      <c r="AQF34" s="49"/>
      <c r="AQG34" s="49"/>
      <c r="AQH34" s="49"/>
      <c r="AQI34" s="49"/>
      <c r="AQJ34" s="49"/>
      <c r="AQK34" s="49"/>
      <c r="AQL34" s="49"/>
      <c r="AQM34" s="49"/>
      <c r="AQN34" s="49"/>
      <c r="AQO34" s="49"/>
      <c r="AQP34" s="49"/>
      <c r="AQQ34" s="49"/>
      <c r="AQR34" s="49"/>
      <c r="AQS34" s="49"/>
      <c r="AQT34" s="49"/>
      <c r="AQU34" s="49"/>
      <c r="AQV34" s="49"/>
      <c r="AQW34" s="49"/>
      <c r="AQX34" s="49"/>
      <c r="AQY34" s="49"/>
      <c r="AQZ34" s="49"/>
      <c r="ARA34" s="49"/>
      <c r="ARB34" s="49"/>
      <c r="ARC34" s="49"/>
      <c r="ARD34" s="49"/>
      <c r="ARE34" s="49"/>
      <c r="ARF34" s="49"/>
      <c r="ARG34" s="49"/>
      <c r="ARH34" s="49"/>
      <c r="ARI34" s="49"/>
      <c r="ARJ34" s="49"/>
      <c r="ARK34" s="49"/>
      <c r="ARL34" s="49"/>
      <c r="ARM34" s="49"/>
      <c r="ARN34" s="49"/>
      <c r="ARO34" s="49"/>
      <c r="ARP34" s="49"/>
      <c r="ARQ34" s="49"/>
      <c r="ARR34" s="49"/>
      <c r="ARS34" s="49"/>
      <c r="ART34" s="49"/>
      <c r="ARU34" s="49"/>
      <c r="ARV34" s="49"/>
      <c r="ARW34" s="49"/>
      <c r="ARX34" s="49"/>
      <c r="ARY34" s="49"/>
      <c r="ARZ34" s="49"/>
      <c r="ASA34" s="49"/>
      <c r="ASB34" s="49"/>
      <c r="ASC34" s="49"/>
      <c r="ASD34" s="49"/>
      <c r="ASE34" s="49"/>
      <c r="ASF34" s="49"/>
      <c r="ASG34" s="49"/>
      <c r="ASH34" s="49"/>
      <c r="ASI34" s="49"/>
      <c r="ASJ34" s="49"/>
      <c r="ASK34" s="49"/>
      <c r="ASL34" s="49"/>
      <c r="ASM34" s="49"/>
      <c r="ASN34" s="49"/>
      <c r="ASO34" s="49"/>
      <c r="ASP34" s="49"/>
      <c r="ASQ34" s="49"/>
      <c r="ASR34" s="49"/>
      <c r="ASS34" s="49"/>
      <c r="AST34" s="49"/>
      <c r="ASU34" s="49"/>
      <c r="ASV34" s="49"/>
      <c r="ASW34" s="49"/>
      <c r="ASX34" s="49"/>
      <c r="ASY34" s="49"/>
      <c r="ASZ34" s="49"/>
      <c r="ATA34" s="49"/>
      <c r="ATB34" s="49"/>
      <c r="ATC34" s="49"/>
      <c r="ATD34" s="49"/>
      <c r="ATE34" s="49"/>
      <c r="ATF34" s="49"/>
      <c r="ATG34" s="49"/>
      <c r="ATH34" s="49"/>
      <c r="ATI34" s="49"/>
      <c r="ATJ34" s="49"/>
      <c r="ATK34" s="49"/>
      <c r="ATL34" s="49"/>
      <c r="ATM34" s="49"/>
      <c r="ATN34" s="49"/>
      <c r="ATO34" s="49"/>
      <c r="ATP34" s="49"/>
      <c r="ATQ34" s="49"/>
      <c r="ATR34" s="49"/>
      <c r="ATS34" s="49"/>
      <c r="ATT34" s="49"/>
      <c r="ATU34" s="49"/>
      <c r="ATV34" s="49"/>
      <c r="ATW34" s="49"/>
      <c r="ATX34" s="49"/>
      <c r="ATY34" s="49"/>
      <c r="ATZ34" s="49"/>
      <c r="AUA34" s="49"/>
      <c r="AUB34" s="49"/>
      <c r="AUC34" s="49"/>
      <c r="AUD34" s="49"/>
      <c r="AUE34" s="49"/>
      <c r="AUF34" s="49"/>
      <c r="AUG34" s="49"/>
      <c r="AUH34" s="49"/>
      <c r="AUI34" s="49"/>
      <c r="AUJ34" s="49"/>
      <c r="AUK34" s="49"/>
      <c r="AUL34" s="49"/>
      <c r="AUM34" s="49"/>
      <c r="AUN34" s="49"/>
      <c r="AUO34" s="49"/>
      <c r="AUP34" s="49"/>
      <c r="AUQ34" s="49"/>
      <c r="AUR34" s="49"/>
      <c r="AUS34" s="49"/>
      <c r="AUT34" s="49"/>
      <c r="AUU34" s="49"/>
      <c r="AUV34" s="49"/>
      <c r="AUW34" s="49"/>
      <c r="AUX34" s="49"/>
      <c r="AUY34" s="49"/>
      <c r="AUZ34" s="49"/>
      <c r="AVA34" s="49"/>
      <c r="AVB34" s="49"/>
      <c r="AVC34" s="49"/>
      <c r="AVD34" s="49"/>
      <c r="AVE34" s="49"/>
      <c r="AVF34" s="49"/>
      <c r="AVG34" s="49"/>
      <c r="AVH34" s="49"/>
      <c r="AVI34" s="49"/>
      <c r="AVJ34" s="49"/>
      <c r="AVK34" s="49"/>
      <c r="AVL34" s="49"/>
      <c r="AVM34" s="49"/>
      <c r="AVN34" s="49"/>
      <c r="AVO34" s="49"/>
      <c r="AVP34" s="49"/>
      <c r="AVQ34" s="49"/>
      <c r="AVR34" s="49"/>
      <c r="AVS34" s="49"/>
      <c r="AVT34" s="49"/>
      <c r="AVU34" s="49"/>
      <c r="AVV34" s="49"/>
      <c r="AVW34" s="49"/>
      <c r="AVX34" s="49"/>
      <c r="AVY34" s="49"/>
      <c r="AVZ34" s="49"/>
      <c r="AWA34" s="49"/>
      <c r="AWB34" s="49"/>
      <c r="AWC34" s="49"/>
      <c r="AWD34" s="49"/>
      <c r="AWE34" s="49"/>
      <c r="AWF34" s="49"/>
      <c r="AWG34" s="49"/>
      <c r="AWH34" s="49"/>
      <c r="AWI34" s="49"/>
      <c r="AWJ34" s="49"/>
      <c r="AWK34" s="49"/>
      <c r="AWL34" s="49"/>
      <c r="AWM34" s="49"/>
      <c r="AWN34" s="49"/>
      <c r="AWO34" s="49"/>
      <c r="AWP34" s="49"/>
      <c r="AWQ34" s="49"/>
      <c r="AWR34" s="49"/>
      <c r="AWS34" s="49"/>
      <c r="AWT34" s="49"/>
      <c r="AWU34" s="49"/>
      <c r="AWV34" s="49"/>
      <c r="AWW34" s="49"/>
      <c r="AWX34" s="49"/>
      <c r="AWY34" s="49"/>
      <c r="AWZ34" s="49"/>
      <c r="AXA34" s="49"/>
      <c r="AXB34" s="49"/>
      <c r="AXC34" s="49"/>
      <c r="AXD34" s="49"/>
      <c r="AXE34" s="49"/>
      <c r="AXF34" s="49"/>
      <c r="AXG34" s="49"/>
      <c r="AXH34" s="49"/>
      <c r="AXI34" s="49"/>
      <c r="AXJ34" s="49"/>
      <c r="AXK34" s="49"/>
      <c r="AXL34" s="49"/>
      <c r="AXM34" s="49"/>
      <c r="AXN34" s="49"/>
      <c r="AXO34" s="49"/>
      <c r="AXP34" s="49"/>
      <c r="AXQ34" s="49"/>
      <c r="AXR34" s="49"/>
      <c r="AXS34" s="49"/>
      <c r="AXT34" s="49"/>
      <c r="AXU34" s="49"/>
      <c r="AXV34" s="49"/>
      <c r="AXW34" s="49"/>
      <c r="AXX34" s="49"/>
      <c r="AXY34" s="49"/>
      <c r="AXZ34" s="49"/>
      <c r="AYA34" s="49"/>
      <c r="AYB34" s="49"/>
      <c r="AYC34" s="49"/>
      <c r="AYD34" s="49"/>
      <c r="AYE34" s="49"/>
      <c r="AYF34" s="49"/>
      <c r="AYG34" s="49"/>
      <c r="AYH34" s="49"/>
      <c r="AYI34" s="49"/>
      <c r="AYJ34" s="49"/>
      <c r="AYK34" s="49"/>
      <c r="AYL34" s="49"/>
      <c r="AYM34" s="49"/>
      <c r="AYN34" s="49"/>
      <c r="AYO34" s="49"/>
      <c r="AYP34" s="49"/>
      <c r="AYQ34" s="49"/>
      <c r="AYR34" s="49"/>
      <c r="AYS34" s="49"/>
      <c r="AYT34" s="49"/>
      <c r="AYU34" s="49"/>
      <c r="AYV34" s="49"/>
      <c r="AYW34" s="49"/>
      <c r="AYX34" s="49"/>
      <c r="AYY34" s="49"/>
      <c r="AYZ34" s="49"/>
      <c r="AZA34" s="49"/>
      <c r="AZB34" s="49"/>
      <c r="AZC34" s="49"/>
      <c r="AZD34" s="49"/>
      <c r="AZE34" s="49"/>
      <c r="AZF34" s="49"/>
      <c r="AZG34" s="49"/>
      <c r="AZH34" s="49"/>
      <c r="AZI34" s="49"/>
      <c r="AZJ34" s="49"/>
      <c r="AZK34" s="49"/>
      <c r="AZL34" s="49"/>
      <c r="AZM34" s="49"/>
      <c r="AZN34" s="49"/>
      <c r="AZO34" s="49"/>
      <c r="AZP34" s="49"/>
      <c r="AZQ34" s="49"/>
      <c r="AZR34" s="49"/>
      <c r="AZS34" s="49"/>
      <c r="AZT34" s="49"/>
      <c r="AZU34" s="49"/>
      <c r="AZV34" s="49"/>
      <c r="AZW34" s="49"/>
      <c r="AZX34" s="49"/>
      <c r="AZY34" s="49"/>
      <c r="AZZ34" s="49"/>
      <c r="BAA34" s="49"/>
      <c r="BAB34" s="49"/>
      <c r="BAC34" s="49"/>
      <c r="BAD34" s="49"/>
      <c r="BAE34" s="49"/>
      <c r="BAF34" s="49"/>
      <c r="BAG34" s="49"/>
      <c r="BAH34" s="49"/>
      <c r="BAI34" s="49"/>
      <c r="BAJ34" s="49"/>
      <c r="BAK34" s="49"/>
      <c r="BAL34" s="49"/>
      <c r="BAM34" s="49"/>
      <c r="BAN34" s="49"/>
      <c r="BAO34" s="49"/>
      <c r="BAP34" s="49"/>
      <c r="BAQ34" s="49"/>
      <c r="BAR34" s="49"/>
      <c r="BAS34" s="49"/>
      <c r="BAT34" s="49"/>
      <c r="BAU34" s="49"/>
      <c r="BAV34" s="49"/>
      <c r="BAW34" s="49"/>
      <c r="BAX34" s="49"/>
      <c r="BAY34" s="49"/>
      <c r="BAZ34" s="49"/>
      <c r="BBA34" s="49"/>
      <c r="BBB34" s="49"/>
      <c r="BBC34" s="49"/>
      <c r="BBD34" s="49"/>
      <c r="BBE34" s="49"/>
      <c r="BBF34" s="49"/>
      <c r="BBG34" s="49"/>
      <c r="BBH34" s="49"/>
      <c r="BBI34" s="49"/>
      <c r="BBJ34" s="49"/>
      <c r="BBK34" s="49"/>
      <c r="BBL34" s="49"/>
      <c r="BBM34" s="49"/>
      <c r="BBN34" s="49"/>
      <c r="BBO34" s="49"/>
      <c r="BBP34" s="49"/>
      <c r="BBQ34" s="49"/>
      <c r="BBR34" s="49"/>
      <c r="BBS34" s="49"/>
      <c r="BBT34" s="49"/>
      <c r="BBU34" s="49"/>
      <c r="BBV34" s="49"/>
      <c r="BBW34" s="49"/>
      <c r="BBX34" s="49"/>
      <c r="BBY34" s="49"/>
      <c r="BBZ34" s="49"/>
      <c r="BCA34" s="49"/>
      <c r="BCB34" s="49"/>
      <c r="BCC34" s="49"/>
      <c r="BCD34" s="49"/>
      <c r="BCE34" s="49"/>
      <c r="BCF34" s="49"/>
      <c r="BCG34" s="49"/>
      <c r="BCH34" s="49"/>
      <c r="BCI34" s="49"/>
      <c r="BCJ34" s="49"/>
      <c r="BCK34" s="49"/>
      <c r="BCL34" s="49"/>
      <c r="BCM34" s="49"/>
      <c r="BCN34" s="49"/>
    </row>
    <row r="35" spans="1:1444" s="47" customFormat="1">
      <c r="A35" s="52"/>
      <c r="B35" s="94"/>
      <c r="C35" s="94"/>
      <c r="D35" s="95"/>
      <c r="E35" s="95"/>
      <c r="F35" s="95"/>
      <c r="G35" s="95"/>
      <c r="H35" s="95"/>
      <c r="I35" s="95"/>
      <c r="J35" s="95"/>
      <c r="K35" s="95"/>
      <c r="L35" s="95"/>
      <c r="M35" s="155">
        <f>N35-D35-E35-F35-G35-H35-I35-J35-K35-L35</f>
        <v>0</v>
      </c>
      <c r="N35" s="141">
        <f>'units overall'!O35</f>
        <v>0</v>
      </c>
      <c r="O35" s="81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  <c r="DY35" s="49"/>
      <c r="DZ35" s="49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49"/>
      <c r="EW35" s="49"/>
      <c r="EX35" s="49"/>
      <c r="EY35" s="49"/>
      <c r="EZ35" s="49"/>
      <c r="FA35" s="49"/>
      <c r="FB35" s="49"/>
      <c r="FC35" s="49"/>
      <c r="FD35" s="49"/>
      <c r="FE35" s="49"/>
      <c r="FF35" s="49"/>
      <c r="FG35" s="49"/>
      <c r="FH35" s="49"/>
      <c r="FI35" s="49"/>
      <c r="FJ35" s="49"/>
      <c r="FK35" s="49"/>
      <c r="FL35" s="49"/>
      <c r="FM35" s="49"/>
      <c r="FN35" s="49"/>
      <c r="FO35" s="49"/>
      <c r="FP35" s="49"/>
      <c r="FQ35" s="49"/>
      <c r="FR35" s="49"/>
      <c r="FS35" s="49"/>
      <c r="FT35" s="49"/>
      <c r="FU35" s="49"/>
      <c r="FV35" s="49"/>
      <c r="FW35" s="49"/>
      <c r="FX35" s="49"/>
      <c r="FY35" s="49"/>
      <c r="FZ35" s="49"/>
      <c r="GA35" s="49"/>
      <c r="GB35" s="49"/>
      <c r="GC35" s="49"/>
      <c r="GD35" s="49"/>
      <c r="GE35" s="49"/>
      <c r="GF35" s="49"/>
      <c r="GG35" s="49"/>
      <c r="GH35" s="49"/>
      <c r="GI35" s="49"/>
      <c r="GJ35" s="49"/>
      <c r="GK35" s="49"/>
      <c r="GL35" s="49"/>
      <c r="GM35" s="49"/>
      <c r="GN35" s="49"/>
      <c r="GO35" s="49"/>
      <c r="GP35" s="49"/>
      <c r="GQ35" s="49"/>
      <c r="GR35" s="49"/>
      <c r="GS35" s="49"/>
      <c r="GT35" s="49"/>
      <c r="GU35" s="49"/>
      <c r="GV35" s="49"/>
      <c r="GW35" s="49"/>
      <c r="GX35" s="49"/>
      <c r="GY35" s="49"/>
      <c r="GZ35" s="49"/>
      <c r="HA35" s="49"/>
      <c r="HB35" s="49"/>
      <c r="HC35" s="49"/>
      <c r="HD35" s="49"/>
      <c r="HE35" s="49"/>
      <c r="HF35" s="49"/>
      <c r="HG35" s="49"/>
      <c r="HH35" s="49"/>
      <c r="HI35" s="49"/>
      <c r="HJ35" s="49"/>
      <c r="HK35" s="49"/>
      <c r="HL35" s="49"/>
      <c r="HM35" s="49"/>
      <c r="HN35" s="49"/>
      <c r="HO35" s="49"/>
      <c r="HP35" s="49"/>
      <c r="HQ35" s="49"/>
      <c r="HR35" s="49"/>
      <c r="HS35" s="49"/>
      <c r="HT35" s="49"/>
      <c r="HU35" s="49"/>
      <c r="HV35" s="49"/>
      <c r="HW35" s="49"/>
      <c r="HX35" s="49"/>
      <c r="HY35" s="49"/>
      <c r="HZ35" s="49"/>
      <c r="IA35" s="49"/>
      <c r="IB35" s="49"/>
      <c r="IC35" s="49"/>
      <c r="ID35" s="49"/>
      <c r="IE35" s="49"/>
      <c r="IF35" s="49"/>
      <c r="IG35" s="49"/>
      <c r="IH35" s="49"/>
      <c r="II35" s="49"/>
      <c r="IJ35" s="49"/>
      <c r="IK35" s="49"/>
      <c r="IL35" s="49"/>
      <c r="IM35" s="49"/>
      <c r="IN35" s="49"/>
      <c r="IO35" s="49"/>
      <c r="IP35" s="49"/>
      <c r="IQ35" s="49"/>
      <c r="IR35" s="49"/>
      <c r="IS35" s="49"/>
      <c r="IT35" s="49"/>
      <c r="IU35" s="49"/>
      <c r="IV35" s="49"/>
      <c r="IW35" s="49"/>
      <c r="IX35" s="49"/>
      <c r="IY35" s="49"/>
      <c r="IZ35" s="49"/>
      <c r="JA35" s="49"/>
      <c r="JB35" s="49"/>
      <c r="JC35" s="49"/>
      <c r="JD35" s="49"/>
      <c r="JE35" s="49"/>
      <c r="JF35" s="49"/>
      <c r="JG35" s="49"/>
      <c r="JH35" s="49"/>
      <c r="JI35" s="49"/>
      <c r="JJ35" s="49"/>
      <c r="JK35" s="49"/>
      <c r="JL35" s="49"/>
      <c r="JM35" s="49"/>
      <c r="JN35" s="49"/>
      <c r="JO35" s="49"/>
      <c r="JP35" s="49"/>
      <c r="JQ35" s="49"/>
      <c r="JR35" s="49"/>
      <c r="JS35" s="49"/>
      <c r="JT35" s="49"/>
      <c r="JU35" s="49"/>
      <c r="JV35" s="49"/>
      <c r="JW35" s="49"/>
      <c r="JX35" s="49"/>
      <c r="JY35" s="49"/>
      <c r="JZ35" s="49"/>
      <c r="KA35" s="49"/>
      <c r="KB35" s="49"/>
      <c r="KC35" s="49"/>
      <c r="KD35" s="49"/>
      <c r="KE35" s="49"/>
      <c r="KF35" s="49"/>
      <c r="KG35" s="49"/>
      <c r="KH35" s="49"/>
      <c r="KI35" s="49"/>
      <c r="KJ35" s="49"/>
      <c r="KK35" s="49"/>
      <c r="KL35" s="49"/>
      <c r="KM35" s="49"/>
      <c r="KN35" s="49"/>
      <c r="KO35" s="49"/>
      <c r="KP35" s="49"/>
      <c r="KQ35" s="49"/>
      <c r="KR35" s="49"/>
      <c r="KS35" s="49"/>
      <c r="KT35" s="49"/>
      <c r="KU35" s="49"/>
      <c r="KV35" s="49"/>
      <c r="KW35" s="49"/>
      <c r="KX35" s="49"/>
      <c r="KY35" s="49"/>
      <c r="KZ35" s="49"/>
      <c r="LA35" s="49"/>
      <c r="LB35" s="49"/>
      <c r="LC35" s="49"/>
      <c r="LD35" s="49"/>
      <c r="LE35" s="49"/>
      <c r="LF35" s="49"/>
      <c r="LG35" s="49"/>
      <c r="LH35" s="49"/>
      <c r="LI35" s="49"/>
      <c r="LJ35" s="49"/>
      <c r="LK35" s="49"/>
      <c r="LL35" s="49"/>
      <c r="LM35" s="49"/>
      <c r="LN35" s="49"/>
      <c r="LO35" s="49"/>
      <c r="LP35" s="49"/>
      <c r="LQ35" s="49"/>
      <c r="LR35" s="49"/>
      <c r="LS35" s="49"/>
      <c r="LT35" s="49"/>
      <c r="LU35" s="49"/>
      <c r="LV35" s="49"/>
      <c r="LW35" s="49"/>
      <c r="LX35" s="49"/>
      <c r="LY35" s="49"/>
      <c r="LZ35" s="49"/>
      <c r="MA35" s="49"/>
      <c r="MB35" s="49"/>
      <c r="MC35" s="49"/>
      <c r="MD35" s="49"/>
      <c r="ME35" s="49"/>
      <c r="MF35" s="49"/>
      <c r="MG35" s="49"/>
      <c r="MH35" s="49"/>
      <c r="MI35" s="49"/>
      <c r="MJ35" s="49"/>
      <c r="MK35" s="49"/>
      <c r="ML35" s="49"/>
      <c r="MM35" s="49"/>
      <c r="MN35" s="49"/>
      <c r="MO35" s="49"/>
      <c r="MP35" s="49"/>
      <c r="MQ35" s="49"/>
      <c r="MR35" s="49"/>
      <c r="MS35" s="49"/>
      <c r="MT35" s="49"/>
      <c r="MU35" s="49"/>
      <c r="MV35" s="49"/>
      <c r="MW35" s="49"/>
      <c r="MX35" s="49"/>
      <c r="MY35" s="49"/>
      <c r="MZ35" s="49"/>
      <c r="NA35" s="49"/>
      <c r="NB35" s="49"/>
      <c r="NC35" s="49"/>
      <c r="ND35" s="49"/>
      <c r="NE35" s="49"/>
      <c r="NF35" s="49"/>
      <c r="NG35" s="49"/>
      <c r="NH35" s="49"/>
      <c r="NI35" s="49"/>
      <c r="NJ35" s="49"/>
      <c r="NK35" s="49"/>
      <c r="NL35" s="49"/>
      <c r="NM35" s="49"/>
      <c r="NN35" s="49"/>
      <c r="NO35" s="49"/>
      <c r="NP35" s="49"/>
      <c r="NQ35" s="49"/>
      <c r="NR35" s="49"/>
      <c r="NS35" s="49"/>
      <c r="NT35" s="49"/>
      <c r="NU35" s="49"/>
      <c r="NV35" s="49"/>
      <c r="NW35" s="49"/>
      <c r="NX35" s="49"/>
      <c r="NY35" s="49"/>
      <c r="NZ35" s="49"/>
      <c r="OA35" s="49"/>
      <c r="OB35" s="49"/>
      <c r="OC35" s="49"/>
      <c r="OD35" s="49"/>
      <c r="OE35" s="49"/>
      <c r="OF35" s="49"/>
      <c r="OG35" s="49"/>
      <c r="OH35" s="49"/>
      <c r="OI35" s="49"/>
      <c r="OJ35" s="49"/>
      <c r="OK35" s="49"/>
      <c r="OL35" s="49"/>
      <c r="OM35" s="49"/>
      <c r="ON35" s="49"/>
      <c r="OO35" s="49"/>
      <c r="OP35" s="49"/>
      <c r="OQ35" s="49"/>
      <c r="OR35" s="49"/>
      <c r="OS35" s="49"/>
      <c r="OT35" s="49"/>
      <c r="OU35" s="49"/>
      <c r="OV35" s="49"/>
      <c r="OW35" s="49"/>
      <c r="OX35" s="49"/>
      <c r="OY35" s="49"/>
      <c r="OZ35" s="49"/>
      <c r="PA35" s="49"/>
      <c r="PB35" s="49"/>
      <c r="PC35" s="49"/>
      <c r="PD35" s="49"/>
      <c r="PE35" s="49"/>
      <c r="PF35" s="49"/>
      <c r="PG35" s="49"/>
      <c r="PH35" s="49"/>
      <c r="PI35" s="49"/>
      <c r="PJ35" s="49"/>
      <c r="PK35" s="49"/>
      <c r="PL35" s="49"/>
      <c r="PM35" s="49"/>
      <c r="PN35" s="49"/>
      <c r="PO35" s="49"/>
      <c r="PP35" s="49"/>
      <c r="PQ35" s="49"/>
      <c r="PR35" s="49"/>
      <c r="PS35" s="49"/>
      <c r="PT35" s="49"/>
      <c r="PU35" s="49"/>
      <c r="PV35" s="49"/>
      <c r="PW35" s="49"/>
      <c r="PX35" s="49"/>
      <c r="PY35" s="49"/>
      <c r="PZ35" s="49"/>
      <c r="QA35" s="49"/>
      <c r="QB35" s="49"/>
      <c r="QC35" s="49"/>
      <c r="QD35" s="49"/>
      <c r="QE35" s="49"/>
      <c r="QF35" s="49"/>
      <c r="QG35" s="49"/>
      <c r="QH35" s="49"/>
      <c r="QI35" s="49"/>
      <c r="QJ35" s="49"/>
      <c r="QK35" s="49"/>
      <c r="QL35" s="49"/>
      <c r="QM35" s="49"/>
      <c r="QN35" s="49"/>
      <c r="QO35" s="49"/>
      <c r="QP35" s="49"/>
      <c r="QQ35" s="49"/>
      <c r="QR35" s="49"/>
      <c r="QS35" s="49"/>
      <c r="QT35" s="49"/>
      <c r="QU35" s="49"/>
      <c r="QV35" s="49"/>
      <c r="QW35" s="49"/>
      <c r="QX35" s="49"/>
      <c r="QY35" s="49"/>
      <c r="QZ35" s="49"/>
      <c r="RA35" s="49"/>
      <c r="RB35" s="49"/>
      <c r="RC35" s="49"/>
      <c r="RD35" s="49"/>
      <c r="RE35" s="49"/>
      <c r="RF35" s="49"/>
      <c r="RG35" s="49"/>
      <c r="RH35" s="49"/>
      <c r="RI35" s="49"/>
      <c r="RJ35" s="49"/>
      <c r="RK35" s="49"/>
      <c r="RL35" s="49"/>
      <c r="RM35" s="49"/>
      <c r="RN35" s="49"/>
      <c r="RO35" s="49"/>
      <c r="RP35" s="49"/>
      <c r="RQ35" s="49"/>
      <c r="RR35" s="49"/>
      <c r="RS35" s="49"/>
      <c r="RT35" s="49"/>
      <c r="RU35" s="49"/>
      <c r="RV35" s="49"/>
      <c r="RW35" s="49"/>
      <c r="RX35" s="49"/>
      <c r="RY35" s="49"/>
      <c r="RZ35" s="49"/>
      <c r="SA35" s="49"/>
      <c r="SB35" s="49"/>
      <c r="SC35" s="49"/>
      <c r="SD35" s="49"/>
      <c r="SE35" s="49"/>
      <c r="SF35" s="49"/>
      <c r="SG35" s="49"/>
      <c r="SH35" s="49"/>
      <c r="SI35" s="49"/>
      <c r="SJ35" s="49"/>
      <c r="SK35" s="49"/>
      <c r="SL35" s="49"/>
      <c r="SM35" s="49"/>
      <c r="SN35" s="49"/>
      <c r="SO35" s="49"/>
      <c r="SP35" s="49"/>
      <c r="SQ35" s="49"/>
      <c r="SR35" s="49"/>
      <c r="SS35" s="49"/>
      <c r="ST35" s="49"/>
      <c r="SU35" s="49"/>
      <c r="SV35" s="49"/>
      <c r="SW35" s="49"/>
      <c r="SX35" s="49"/>
      <c r="SY35" s="49"/>
      <c r="SZ35" s="49"/>
      <c r="TA35" s="49"/>
      <c r="TB35" s="49"/>
      <c r="TC35" s="49"/>
      <c r="TD35" s="49"/>
      <c r="TE35" s="49"/>
      <c r="TF35" s="49"/>
      <c r="TG35" s="49"/>
      <c r="TH35" s="49"/>
      <c r="TI35" s="49"/>
      <c r="TJ35" s="49"/>
      <c r="TK35" s="49"/>
      <c r="TL35" s="49"/>
      <c r="TM35" s="49"/>
      <c r="TN35" s="49"/>
      <c r="TO35" s="49"/>
      <c r="TP35" s="49"/>
      <c r="TQ35" s="49"/>
      <c r="TR35" s="49"/>
      <c r="TS35" s="49"/>
      <c r="TT35" s="49"/>
      <c r="TU35" s="49"/>
      <c r="TV35" s="49"/>
      <c r="TW35" s="49"/>
      <c r="TX35" s="49"/>
      <c r="TY35" s="49"/>
      <c r="TZ35" s="49"/>
      <c r="UA35" s="49"/>
      <c r="UB35" s="49"/>
      <c r="UC35" s="49"/>
      <c r="UD35" s="49"/>
      <c r="UE35" s="49"/>
      <c r="UF35" s="49"/>
      <c r="UG35" s="49"/>
      <c r="UH35" s="49"/>
      <c r="UI35" s="49"/>
      <c r="UJ35" s="49"/>
      <c r="UK35" s="49"/>
      <c r="UL35" s="49"/>
      <c r="UM35" s="49"/>
      <c r="UN35" s="49"/>
      <c r="UO35" s="49"/>
      <c r="UP35" s="49"/>
      <c r="UQ35" s="49"/>
      <c r="UR35" s="49"/>
      <c r="US35" s="49"/>
      <c r="UT35" s="49"/>
      <c r="UU35" s="49"/>
      <c r="UV35" s="49"/>
      <c r="UW35" s="49"/>
      <c r="UX35" s="49"/>
      <c r="UY35" s="49"/>
      <c r="UZ35" s="49"/>
      <c r="VA35" s="49"/>
      <c r="VB35" s="49"/>
      <c r="VC35" s="49"/>
      <c r="VD35" s="49"/>
      <c r="VE35" s="49"/>
      <c r="VF35" s="49"/>
      <c r="VG35" s="49"/>
      <c r="VH35" s="49"/>
      <c r="VI35" s="49"/>
      <c r="VJ35" s="49"/>
      <c r="VK35" s="49"/>
      <c r="VL35" s="49"/>
      <c r="VM35" s="49"/>
      <c r="VN35" s="49"/>
      <c r="VO35" s="49"/>
      <c r="VP35" s="49"/>
      <c r="VQ35" s="49"/>
      <c r="VR35" s="49"/>
      <c r="VS35" s="49"/>
      <c r="VT35" s="49"/>
      <c r="VU35" s="49"/>
      <c r="VV35" s="49"/>
      <c r="VW35" s="49"/>
      <c r="VX35" s="49"/>
      <c r="VY35" s="49"/>
      <c r="VZ35" s="49"/>
      <c r="WA35" s="49"/>
      <c r="WB35" s="49"/>
      <c r="WC35" s="49"/>
      <c r="WD35" s="49"/>
      <c r="WE35" s="49"/>
      <c r="WF35" s="49"/>
      <c r="WG35" s="49"/>
      <c r="WH35" s="49"/>
      <c r="WI35" s="49"/>
      <c r="WJ35" s="49"/>
      <c r="WK35" s="49"/>
      <c r="WL35" s="49"/>
      <c r="WM35" s="49"/>
      <c r="WN35" s="49"/>
      <c r="WO35" s="49"/>
      <c r="WP35" s="49"/>
      <c r="WQ35" s="49"/>
      <c r="WR35" s="49"/>
      <c r="WS35" s="49"/>
      <c r="WT35" s="49"/>
      <c r="WU35" s="49"/>
      <c r="WV35" s="49"/>
      <c r="WW35" s="49"/>
      <c r="WX35" s="49"/>
      <c r="WY35" s="49"/>
      <c r="WZ35" s="49"/>
      <c r="XA35" s="49"/>
      <c r="XB35" s="49"/>
      <c r="XC35" s="49"/>
      <c r="XD35" s="49"/>
      <c r="XE35" s="49"/>
      <c r="XF35" s="49"/>
      <c r="XG35" s="49"/>
      <c r="XH35" s="49"/>
      <c r="XI35" s="49"/>
      <c r="XJ35" s="49"/>
      <c r="XK35" s="49"/>
      <c r="XL35" s="49"/>
      <c r="XM35" s="49"/>
      <c r="XN35" s="49"/>
      <c r="XO35" s="49"/>
      <c r="XP35" s="49"/>
      <c r="XQ35" s="49"/>
      <c r="XR35" s="49"/>
      <c r="XS35" s="49"/>
      <c r="XT35" s="49"/>
      <c r="XU35" s="49"/>
      <c r="XV35" s="49"/>
      <c r="XW35" s="49"/>
      <c r="XX35" s="49"/>
      <c r="XY35" s="49"/>
      <c r="XZ35" s="49"/>
      <c r="YA35" s="49"/>
      <c r="YB35" s="49"/>
      <c r="YC35" s="49"/>
      <c r="YD35" s="49"/>
      <c r="YE35" s="49"/>
      <c r="YF35" s="49"/>
      <c r="YG35" s="49"/>
      <c r="YH35" s="49"/>
      <c r="YI35" s="49"/>
      <c r="YJ35" s="49"/>
      <c r="YK35" s="49"/>
      <c r="YL35" s="49"/>
      <c r="YM35" s="49"/>
      <c r="YN35" s="49"/>
      <c r="YO35" s="49"/>
      <c r="YP35" s="49"/>
      <c r="YQ35" s="49"/>
      <c r="YR35" s="49"/>
      <c r="YS35" s="49"/>
      <c r="YT35" s="49"/>
      <c r="YU35" s="49"/>
      <c r="YV35" s="49"/>
      <c r="YW35" s="49"/>
      <c r="YX35" s="49"/>
      <c r="YY35" s="49"/>
      <c r="YZ35" s="49"/>
      <c r="ZA35" s="49"/>
      <c r="ZB35" s="49"/>
      <c r="ZC35" s="49"/>
      <c r="ZD35" s="49"/>
      <c r="ZE35" s="49"/>
      <c r="ZF35" s="49"/>
      <c r="ZG35" s="49"/>
      <c r="ZH35" s="49"/>
      <c r="ZI35" s="49"/>
      <c r="ZJ35" s="49"/>
      <c r="ZK35" s="49"/>
      <c r="ZL35" s="49"/>
      <c r="ZM35" s="49"/>
      <c r="ZN35" s="49"/>
      <c r="ZO35" s="49"/>
      <c r="ZP35" s="49"/>
      <c r="ZQ35" s="49"/>
      <c r="ZR35" s="49"/>
      <c r="ZS35" s="49"/>
      <c r="ZT35" s="49"/>
      <c r="ZU35" s="49"/>
      <c r="ZV35" s="49"/>
      <c r="ZW35" s="49"/>
      <c r="ZX35" s="49"/>
      <c r="ZY35" s="49"/>
      <c r="ZZ35" s="49"/>
      <c r="AAA35" s="49"/>
      <c r="AAB35" s="49"/>
      <c r="AAC35" s="49"/>
      <c r="AAD35" s="49"/>
      <c r="AAE35" s="49"/>
      <c r="AAF35" s="49"/>
      <c r="AAG35" s="49"/>
      <c r="AAH35" s="49"/>
      <c r="AAI35" s="49"/>
      <c r="AAJ35" s="49"/>
      <c r="AAK35" s="49"/>
      <c r="AAL35" s="49"/>
      <c r="AAM35" s="49"/>
      <c r="AAN35" s="49"/>
      <c r="AAO35" s="49"/>
      <c r="AAP35" s="49"/>
      <c r="AAQ35" s="49"/>
      <c r="AAR35" s="49"/>
      <c r="AAS35" s="49"/>
      <c r="AAT35" s="49"/>
      <c r="AAU35" s="49"/>
      <c r="AAV35" s="49"/>
      <c r="AAW35" s="49"/>
      <c r="AAX35" s="49"/>
      <c r="AAY35" s="49"/>
      <c r="AAZ35" s="49"/>
      <c r="ABA35" s="49"/>
      <c r="ABB35" s="49"/>
      <c r="ABC35" s="49"/>
      <c r="ABD35" s="49"/>
      <c r="ABE35" s="49"/>
      <c r="ABF35" s="49"/>
      <c r="ABG35" s="49"/>
      <c r="ABH35" s="49"/>
      <c r="ABI35" s="49"/>
      <c r="ABJ35" s="49"/>
      <c r="ABK35" s="49"/>
      <c r="ABL35" s="49"/>
      <c r="ABM35" s="49"/>
      <c r="ABN35" s="49"/>
      <c r="ABO35" s="49"/>
      <c r="ABP35" s="49"/>
      <c r="ABQ35" s="49"/>
      <c r="ABR35" s="49"/>
      <c r="ABS35" s="49"/>
      <c r="ABT35" s="49"/>
      <c r="ABU35" s="49"/>
      <c r="ABV35" s="49"/>
      <c r="ABW35" s="49"/>
      <c r="ABX35" s="49"/>
      <c r="ABY35" s="49"/>
      <c r="ABZ35" s="49"/>
      <c r="ACA35" s="49"/>
      <c r="ACB35" s="49"/>
      <c r="ACC35" s="49"/>
      <c r="ACD35" s="49"/>
      <c r="ACE35" s="49"/>
      <c r="ACF35" s="49"/>
      <c r="ACG35" s="49"/>
      <c r="ACH35" s="49"/>
      <c r="ACI35" s="49"/>
      <c r="ACJ35" s="49"/>
      <c r="ACK35" s="49"/>
      <c r="ACL35" s="49"/>
      <c r="ACM35" s="49"/>
      <c r="ACN35" s="49"/>
      <c r="ACO35" s="49"/>
      <c r="ACP35" s="49"/>
      <c r="ACQ35" s="49"/>
      <c r="ACR35" s="49"/>
      <c r="ACS35" s="49"/>
      <c r="ACT35" s="49"/>
      <c r="ACU35" s="49"/>
      <c r="ACV35" s="49"/>
      <c r="ACW35" s="49"/>
      <c r="ACX35" s="49"/>
      <c r="ACY35" s="49"/>
      <c r="ACZ35" s="49"/>
      <c r="ADA35" s="49"/>
      <c r="ADB35" s="49"/>
      <c r="ADC35" s="49"/>
      <c r="ADD35" s="49"/>
      <c r="ADE35" s="49"/>
      <c r="ADF35" s="49"/>
      <c r="ADG35" s="49"/>
      <c r="ADH35" s="49"/>
      <c r="ADI35" s="49"/>
      <c r="ADJ35" s="49"/>
      <c r="ADK35" s="49"/>
      <c r="ADL35" s="49"/>
      <c r="ADM35" s="49"/>
      <c r="ADN35" s="49"/>
      <c r="ADO35" s="49"/>
      <c r="ADP35" s="49"/>
      <c r="ADQ35" s="49"/>
      <c r="ADR35" s="49"/>
      <c r="ADS35" s="49"/>
      <c r="ADT35" s="49"/>
      <c r="ADU35" s="49"/>
      <c r="ADV35" s="49"/>
      <c r="ADW35" s="49"/>
      <c r="ADX35" s="49"/>
      <c r="ADY35" s="49"/>
      <c r="ADZ35" s="49"/>
      <c r="AEA35" s="49"/>
      <c r="AEB35" s="49"/>
      <c r="AEC35" s="49"/>
      <c r="AED35" s="49"/>
      <c r="AEE35" s="49"/>
      <c r="AEF35" s="49"/>
      <c r="AEG35" s="49"/>
      <c r="AEH35" s="49"/>
      <c r="AEI35" s="49"/>
      <c r="AEJ35" s="49"/>
      <c r="AEK35" s="49"/>
      <c r="AEL35" s="49"/>
      <c r="AEM35" s="49"/>
      <c r="AEN35" s="49"/>
      <c r="AEO35" s="49"/>
      <c r="AEP35" s="49"/>
      <c r="AEQ35" s="49"/>
      <c r="AER35" s="49"/>
      <c r="AES35" s="49"/>
      <c r="AET35" s="49"/>
      <c r="AEU35" s="49"/>
      <c r="AEV35" s="49"/>
      <c r="AEW35" s="49"/>
      <c r="AEX35" s="49"/>
      <c r="AEY35" s="49"/>
      <c r="AEZ35" s="49"/>
      <c r="AFA35" s="49"/>
      <c r="AFB35" s="49"/>
      <c r="AFC35" s="49"/>
      <c r="AFD35" s="49"/>
      <c r="AFE35" s="49"/>
      <c r="AFF35" s="49"/>
      <c r="AFG35" s="49"/>
      <c r="AFH35" s="49"/>
      <c r="AFI35" s="49"/>
      <c r="AFJ35" s="49"/>
      <c r="AFK35" s="49"/>
      <c r="AFL35" s="49"/>
      <c r="AFM35" s="49"/>
      <c r="AFN35" s="49"/>
      <c r="AFO35" s="49"/>
      <c r="AFP35" s="49"/>
      <c r="AFQ35" s="49"/>
      <c r="AFR35" s="49"/>
      <c r="AFS35" s="49"/>
      <c r="AFT35" s="49"/>
      <c r="AFU35" s="49"/>
      <c r="AFV35" s="49"/>
      <c r="AFW35" s="49"/>
      <c r="AFX35" s="49"/>
      <c r="AFY35" s="49"/>
      <c r="AFZ35" s="49"/>
      <c r="AGA35" s="49"/>
      <c r="AGB35" s="49"/>
      <c r="AGC35" s="49"/>
      <c r="AGD35" s="49"/>
      <c r="AGE35" s="49"/>
      <c r="AGF35" s="49"/>
      <c r="AGG35" s="49"/>
      <c r="AGH35" s="49"/>
      <c r="AGI35" s="49"/>
      <c r="AGJ35" s="49"/>
      <c r="AGK35" s="49"/>
      <c r="AGL35" s="49"/>
      <c r="AGM35" s="49"/>
      <c r="AGN35" s="49"/>
      <c r="AGO35" s="49"/>
      <c r="AGP35" s="49"/>
      <c r="AGQ35" s="49"/>
      <c r="AGR35" s="49"/>
      <c r="AGS35" s="49"/>
      <c r="AGT35" s="49"/>
      <c r="AGU35" s="49"/>
      <c r="AGV35" s="49"/>
      <c r="AGW35" s="49"/>
      <c r="AGX35" s="49"/>
      <c r="AGY35" s="49"/>
      <c r="AGZ35" s="49"/>
      <c r="AHA35" s="49"/>
      <c r="AHB35" s="49"/>
      <c r="AHC35" s="49"/>
      <c r="AHD35" s="49"/>
      <c r="AHE35" s="49"/>
      <c r="AHF35" s="49"/>
      <c r="AHG35" s="49"/>
      <c r="AHH35" s="49"/>
      <c r="AHI35" s="49"/>
      <c r="AHJ35" s="49"/>
      <c r="AHK35" s="49"/>
      <c r="AHL35" s="49"/>
      <c r="AHM35" s="49"/>
      <c r="AHN35" s="49"/>
      <c r="AHO35" s="49"/>
      <c r="AHP35" s="49"/>
      <c r="AHQ35" s="49"/>
      <c r="AHR35" s="49"/>
      <c r="AHS35" s="49"/>
      <c r="AHT35" s="49"/>
      <c r="AHU35" s="49"/>
      <c r="AHV35" s="49"/>
      <c r="AHW35" s="49"/>
      <c r="AHX35" s="49"/>
      <c r="AHY35" s="49"/>
      <c r="AHZ35" s="49"/>
      <c r="AIA35" s="49"/>
      <c r="AIB35" s="49"/>
      <c r="AIC35" s="49"/>
      <c r="AID35" s="49"/>
      <c r="AIE35" s="49"/>
      <c r="AIF35" s="49"/>
      <c r="AIG35" s="49"/>
      <c r="AIH35" s="49"/>
      <c r="AII35" s="49"/>
      <c r="AIJ35" s="49"/>
      <c r="AIK35" s="49"/>
      <c r="AIL35" s="49"/>
      <c r="AIM35" s="49"/>
      <c r="AIN35" s="49"/>
      <c r="AIO35" s="49"/>
      <c r="AIP35" s="49"/>
      <c r="AIQ35" s="49"/>
      <c r="AIR35" s="49"/>
      <c r="AIS35" s="49"/>
      <c r="AIT35" s="49"/>
      <c r="AIU35" s="49"/>
      <c r="AIV35" s="49"/>
      <c r="AIW35" s="49"/>
      <c r="AIX35" s="49"/>
      <c r="AIY35" s="49"/>
      <c r="AIZ35" s="49"/>
      <c r="AJA35" s="49"/>
      <c r="AJB35" s="49"/>
      <c r="AJC35" s="49"/>
      <c r="AJD35" s="49"/>
      <c r="AJE35" s="49"/>
      <c r="AJF35" s="49"/>
      <c r="AJG35" s="49"/>
      <c r="AJH35" s="49"/>
      <c r="AJI35" s="49"/>
      <c r="AJJ35" s="49"/>
      <c r="AJK35" s="49"/>
      <c r="AJL35" s="49"/>
      <c r="AJM35" s="49"/>
      <c r="AJN35" s="49"/>
      <c r="AJO35" s="49"/>
      <c r="AJP35" s="49"/>
      <c r="AJQ35" s="49"/>
      <c r="AJR35" s="49"/>
      <c r="AJS35" s="49"/>
      <c r="AJT35" s="49"/>
      <c r="AJU35" s="49"/>
      <c r="AJV35" s="49"/>
      <c r="AJW35" s="49"/>
      <c r="AJX35" s="49"/>
      <c r="AJY35" s="49"/>
      <c r="AJZ35" s="49"/>
      <c r="AKA35" s="49"/>
      <c r="AKB35" s="49"/>
      <c r="AKC35" s="49"/>
      <c r="AKD35" s="49"/>
      <c r="AKE35" s="49"/>
      <c r="AKF35" s="49"/>
      <c r="AKG35" s="49"/>
      <c r="AKH35" s="49"/>
      <c r="AKI35" s="49"/>
      <c r="AKJ35" s="49"/>
      <c r="AKK35" s="49"/>
      <c r="AKL35" s="49"/>
      <c r="AKM35" s="49"/>
      <c r="AKN35" s="49"/>
      <c r="AKO35" s="49"/>
      <c r="AKP35" s="49"/>
      <c r="AKQ35" s="49"/>
      <c r="AKR35" s="49"/>
      <c r="AKS35" s="49"/>
      <c r="AKT35" s="49"/>
      <c r="AKU35" s="49"/>
      <c r="AKV35" s="49"/>
      <c r="AKW35" s="49"/>
      <c r="AKX35" s="49"/>
      <c r="AKY35" s="49"/>
      <c r="AKZ35" s="49"/>
      <c r="ALA35" s="49"/>
      <c r="ALB35" s="49"/>
      <c r="ALC35" s="49"/>
      <c r="ALD35" s="49"/>
      <c r="ALE35" s="49"/>
      <c r="ALF35" s="49"/>
      <c r="ALG35" s="49"/>
      <c r="ALH35" s="49"/>
      <c r="ALI35" s="49"/>
      <c r="ALJ35" s="49"/>
      <c r="ALK35" s="49"/>
      <c r="ALL35" s="49"/>
      <c r="ALM35" s="49"/>
      <c r="ALN35" s="49"/>
      <c r="ALO35" s="49"/>
      <c r="ALP35" s="49"/>
      <c r="ALQ35" s="49"/>
      <c r="ALR35" s="49"/>
      <c r="ALS35" s="49"/>
      <c r="ALT35" s="49"/>
      <c r="ALU35" s="49"/>
      <c r="ALV35" s="49"/>
      <c r="ALW35" s="49"/>
      <c r="ALX35" s="49"/>
      <c r="ALY35" s="49"/>
      <c r="ALZ35" s="49"/>
      <c r="AMA35" s="49"/>
      <c r="AMB35" s="49"/>
      <c r="AMC35" s="49"/>
      <c r="AMD35" s="49"/>
      <c r="AME35" s="49"/>
      <c r="AMF35" s="49"/>
      <c r="AMG35" s="49"/>
      <c r="AMH35" s="49"/>
      <c r="AMI35" s="49"/>
      <c r="AMJ35" s="49"/>
      <c r="AMK35" s="49"/>
      <c r="AML35" s="49"/>
      <c r="AMM35" s="49"/>
      <c r="AMN35" s="49"/>
      <c r="AMO35" s="49"/>
      <c r="AMP35" s="49"/>
      <c r="AMQ35" s="49"/>
      <c r="AMR35" s="49"/>
      <c r="AMS35" s="49"/>
      <c r="AMT35" s="49"/>
      <c r="AMU35" s="49"/>
      <c r="AMV35" s="49"/>
      <c r="AMW35" s="49"/>
      <c r="AMX35" s="49"/>
      <c r="AMY35" s="49"/>
      <c r="AMZ35" s="49"/>
      <c r="ANA35" s="49"/>
      <c r="ANB35" s="49"/>
      <c r="ANC35" s="49"/>
      <c r="AND35" s="49"/>
      <c r="ANE35" s="49"/>
      <c r="ANF35" s="49"/>
      <c r="ANG35" s="49"/>
      <c r="ANH35" s="49"/>
      <c r="ANI35" s="49"/>
      <c r="ANJ35" s="49"/>
      <c r="ANK35" s="49"/>
      <c r="ANL35" s="49"/>
      <c r="ANM35" s="49"/>
      <c r="ANN35" s="49"/>
      <c r="ANO35" s="49"/>
      <c r="ANP35" s="49"/>
      <c r="ANQ35" s="49"/>
      <c r="ANR35" s="49"/>
      <c r="ANS35" s="49"/>
      <c r="ANT35" s="49"/>
      <c r="ANU35" s="49"/>
      <c r="ANV35" s="49"/>
      <c r="ANW35" s="49"/>
      <c r="ANX35" s="49"/>
      <c r="ANY35" s="49"/>
      <c r="ANZ35" s="49"/>
      <c r="AOA35" s="49"/>
      <c r="AOB35" s="49"/>
      <c r="AOC35" s="49"/>
      <c r="AOD35" s="49"/>
      <c r="AOE35" s="49"/>
      <c r="AOF35" s="49"/>
      <c r="AOG35" s="49"/>
      <c r="AOH35" s="49"/>
      <c r="AOI35" s="49"/>
      <c r="AOJ35" s="49"/>
      <c r="AOK35" s="49"/>
      <c r="AOL35" s="49"/>
      <c r="AOM35" s="49"/>
      <c r="AON35" s="49"/>
      <c r="AOO35" s="49"/>
      <c r="AOP35" s="49"/>
      <c r="AOQ35" s="49"/>
      <c r="AOR35" s="49"/>
      <c r="AOS35" s="49"/>
      <c r="AOT35" s="49"/>
      <c r="AOU35" s="49"/>
      <c r="AOV35" s="49"/>
      <c r="AOW35" s="49"/>
      <c r="AOX35" s="49"/>
      <c r="AOY35" s="49"/>
      <c r="AOZ35" s="49"/>
      <c r="APA35" s="49"/>
      <c r="APB35" s="49"/>
      <c r="APC35" s="49"/>
      <c r="APD35" s="49"/>
      <c r="APE35" s="49"/>
      <c r="APF35" s="49"/>
      <c r="APG35" s="49"/>
      <c r="APH35" s="49"/>
      <c r="API35" s="49"/>
      <c r="APJ35" s="49"/>
      <c r="APK35" s="49"/>
      <c r="APL35" s="49"/>
      <c r="APM35" s="49"/>
      <c r="APN35" s="49"/>
      <c r="APO35" s="49"/>
      <c r="APP35" s="49"/>
      <c r="APQ35" s="49"/>
      <c r="APR35" s="49"/>
      <c r="APS35" s="49"/>
      <c r="APT35" s="49"/>
      <c r="APU35" s="49"/>
      <c r="APV35" s="49"/>
      <c r="APW35" s="49"/>
      <c r="APX35" s="49"/>
      <c r="APY35" s="49"/>
      <c r="APZ35" s="49"/>
      <c r="AQA35" s="49"/>
      <c r="AQB35" s="49"/>
      <c r="AQC35" s="49"/>
      <c r="AQD35" s="49"/>
      <c r="AQE35" s="49"/>
      <c r="AQF35" s="49"/>
      <c r="AQG35" s="49"/>
      <c r="AQH35" s="49"/>
      <c r="AQI35" s="49"/>
      <c r="AQJ35" s="49"/>
      <c r="AQK35" s="49"/>
      <c r="AQL35" s="49"/>
      <c r="AQM35" s="49"/>
      <c r="AQN35" s="49"/>
      <c r="AQO35" s="49"/>
      <c r="AQP35" s="49"/>
      <c r="AQQ35" s="49"/>
      <c r="AQR35" s="49"/>
      <c r="AQS35" s="49"/>
      <c r="AQT35" s="49"/>
      <c r="AQU35" s="49"/>
      <c r="AQV35" s="49"/>
      <c r="AQW35" s="49"/>
      <c r="AQX35" s="49"/>
      <c r="AQY35" s="49"/>
      <c r="AQZ35" s="49"/>
      <c r="ARA35" s="49"/>
      <c r="ARB35" s="49"/>
      <c r="ARC35" s="49"/>
      <c r="ARD35" s="49"/>
      <c r="ARE35" s="49"/>
      <c r="ARF35" s="49"/>
      <c r="ARG35" s="49"/>
      <c r="ARH35" s="49"/>
      <c r="ARI35" s="49"/>
      <c r="ARJ35" s="49"/>
      <c r="ARK35" s="49"/>
      <c r="ARL35" s="49"/>
      <c r="ARM35" s="49"/>
      <c r="ARN35" s="49"/>
      <c r="ARO35" s="49"/>
      <c r="ARP35" s="49"/>
      <c r="ARQ35" s="49"/>
      <c r="ARR35" s="49"/>
      <c r="ARS35" s="49"/>
      <c r="ART35" s="49"/>
      <c r="ARU35" s="49"/>
      <c r="ARV35" s="49"/>
      <c r="ARW35" s="49"/>
      <c r="ARX35" s="49"/>
      <c r="ARY35" s="49"/>
      <c r="ARZ35" s="49"/>
      <c r="ASA35" s="49"/>
      <c r="ASB35" s="49"/>
      <c r="ASC35" s="49"/>
      <c r="ASD35" s="49"/>
      <c r="ASE35" s="49"/>
      <c r="ASF35" s="49"/>
      <c r="ASG35" s="49"/>
      <c r="ASH35" s="49"/>
      <c r="ASI35" s="49"/>
      <c r="ASJ35" s="49"/>
      <c r="ASK35" s="49"/>
      <c r="ASL35" s="49"/>
      <c r="ASM35" s="49"/>
      <c r="ASN35" s="49"/>
      <c r="ASO35" s="49"/>
      <c r="ASP35" s="49"/>
      <c r="ASQ35" s="49"/>
      <c r="ASR35" s="49"/>
      <c r="ASS35" s="49"/>
      <c r="AST35" s="49"/>
      <c r="ASU35" s="49"/>
      <c r="ASV35" s="49"/>
      <c r="ASW35" s="49"/>
      <c r="ASX35" s="49"/>
      <c r="ASY35" s="49"/>
      <c r="ASZ35" s="49"/>
      <c r="ATA35" s="49"/>
      <c r="ATB35" s="49"/>
      <c r="ATC35" s="49"/>
      <c r="ATD35" s="49"/>
      <c r="ATE35" s="49"/>
      <c r="ATF35" s="49"/>
      <c r="ATG35" s="49"/>
      <c r="ATH35" s="49"/>
      <c r="ATI35" s="49"/>
      <c r="ATJ35" s="49"/>
      <c r="ATK35" s="49"/>
      <c r="ATL35" s="49"/>
      <c r="ATM35" s="49"/>
      <c r="ATN35" s="49"/>
      <c r="ATO35" s="49"/>
      <c r="ATP35" s="49"/>
      <c r="ATQ35" s="49"/>
      <c r="ATR35" s="49"/>
      <c r="ATS35" s="49"/>
      <c r="ATT35" s="49"/>
      <c r="ATU35" s="49"/>
      <c r="ATV35" s="49"/>
      <c r="ATW35" s="49"/>
      <c r="ATX35" s="49"/>
      <c r="ATY35" s="49"/>
      <c r="ATZ35" s="49"/>
      <c r="AUA35" s="49"/>
      <c r="AUB35" s="49"/>
      <c r="AUC35" s="49"/>
      <c r="AUD35" s="49"/>
      <c r="AUE35" s="49"/>
      <c r="AUF35" s="49"/>
      <c r="AUG35" s="49"/>
      <c r="AUH35" s="49"/>
      <c r="AUI35" s="49"/>
      <c r="AUJ35" s="49"/>
      <c r="AUK35" s="49"/>
      <c r="AUL35" s="49"/>
      <c r="AUM35" s="49"/>
      <c r="AUN35" s="49"/>
      <c r="AUO35" s="49"/>
      <c r="AUP35" s="49"/>
      <c r="AUQ35" s="49"/>
      <c r="AUR35" s="49"/>
      <c r="AUS35" s="49"/>
      <c r="AUT35" s="49"/>
      <c r="AUU35" s="49"/>
      <c r="AUV35" s="49"/>
      <c r="AUW35" s="49"/>
      <c r="AUX35" s="49"/>
      <c r="AUY35" s="49"/>
      <c r="AUZ35" s="49"/>
      <c r="AVA35" s="49"/>
      <c r="AVB35" s="49"/>
      <c r="AVC35" s="49"/>
      <c r="AVD35" s="49"/>
      <c r="AVE35" s="49"/>
      <c r="AVF35" s="49"/>
      <c r="AVG35" s="49"/>
      <c r="AVH35" s="49"/>
      <c r="AVI35" s="49"/>
      <c r="AVJ35" s="49"/>
      <c r="AVK35" s="49"/>
      <c r="AVL35" s="49"/>
      <c r="AVM35" s="49"/>
      <c r="AVN35" s="49"/>
      <c r="AVO35" s="49"/>
      <c r="AVP35" s="49"/>
      <c r="AVQ35" s="49"/>
      <c r="AVR35" s="49"/>
      <c r="AVS35" s="49"/>
      <c r="AVT35" s="49"/>
      <c r="AVU35" s="49"/>
      <c r="AVV35" s="49"/>
      <c r="AVW35" s="49"/>
      <c r="AVX35" s="49"/>
      <c r="AVY35" s="49"/>
      <c r="AVZ35" s="49"/>
      <c r="AWA35" s="49"/>
      <c r="AWB35" s="49"/>
      <c r="AWC35" s="49"/>
      <c r="AWD35" s="49"/>
      <c r="AWE35" s="49"/>
      <c r="AWF35" s="49"/>
      <c r="AWG35" s="49"/>
      <c r="AWH35" s="49"/>
      <c r="AWI35" s="49"/>
      <c r="AWJ35" s="49"/>
      <c r="AWK35" s="49"/>
      <c r="AWL35" s="49"/>
      <c r="AWM35" s="49"/>
      <c r="AWN35" s="49"/>
      <c r="AWO35" s="49"/>
      <c r="AWP35" s="49"/>
      <c r="AWQ35" s="49"/>
      <c r="AWR35" s="49"/>
      <c r="AWS35" s="49"/>
      <c r="AWT35" s="49"/>
      <c r="AWU35" s="49"/>
      <c r="AWV35" s="49"/>
      <c r="AWW35" s="49"/>
      <c r="AWX35" s="49"/>
      <c r="AWY35" s="49"/>
      <c r="AWZ35" s="49"/>
      <c r="AXA35" s="49"/>
      <c r="AXB35" s="49"/>
      <c r="AXC35" s="49"/>
      <c r="AXD35" s="49"/>
      <c r="AXE35" s="49"/>
      <c r="AXF35" s="49"/>
      <c r="AXG35" s="49"/>
      <c r="AXH35" s="49"/>
      <c r="AXI35" s="49"/>
      <c r="AXJ35" s="49"/>
      <c r="AXK35" s="49"/>
      <c r="AXL35" s="49"/>
      <c r="AXM35" s="49"/>
      <c r="AXN35" s="49"/>
      <c r="AXO35" s="49"/>
      <c r="AXP35" s="49"/>
      <c r="AXQ35" s="49"/>
      <c r="AXR35" s="49"/>
      <c r="AXS35" s="49"/>
      <c r="AXT35" s="49"/>
      <c r="AXU35" s="49"/>
      <c r="AXV35" s="49"/>
      <c r="AXW35" s="49"/>
      <c r="AXX35" s="49"/>
      <c r="AXY35" s="49"/>
      <c r="AXZ35" s="49"/>
      <c r="AYA35" s="49"/>
      <c r="AYB35" s="49"/>
      <c r="AYC35" s="49"/>
      <c r="AYD35" s="49"/>
      <c r="AYE35" s="49"/>
      <c r="AYF35" s="49"/>
      <c r="AYG35" s="49"/>
      <c r="AYH35" s="49"/>
      <c r="AYI35" s="49"/>
      <c r="AYJ35" s="49"/>
      <c r="AYK35" s="49"/>
      <c r="AYL35" s="49"/>
      <c r="AYM35" s="49"/>
      <c r="AYN35" s="49"/>
      <c r="AYO35" s="49"/>
      <c r="AYP35" s="49"/>
      <c r="AYQ35" s="49"/>
      <c r="AYR35" s="49"/>
      <c r="AYS35" s="49"/>
      <c r="AYT35" s="49"/>
      <c r="AYU35" s="49"/>
      <c r="AYV35" s="49"/>
      <c r="AYW35" s="49"/>
      <c r="AYX35" s="49"/>
      <c r="AYY35" s="49"/>
      <c r="AYZ35" s="49"/>
      <c r="AZA35" s="49"/>
      <c r="AZB35" s="49"/>
      <c r="AZC35" s="49"/>
      <c r="AZD35" s="49"/>
      <c r="AZE35" s="49"/>
      <c r="AZF35" s="49"/>
      <c r="AZG35" s="49"/>
      <c r="AZH35" s="49"/>
      <c r="AZI35" s="49"/>
      <c r="AZJ35" s="49"/>
      <c r="AZK35" s="49"/>
      <c r="AZL35" s="49"/>
      <c r="AZM35" s="49"/>
      <c r="AZN35" s="49"/>
      <c r="AZO35" s="49"/>
      <c r="AZP35" s="49"/>
      <c r="AZQ35" s="49"/>
      <c r="AZR35" s="49"/>
      <c r="AZS35" s="49"/>
      <c r="AZT35" s="49"/>
      <c r="AZU35" s="49"/>
      <c r="AZV35" s="49"/>
      <c r="AZW35" s="49"/>
      <c r="AZX35" s="49"/>
      <c r="AZY35" s="49"/>
      <c r="AZZ35" s="49"/>
      <c r="BAA35" s="49"/>
      <c r="BAB35" s="49"/>
      <c r="BAC35" s="49"/>
      <c r="BAD35" s="49"/>
      <c r="BAE35" s="49"/>
      <c r="BAF35" s="49"/>
      <c r="BAG35" s="49"/>
      <c r="BAH35" s="49"/>
      <c r="BAI35" s="49"/>
      <c r="BAJ35" s="49"/>
      <c r="BAK35" s="49"/>
      <c r="BAL35" s="49"/>
      <c r="BAM35" s="49"/>
      <c r="BAN35" s="49"/>
      <c r="BAO35" s="49"/>
      <c r="BAP35" s="49"/>
      <c r="BAQ35" s="49"/>
      <c r="BAR35" s="49"/>
      <c r="BAS35" s="49"/>
      <c r="BAT35" s="49"/>
      <c r="BAU35" s="49"/>
      <c r="BAV35" s="49"/>
      <c r="BAW35" s="49"/>
      <c r="BAX35" s="49"/>
      <c r="BAY35" s="49"/>
      <c r="BAZ35" s="49"/>
      <c r="BBA35" s="49"/>
      <c r="BBB35" s="49"/>
      <c r="BBC35" s="49"/>
      <c r="BBD35" s="49"/>
      <c r="BBE35" s="49"/>
      <c r="BBF35" s="49"/>
      <c r="BBG35" s="49"/>
      <c r="BBH35" s="49"/>
      <c r="BBI35" s="49"/>
      <c r="BBJ35" s="49"/>
      <c r="BBK35" s="49"/>
      <c r="BBL35" s="49"/>
      <c r="BBM35" s="49"/>
      <c r="BBN35" s="49"/>
      <c r="BBO35" s="49"/>
      <c r="BBP35" s="49"/>
      <c r="BBQ35" s="49"/>
      <c r="BBR35" s="49"/>
      <c r="BBS35" s="49"/>
      <c r="BBT35" s="49"/>
      <c r="BBU35" s="49"/>
      <c r="BBV35" s="49"/>
      <c r="BBW35" s="49"/>
      <c r="BBX35" s="49"/>
      <c r="BBY35" s="49"/>
      <c r="BBZ35" s="49"/>
      <c r="BCA35" s="49"/>
      <c r="BCB35" s="49"/>
      <c r="BCC35" s="49"/>
      <c r="BCD35" s="49"/>
      <c r="BCE35" s="49"/>
      <c r="BCF35" s="49"/>
      <c r="BCG35" s="49"/>
      <c r="BCH35" s="49"/>
      <c r="BCI35" s="49"/>
      <c r="BCJ35" s="49"/>
      <c r="BCK35" s="49"/>
      <c r="BCL35" s="49"/>
      <c r="BCM35" s="49"/>
      <c r="BCN35" s="49"/>
    </row>
    <row r="36" spans="1:1444" s="48" customFormat="1" ht="55.5" customHeight="1">
      <c r="B36" s="121" t="s">
        <v>7</v>
      </c>
      <c r="C36" s="121"/>
      <c r="D36" s="122">
        <f t="shared" ref="D36:N36" si="1">SUM(D5:D35)</f>
        <v>1400</v>
      </c>
      <c r="E36" s="122">
        <f t="shared" si="1"/>
        <v>2824.0800000000454</v>
      </c>
      <c r="F36" s="122">
        <f t="shared" si="1"/>
        <v>0</v>
      </c>
      <c r="G36" s="122">
        <f t="shared" si="1"/>
        <v>411.77999999999884</v>
      </c>
      <c r="H36" s="122">
        <f t="shared" si="1"/>
        <v>926</v>
      </c>
      <c r="I36" s="122">
        <f t="shared" si="1"/>
        <v>1140</v>
      </c>
      <c r="J36" s="122">
        <f t="shared" si="1"/>
        <v>31629.700000000004</v>
      </c>
      <c r="K36" s="122">
        <f t="shared" si="1"/>
        <v>35553.434699999845</v>
      </c>
      <c r="L36" s="122">
        <f t="shared" si="1"/>
        <v>52</v>
      </c>
      <c r="M36" s="122">
        <f t="shared" si="1"/>
        <v>0</v>
      </c>
      <c r="N36" s="142">
        <f t="shared" si="1"/>
        <v>74274.994699999894</v>
      </c>
      <c r="O36" s="57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  <c r="FD36" s="49"/>
      <c r="FE36" s="49"/>
      <c r="FF36" s="49"/>
      <c r="FG36" s="49"/>
      <c r="FH36" s="49"/>
      <c r="FI36" s="49"/>
      <c r="FJ36" s="49"/>
      <c r="FK36" s="49"/>
      <c r="FL36" s="49"/>
      <c r="FM36" s="49"/>
      <c r="FN36" s="49"/>
      <c r="FO36" s="49"/>
      <c r="FP36" s="49"/>
      <c r="FQ36" s="49"/>
      <c r="FR36" s="49"/>
      <c r="FS36" s="49"/>
      <c r="FT36" s="49"/>
      <c r="FU36" s="49"/>
      <c r="FV36" s="49"/>
      <c r="FW36" s="49"/>
      <c r="FX36" s="49"/>
      <c r="FY36" s="49"/>
      <c r="FZ36" s="49"/>
      <c r="GA36" s="49"/>
      <c r="GB36" s="49"/>
      <c r="GC36" s="49"/>
      <c r="GD36" s="49"/>
      <c r="GE36" s="49"/>
      <c r="GF36" s="49"/>
      <c r="GG36" s="49"/>
      <c r="GH36" s="49"/>
      <c r="GI36" s="49"/>
      <c r="GJ36" s="49"/>
      <c r="GK36" s="49"/>
      <c r="GL36" s="49"/>
      <c r="GM36" s="49"/>
      <c r="GN36" s="49"/>
      <c r="GO36" s="49"/>
      <c r="GP36" s="49"/>
      <c r="GQ36" s="49"/>
      <c r="GR36" s="49"/>
      <c r="GS36" s="49"/>
      <c r="GT36" s="49"/>
      <c r="GU36" s="49"/>
      <c r="GV36" s="49"/>
      <c r="GW36" s="49"/>
      <c r="GX36" s="49"/>
      <c r="GY36" s="49"/>
      <c r="GZ36" s="49"/>
      <c r="HA36" s="49"/>
      <c r="HB36" s="49"/>
      <c r="HC36" s="49"/>
      <c r="HD36" s="49"/>
      <c r="HE36" s="49"/>
      <c r="HF36" s="49"/>
      <c r="HG36" s="49"/>
      <c r="HH36" s="49"/>
      <c r="HI36" s="49"/>
      <c r="HJ36" s="49"/>
      <c r="HK36" s="49"/>
      <c r="HL36" s="49"/>
      <c r="HM36" s="49"/>
      <c r="HN36" s="49"/>
      <c r="HO36" s="49"/>
      <c r="HP36" s="49"/>
      <c r="HQ36" s="49"/>
      <c r="HR36" s="49"/>
      <c r="HS36" s="49"/>
      <c r="HT36" s="49"/>
      <c r="HU36" s="49"/>
      <c r="HV36" s="49"/>
      <c r="HW36" s="49"/>
      <c r="HX36" s="49"/>
      <c r="HY36" s="49"/>
      <c r="HZ36" s="49"/>
      <c r="IA36" s="49"/>
      <c r="IB36" s="49"/>
      <c r="IC36" s="49"/>
      <c r="ID36" s="49"/>
      <c r="IE36" s="49"/>
      <c r="IF36" s="49"/>
      <c r="IG36" s="49"/>
      <c r="IH36" s="49"/>
      <c r="II36" s="49"/>
      <c r="IJ36" s="49"/>
      <c r="IK36" s="49"/>
      <c r="IL36" s="49"/>
      <c r="IM36" s="49"/>
      <c r="IN36" s="49"/>
      <c r="IO36" s="49"/>
      <c r="IP36" s="49"/>
      <c r="IQ36" s="49"/>
      <c r="IR36" s="49"/>
      <c r="IS36" s="49"/>
      <c r="IT36" s="49"/>
      <c r="IU36" s="49"/>
      <c r="IV36" s="49"/>
      <c r="IW36" s="49"/>
      <c r="IX36" s="49"/>
      <c r="IY36" s="49"/>
      <c r="IZ36" s="49"/>
      <c r="JA36" s="49"/>
      <c r="JB36" s="49"/>
      <c r="JC36" s="49"/>
      <c r="JD36" s="49"/>
      <c r="JE36" s="49"/>
      <c r="JF36" s="49"/>
      <c r="JG36" s="49"/>
      <c r="JH36" s="49"/>
      <c r="JI36" s="49"/>
      <c r="JJ36" s="49"/>
      <c r="JK36" s="49"/>
      <c r="JL36" s="49"/>
      <c r="JM36" s="49"/>
      <c r="JN36" s="49"/>
      <c r="JO36" s="49"/>
      <c r="JP36" s="49"/>
      <c r="JQ36" s="49"/>
      <c r="JR36" s="49"/>
      <c r="JS36" s="49"/>
      <c r="JT36" s="49"/>
      <c r="JU36" s="49"/>
      <c r="JV36" s="49"/>
      <c r="JW36" s="49"/>
      <c r="JX36" s="49"/>
      <c r="JY36" s="49"/>
      <c r="JZ36" s="49"/>
      <c r="KA36" s="49"/>
      <c r="KB36" s="49"/>
      <c r="KC36" s="49"/>
      <c r="KD36" s="49"/>
      <c r="KE36" s="49"/>
      <c r="KF36" s="49"/>
      <c r="KG36" s="49"/>
      <c r="KH36" s="49"/>
      <c r="KI36" s="49"/>
      <c r="KJ36" s="49"/>
      <c r="KK36" s="49"/>
      <c r="KL36" s="49"/>
      <c r="KM36" s="49"/>
      <c r="KN36" s="49"/>
      <c r="KO36" s="49"/>
      <c r="KP36" s="49"/>
      <c r="KQ36" s="49"/>
      <c r="KR36" s="49"/>
      <c r="KS36" s="49"/>
      <c r="KT36" s="49"/>
      <c r="KU36" s="49"/>
      <c r="KV36" s="49"/>
      <c r="KW36" s="49"/>
      <c r="KX36" s="49"/>
      <c r="KY36" s="49"/>
      <c r="KZ36" s="49"/>
      <c r="LA36" s="49"/>
      <c r="LB36" s="49"/>
      <c r="LC36" s="49"/>
      <c r="LD36" s="49"/>
      <c r="LE36" s="49"/>
      <c r="LF36" s="49"/>
      <c r="LG36" s="49"/>
      <c r="LH36" s="49"/>
      <c r="LI36" s="49"/>
      <c r="LJ36" s="49"/>
      <c r="LK36" s="49"/>
      <c r="LL36" s="49"/>
      <c r="LM36" s="49"/>
      <c r="LN36" s="49"/>
      <c r="LO36" s="49"/>
      <c r="LP36" s="49"/>
      <c r="LQ36" s="49"/>
      <c r="LR36" s="49"/>
      <c r="LS36" s="49"/>
      <c r="LT36" s="49"/>
      <c r="LU36" s="49"/>
      <c r="LV36" s="49"/>
      <c r="LW36" s="49"/>
      <c r="LX36" s="49"/>
      <c r="LY36" s="49"/>
      <c r="LZ36" s="49"/>
      <c r="MA36" s="49"/>
      <c r="MB36" s="49"/>
      <c r="MC36" s="49"/>
      <c r="MD36" s="49"/>
      <c r="ME36" s="49"/>
      <c r="MF36" s="49"/>
      <c r="MG36" s="49"/>
      <c r="MH36" s="49"/>
      <c r="MI36" s="49"/>
      <c r="MJ36" s="49"/>
      <c r="MK36" s="49"/>
      <c r="ML36" s="49"/>
      <c r="MM36" s="49"/>
      <c r="MN36" s="49"/>
      <c r="MO36" s="49"/>
      <c r="MP36" s="49"/>
      <c r="MQ36" s="49"/>
      <c r="MR36" s="49"/>
      <c r="MS36" s="49"/>
      <c r="MT36" s="49"/>
      <c r="MU36" s="49"/>
      <c r="MV36" s="49"/>
      <c r="MW36" s="49"/>
      <c r="MX36" s="49"/>
      <c r="MY36" s="49"/>
      <c r="MZ36" s="49"/>
      <c r="NA36" s="49"/>
      <c r="NB36" s="49"/>
      <c r="NC36" s="49"/>
      <c r="ND36" s="49"/>
      <c r="NE36" s="49"/>
      <c r="NF36" s="49"/>
      <c r="NG36" s="49"/>
      <c r="NH36" s="49"/>
      <c r="NI36" s="49"/>
      <c r="NJ36" s="49"/>
      <c r="NK36" s="49"/>
      <c r="NL36" s="49"/>
      <c r="NM36" s="49"/>
      <c r="NN36" s="49"/>
      <c r="NO36" s="49"/>
      <c r="NP36" s="49"/>
      <c r="NQ36" s="49"/>
      <c r="NR36" s="49"/>
      <c r="NS36" s="49"/>
      <c r="NT36" s="49"/>
      <c r="NU36" s="49"/>
      <c r="NV36" s="49"/>
      <c r="NW36" s="49"/>
      <c r="NX36" s="49"/>
      <c r="NY36" s="49"/>
      <c r="NZ36" s="49"/>
      <c r="OA36" s="49"/>
      <c r="OB36" s="49"/>
      <c r="OC36" s="49"/>
      <c r="OD36" s="49"/>
      <c r="OE36" s="49"/>
      <c r="OF36" s="49"/>
      <c r="OG36" s="49"/>
      <c r="OH36" s="49"/>
      <c r="OI36" s="49"/>
      <c r="OJ36" s="49"/>
      <c r="OK36" s="49"/>
      <c r="OL36" s="49"/>
      <c r="OM36" s="49"/>
      <c r="ON36" s="49"/>
      <c r="OO36" s="49"/>
      <c r="OP36" s="49"/>
      <c r="OQ36" s="49"/>
      <c r="OR36" s="49"/>
      <c r="OS36" s="49"/>
      <c r="OT36" s="49"/>
      <c r="OU36" s="49"/>
      <c r="OV36" s="49"/>
      <c r="OW36" s="49"/>
      <c r="OX36" s="49"/>
      <c r="OY36" s="49"/>
      <c r="OZ36" s="49"/>
      <c r="PA36" s="49"/>
      <c r="PB36" s="49"/>
      <c r="PC36" s="49"/>
      <c r="PD36" s="49"/>
      <c r="PE36" s="49"/>
      <c r="PF36" s="49"/>
      <c r="PG36" s="49"/>
      <c r="PH36" s="49"/>
      <c r="PI36" s="49"/>
      <c r="PJ36" s="49"/>
      <c r="PK36" s="49"/>
      <c r="PL36" s="49"/>
      <c r="PM36" s="49"/>
      <c r="PN36" s="49"/>
      <c r="PO36" s="49"/>
      <c r="PP36" s="49"/>
      <c r="PQ36" s="49"/>
      <c r="PR36" s="49"/>
      <c r="PS36" s="49"/>
      <c r="PT36" s="49"/>
      <c r="PU36" s="49"/>
      <c r="PV36" s="49"/>
      <c r="PW36" s="49"/>
      <c r="PX36" s="49"/>
      <c r="PY36" s="49"/>
      <c r="PZ36" s="49"/>
      <c r="QA36" s="49"/>
      <c r="QB36" s="49"/>
      <c r="QC36" s="49"/>
      <c r="QD36" s="49"/>
      <c r="QE36" s="49"/>
      <c r="QF36" s="49"/>
      <c r="QG36" s="49"/>
      <c r="QH36" s="49"/>
      <c r="QI36" s="49"/>
      <c r="QJ36" s="49"/>
      <c r="QK36" s="49"/>
      <c r="QL36" s="49"/>
      <c r="QM36" s="49"/>
      <c r="QN36" s="49"/>
      <c r="QO36" s="49"/>
      <c r="QP36" s="49"/>
      <c r="QQ36" s="49"/>
      <c r="QR36" s="49"/>
      <c r="QS36" s="49"/>
      <c r="QT36" s="49"/>
      <c r="QU36" s="49"/>
      <c r="QV36" s="49"/>
      <c r="QW36" s="49"/>
      <c r="QX36" s="49"/>
      <c r="QY36" s="49"/>
      <c r="QZ36" s="49"/>
      <c r="RA36" s="49"/>
      <c r="RB36" s="49"/>
      <c r="RC36" s="49"/>
      <c r="RD36" s="49"/>
      <c r="RE36" s="49"/>
      <c r="RF36" s="49"/>
      <c r="RG36" s="49"/>
      <c r="RH36" s="49"/>
      <c r="RI36" s="49"/>
      <c r="RJ36" s="49"/>
      <c r="RK36" s="49"/>
      <c r="RL36" s="49"/>
      <c r="RM36" s="49"/>
      <c r="RN36" s="49"/>
      <c r="RO36" s="49"/>
      <c r="RP36" s="49"/>
      <c r="RQ36" s="49"/>
      <c r="RR36" s="49"/>
      <c r="RS36" s="49"/>
      <c r="RT36" s="49"/>
      <c r="RU36" s="49"/>
      <c r="RV36" s="49"/>
      <c r="RW36" s="49"/>
      <c r="RX36" s="49"/>
      <c r="RY36" s="49"/>
      <c r="RZ36" s="49"/>
      <c r="SA36" s="49"/>
      <c r="SB36" s="49"/>
      <c r="SC36" s="49"/>
      <c r="SD36" s="49"/>
      <c r="SE36" s="49"/>
      <c r="SF36" s="49"/>
      <c r="SG36" s="49"/>
      <c r="SH36" s="49"/>
      <c r="SI36" s="49"/>
      <c r="SJ36" s="49"/>
      <c r="SK36" s="49"/>
      <c r="SL36" s="49"/>
      <c r="SM36" s="49"/>
      <c r="SN36" s="49"/>
      <c r="SO36" s="49"/>
      <c r="SP36" s="49"/>
      <c r="SQ36" s="49"/>
      <c r="SR36" s="49"/>
      <c r="SS36" s="49"/>
      <c r="ST36" s="49"/>
      <c r="SU36" s="49"/>
      <c r="SV36" s="49"/>
      <c r="SW36" s="49"/>
      <c r="SX36" s="49"/>
      <c r="SY36" s="49"/>
      <c r="SZ36" s="49"/>
      <c r="TA36" s="49"/>
      <c r="TB36" s="49"/>
      <c r="TC36" s="49"/>
      <c r="TD36" s="49"/>
      <c r="TE36" s="49"/>
      <c r="TF36" s="49"/>
      <c r="TG36" s="49"/>
      <c r="TH36" s="49"/>
      <c r="TI36" s="49"/>
      <c r="TJ36" s="49"/>
      <c r="TK36" s="49"/>
      <c r="TL36" s="49"/>
      <c r="TM36" s="49"/>
      <c r="TN36" s="49"/>
      <c r="TO36" s="49"/>
      <c r="TP36" s="49"/>
      <c r="TQ36" s="49"/>
      <c r="TR36" s="49"/>
      <c r="TS36" s="49"/>
      <c r="TT36" s="49"/>
      <c r="TU36" s="49"/>
      <c r="TV36" s="49"/>
      <c r="TW36" s="49"/>
      <c r="TX36" s="49"/>
      <c r="TY36" s="49"/>
      <c r="TZ36" s="49"/>
      <c r="UA36" s="49"/>
      <c r="UB36" s="49"/>
      <c r="UC36" s="49"/>
      <c r="UD36" s="49"/>
      <c r="UE36" s="49"/>
      <c r="UF36" s="49"/>
      <c r="UG36" s="49"/>
      <c r="UH36" s="49"/>
      <c r="UI36" s="49"/>
      <c r="UJ36" s="49"/>
      <c r="UK36" s="49"/>
      <c r="UL36" s="49"/>
      <c r="UM36" s="49"/>
      <c r="UN36" s="49"/>
      <c r="UO36" s="49"/>
      <c r="UP36" s="49"/>
      <c r="UQ36" s="49"/>
      <c r="UR36" s="49"/>
      <c r="US36" s="49"/>
      <c r="UT36" s="49"/>
      <c r="UU36" s="49"/>
      <c r="UV36" s="49"/>
      <c r="UW36" s="49"/>
      <c r="UX36" s="49"/>
      <c r="UY36" s="49"/>
      <c r="UZ36" s="49"/>
      <c r="VA36" s="49"/>
      <c r="VB36" s="49"/>
      <c r="VC36" s="49"/>
      <c r="VD36" s="49"/>
      <c r="VE36" s="49"/>
      <c r="VF36" s="49"/>
      <c r="VG36" s="49"/>
      <c r="VH36" s="49"/>
      <c r="VI36" s="49"/>
      <c r="VJ36" s="49"/>
      <c r="VK36" s="49"/>
      <c r="VL36" s="49"/>
      <c r="VM36" s="49"/>
      <c r="VN36" s="49"/>
      <c r="VO36" s="49"/>
      <c r="VP36" s="49"/>
      <c r="VQ36" s="49"/>
      <c r="VR36" s="49"/>
      <c r="VS36" s="49"/>
      <c r="VT36" s="49"/>
      <c r="VU36" s="49"/>
      <c r="VV36" s="49"/>
      <c r="VW36" s="49"/>
      <c r="VX36" s="49"/>
      <c r="VY36" s="49"/>
      <c r="VZ36" s="49"/>
      <c r="WA36" s="49"/>
      <c r="WB36" s="49"/>
      <c r="WC36" s="49"/>
      <c r="WD36" s="49"/>
      <c r="WE36" s="49"/>
      <c r="WF36" s="49"/>
      <c r="WG36" s="49"/>
      <c r="WH36" s="49"/>
      <c r="WI36" s="49"/>
      <c r="WJ36" s="49"/>
      <c r="WK36" s="49"/>
      <c r="WL36" s="49"/>
      <c r="WM36" s="49"/>
      <c r="WN36" s="49"/>
      <c r="WO36" s="49"/>
      <c r="WP36" s="49"/>
      <c r="WQ36" s="49"/>
      <c r="WR36" s="49"/>
      <c r="WS36" s="49"/>
      <c r="WT36" s="49"/>
      <c r="WU36" s="49"/>
      <c r="WV36" s="49"/>
      <c r="WW36" s="49"/>
      <c r="WX36" s="49"/>
      <c r="WY36" s="49"/>
      <c r="WZ36" s="49"/>
      <c r="XA36" s="49"/>
      <c r="XB36" s="49"/>
      <c r="XC36" s="49"/>
      <c r="XD36" s="49"/>
      <c r="XE36" s="49"/>
      <c r="XF36" s="49"/>
      <c r="XG36" s="49"/>
      <c r="XH36" s="49"/>
      <c r="XI36" s="49"/>
      <c r="XJ36" s="49"/>
      <c r="XK36" s="49"/>
      <c r="XL36" s="49"/>
      <c r="XM36" s="49"/>
      <c r="XN36" s="49"/>
      <c r="XO36" s="49"/>
      <c r="XP36" s="49"/>
      <c r="XQ36" s="49"/>
      <c r="XR36" s="49"/>
      <c r="XS36" s="49"/>
      <c r="XT36" s="49"/>
      <c r="XU36" s="49"/>
      <c r="XV36" s="49"/>
      <c r="XW36" s="49"/>
      <c r="XX36" s="49"/>
      <c r="XY36" s="49"/>
      <c r="XZ36" s="49"/>
      <c r="YA36" s="49"/>
      <c r="YB36" s="49"/>
      <c r="YC36" s="49"/>
      <c r="YD36" s="49"/>
      <c r="YE36" s="49"/>
      <c r="YF36" s="49"/>
      <c r="YG36" s="49"/>
      <c r="YH36" s="49"/>
      <c r="YI36" s="49"/>
      <c r="YJ36" s="49"/>
      <c r="YK36" s="49"/>
      <c r="YL36" s="49"/>
      <c r="YM36" s="49"/>
      <c r="YN36" s="49"/>
      <c r="YO36" s="49"/>
      <c r="YP36" s="49"/>
      <c r="YQ36" s="49"/>
      <c r="YR36" s="49"/>
      <c r="YS36" s="49"/>
      <c r="YT36" s="49"/>
      <c r="YU36" s="49"/>
      <c r="YV36" s="49"/>
      <c r="YW36" s="49"/>
      <c r="YX36" s="49"/>
      <c r="YY36" s="49"/>
      <c r="YZ36" s="49"/>
      <c r="ZA36" s="49"/>
      <c r="ZB36" s="49"/>
      <c r="ZC36" s="49"/>
      <c r="ZD36" s="49"/>
      <c r="ZE36" s="49"/>
      <c r="ZF36" s="49"/>
      <c r="ZG36" s="49"/>
      <c r="ZH36" s="49"/>
      <c r="ZI36" s="49"/>
      <c r="ZJ36" s="49"/>
      <c r="ZK36" s="49"/>
      <c r="ZL36" s="49"/>
      <c r="ZM36" s="49"/>
      <c r="ZN36" s="49"/>
      <c r="ZO36" s="49"/>
      <c r="ZP36" s="49"/>
      <c r="ZQ36" s="49"/>
      <c r="ZR36" s="49"/>
      <c r="ZS36" s="49"/>
      <c r="ZT36" s="49"/>
      <c r="ZU36" s="49"/>
      <c r="ZV36" s="49"/>
      <c r="ZW36" s="49"/>
      <c r="ZX36" s="49"/>
      <c r="ZY36" s="49"/>
      <c r="ZZ36" s="49"/>
      <c r="AAA36" s="49"/>
      <c r="AAB36" s="49"/>
      <c r="AAC36" s="49"/>
      <c r="AAD36" s="49"/>
      <c r="AAE36" s="49"/>
      <c r="AAF36" s="49"/>
      <c r="AAG36" s="49"/>
      <c r="AAH36" s="49"/>
      <c r="AAI36" s="49"/>
      <c r="AAJ36" s="49"/>
      <c r="AAK36" s="49"/>
      <c r="AAL36" s="49"/>
      <c r="AAM36" s="49"/>
      <c r="AAN36" s="49"/>
      <c r="AAO36" s="49"/>
      <c r="AAP36" s="49"/>
      <c r="AAQ36" s="49"/>
      <c r="AAR36" s="49"/>
      <c r="AAS36" s="49"/>
      <c r="AAT36" s="49"/>
      <c r="AAU36" s="49"/>
      <c r="AAV36" s="49"/>
      <c r="AAW36" s="49"/>
      <c r="AAX36" s="49"/>
      <c r="AAY36" s="49"/>
      <c r="AAZ36" s="49"/>
      <c r="ABA36" s="49"/>
      <c r="ABB36" s="49"/>
      <c r="ABC36" s="49"/>
      <c r="ABD36" s="49"/>
      <c r="ABE36" s="49"/>
      <c r="ABF36" s="49"/>
      <c r="ABG36" s="49"/>
      <c r="ABH36" s="49"/>
      <c r="ABI36" s="49"/>
      <c r="ABJ36" s="49"/>
      <c r="ABK36" s="49"/>
      <c r="ABL36" s="49"/>
      <c r="ABM36" s="49"/>
      <c r="ABN36" s="49"/>
      <c r="ABO36" s="49"/>
      <c r="ABP36" s="49"/>
      <c r="ABQ36" s="49"/>
      <c r="ABR36" s="49"/>
      <c r="ABS36" s="49"/>
      <c r="ABT36" s="49"/>
      <c r="ABU36" s="49"/>
      <c r="ABV36" s="49"/>
      <c r="ABW36" s="49"/>
      <c r="ABX36" s="49"/>
      <c r="ABY36" s="49"/>
      <c r="ABZ36" s="49"/>
      <c r="ACA36" s="49"/>
      <c r="ACB36" s="49"/>
      <c r="ACC36" s="49"/>
      <c r="ACD36" s="49"/>
      <c r="ACE36" s="49"/>
      <c r="ACF36" s="49"/>
      <c r="ACG36" s="49"/>
      <c r="ACH36" s="49"/>
      <c r="ACI36" s="49"/>
      <c r="ACJ36" s="49"/>
      <c r="ACK36" s="49"/>
      <c r="ACL36" s="49"/>
      <c r="ACM36" s="49"/>
      <c r="ACN36" s="49"/>
      <c r="ACO36" s="49"/>
      <c r="ACP36" s="49"/>
      <c r="ACQ36" s="49"/>
      <c r="ACR36" s="49"/>
      <c r="ACS36" s="49"/>
      <c r="ACT36" s="49"/>
      <c r="ACU36" s="49"/>
      <c r="ACV36" s="49"/>
      <c r="ACW36" s="49"/>
      <c r="ACX36" s="49"/>
      <c r="ACY36" s="49"/>
      <c r="ACZ36" s="49"/>
      <c r="ADA36" s="49"/>
      <c r="ADB36" s="49"/>
      <c r="ADC36" s="49"/>
      <c r="ADD36" s="49"/>
      <c r="ADE36" s="49"/>
      <c r="ADF36" s="49"/>
      <c r="ADG36" s="49"/>
      <c r="ADH36" s="49"/>
      <c r="ADI36" s="49"/>
      <c r="ADJ36" s="49"/>
      <c r="ADK36" s="49"/>
      <c r="ADL36" s="49"/>
      <c r="ADM36" s="49"/>
      <c r="ADN36" s="49"/>
      <c r="ADO36" s="49"/>
      <c r="ADP36" s="49"/>
      <c r="ADQ36" s="49"/>
      <c r="ADR36" s="49"/>
      <c r="ADS36" s="49"/>
      <c r="ADT36" s="49"/>
      <c r="ADU36" s="49"/>
      <c r="ADV36" s="49"/>
      <c r="ADW36" s="49"/>
      <c r="ADX36" s="49"/>
      <c r="ADY36" s="49"/>
      <c r="ADZ36" s="49"/>
      <c r="AEA36" s="49"/>
      <c r="AEB36" s="49"/>
      <c r="AEC36" s="49"/>
      <c r="AED36" s="49"/>
      <c r="AEE36" s="49"/>
      <c r="AEF36" s="49"/>
      <c r="AEG36" s="49"/>
      <c r="AEH36" s="49"/>
      <c r="AEI36" s="49"/>
      <c r="AEJ36" s="49"/>
      <c r="AEK36" s="49"/>
      <c r="AEL36" s="49"/>
      <c r="AEM36" s="49"/>
      <c r="AEN36" s="49"/>
      <c r="AEO36" s="49"/>
      <c r="AEP36" s="49"/>
      <c r="AEQ36" s="49"/>
      <c r="AER36" s="49"/>
      <c r="AES36" s="49"/>
      <c r="AET36" s="49"/>
      <c r="AEU36" s="49"/>
      <c r="AEV36" s="49"/>
      <c r="AEW36" s="49"/>
      <c r="AEX36" s="49"/>
      <c r="AEY36" s="49"/>
      <c r="AEZ36" s="49"/>
      <c r="AFA36" s="49"/>
      <c r="AFB36" s="49"/>
      <c r="AFC36" s="49"/>
      <c r="AFD36" s="49"/>
      <c r="AFE36" s="49"/>
      <c r="AFF36" s="49"/>
      <c r="AFG36" s="49"/>
      <c r="AFH36" s="49"/>
      <c r="AFI36" s="49"/>
      <c r="AFJ36" s="49"/>
      <c r="AFK36" s="49"/>
      <c r="AFL36" s="49"/>
      <c r="AFM36" s="49"/>
      <c r="AFN36" s="49"/>
      <c r="AFO36" s="49"/>
      <c r="AFP36" s="49"/>
      <c r="AFQ36" s="49"/>
      <c r="AFR36" s="49"/>
      <c r="AFS36" s="49"/>
      <c r="AFT36" s="49"/>
      <c r="AFU36" s="49"/>
      <c r="AFV36" s="49"/>
      <c r="AFW36" s="49"/>
      <c r="AFX36" s="49"/>
      <c r="AFY36" s="49"/>
      <c r="AFZ36" s="49"/>
      <c r="AGA36" s="49"/>
      <c r="AGB36" s="49"/>
      <c r="AGC36" s="49"/>
      <c r="AGD36" s="49"/>
      <c r="AGE36" s="49"/>
      <c r="AGF36" s="49"/>
      <c r="AGG36" s="49"/>
      <c r="AGH36" s="49"/>
      <c r="AGI36" s="49"/>
      <c r="AGJ36" s="49"/>
      <c r="AGK36" s="49"/>
      <c r="AGL36" s="49"/>
      <c r="AGM36" s="49"/>
      <c r="AGN36" s="49"/>
      <c r="AGO36" s="49"/>
      <c r="AGP36" s="49"/>
      <c r="AGQ36" s="49"/>
      <c r="AGR36" s="49"/>
      <c r="AGS36" s="49"/>
      <c r="AGT36" s="49"/>
      <c r="AGU36" s="49"/>
      <c r="AGV36" s="49"/>
      <c r="AGW36" s="49"/>
      <c r="AGX36" s="49"/>
      <c r="AGY36" s="49"/>
      <c r="AGZ36" s="49"/>
      <c r="AHA36" s="49"/>
      <c r="AHB36" s="49"/>
      <c r="AHC36" s="49"/>
      <c r="AHD36" s="49"/>
      <c r="AHE36" s="49"/>
      <c r="AHF36" s="49"/>
      <c r="AHG36" s="49"/>
      <c r="AHH36" s="49"/>
      <c r="AHI36" s="49"/>
      <c r="AHJ36" s="49"/>
      <c r="AHK36" s="49"/>
      <c r="AHL36" s="49"/>
      <c r="AHM36" s="49"/>
      <c r="AHN36" s="49"/>
      <c r="AHO36" s="49"/>
      <c r="AHP36" s="49"/>
      <c r="AHQ36" s="49"/>
      <c r="AHR36" s="49"/>
      <c r="AHS36" s="49"/>
      <c r="AHT36" s="49"/>
      <c r="AHU36" s="49"/>
      <c r="AHV36" s="49"/>
      <c r="AHW36" s="49"/>
      <c r="AHX36" s="49"/>
      <c r="AHY36" s="49"/>
      <c r="AHZ36" s="49"/>
      <c r="AIA36" s="49"/>
      <c r="AIB36" s="49"/>
      <c r="AIC36" s="49"/>
      <c r="AID36" s="49"/>
      <c r="AIE36" s="49"/>
      <c r="AIF36" s="49"/>
      <c r="AIG36" s="49"/>
      <c r="AIH36" s="49"/>
      <c r="AII36" s="49"/>
      <c r="AIJ36" s="49"/>
      <c r="AIK36" s="49"/>
      <c r="AIL36" s="49"/>
      <c r="AIM36" s="49"/>
      <c r="AIN36" s="49"/>
      <c r="AIO36" s="49"/>
      <c r="AIP36" s="49"/>
      <c r="AIQ36" s="49"/>
      <c r="AIR36" s="49"/>
      <c r="AIS36" s="49"/>
      <c r="AIT36" s="49"/>
      <c r="AIU36" s="49"/>
      <c r="AIV36" s="49"/>
      <c r="AIW36" s="49"/>
      <c r="AIX36" s="49"/>
      <c r="AIY36" s="49"/>
      <c r="AIZ36" s="49"/>
      <c r="AJA36" s="49"/>
      <c r="AJB36" s="49"/>
      <c r="AJC36" s="49"/>
      <c r="AJD36" s="49"/>
      <c r="AJE36" s="49"/>
      <c r="AJF36" s="49"/>
      <c r="AJG36" s="49"/>
      <c r="AJH36" s="49"/>
      <c r="AJI36" s="49"/>
      <c r="AJJ36" s="49"/>
      <c r="AJK36" s="49"/>
      <c r="AJL36" s="49"/>
      <c r="AJM36" s="49"/>
      <c r="AJN36" s="49"/>
      <c r="AJO36" s="49"/>
      <c r="AJP36" s="49"/>
      <c r="AJQ36" s="49"/>
      <c r="AJR36" s="49"/>
      <c r="AJS36" s="49"/>
      <c r="AJT36" s="49"/>
      <c r="AJU36" s="49"/>
      <c r="AJV36" s="49"/>
      <c r="AJW36" s="49"/>
      <c r="AJX36" s="49"/>
      <c r="AJY36" s="49"/>
      <c r="AJZ36" s="49"/>
      <c r="AKA36" s="49"/>
      <c r="AKB36" s="49"/>
      <c r="AKC36" s="49"/>
      <c r="AKD36" s="49"/>
      <c r="AKE36" s="49"/>
      <c r="AKF36" s="49"/>
      <c r="AKG36" s="49"/>
      <c r="AKH36" s="49"/>
      <c r="AKI36" s="49"/>
      <c r="AKJ36" s="49"/>
      <c r="AKK36" s="49"/>
      <c r="AKL36" s="49"/>
      <c r="AKM36" s="49"/>
      <c r="AKN36" s="49"/>
      <c r="AKO36" s="49"/>
      <c r="AKP36" s="49"/>
      <c r="AKQ36" s="49"/>
      <c r="AKR36" s="49"/>
      <c r="AKS36" s="49"/>
      <c r="AKT36" s="49"/>
      <c r="AKU36" s="49"/>
      <c r="AKV36" s="49"/>
      <c r="AKW36" s="49"/>
      <c r="AKX36" s="49"/>
      <c r="AKY36" s="49"/>
      <c r="AKZ36" s="49"/>
      <c r="ALA36" s="49"/>
      <c r="ALB36" s="49"/>
      <c r="ALC36" s="49"/>
      <c r="ALD36" s="49"/>
      <c r="ALE36" s="49"/>
      <c r="ALF36" s="49"/>
      <c r="ALG36" s="49"/>
      <c r="ALH36" s="49"/>
      <c r="ALI36" s="49"/>
      <c r="ALJ36" s="49"/>
      <c r="ALK36" s="49"/>
      <c r="ALL36" s="49"/>
      <c r="ALM36" s="49"/>
      <c r="ALN36" s="49"/>
      <c r="ALO36" s="49"/>
      <c r="ALP36" s="49"/>
      <c r="ALQ36" s="49"/>
      <c r="ALR36" s="49"/>
      <c r="ALS36" s="49"/>
      <c r="ALT36" s="49"/>
      <c r="ALU36" s="49"/>
      <c r="ALV36" s="49"/>
      <c r="ALW36" s="49"/>
      <c r="ALX36" s="49"/>
      <c r="ALY36" s="49"/>
      <c r="ALZ36" s="49"/>
      <c r="AMA36" s="49"/>
      <c r="AMB36" s="49"/>
      <c r="AMC36" s="49"/>
      <c r="AMD36" s="49"/>
      <c r="AME36" s="49"/>
      <c r="AMF36" s="49"/>
      <c r="AMG36" s="49"/>
      <c r="AMH36" s="49"/>
      <c r="AMI36" s="49"/>
      <c r="AMJ36" s="49"/>
      <c r="AMK36" s="49"/>
      <c r="AML36" s="49"/>
      <c r="AMM36" s="49"/>
      <c r="AMN36" s="49"/>
      <c r="AMO36" s="49"/>
      <c r="AMP36" s="49"/>
      <c r="AMQ36" s="49"/>
      <c r="AMR36" s="49"/>
      <c r="AMS36" s="49"/>
      <c r="AMT36" s="49"/>
      <c r="AMU36" s="49"/>
      <c r="AMV36" s="49"/>
      <c r="AMW36" s="49"/>
      <c r="AMX36" s="49"/>
      <c r="AMY36" s="49"/>
      <c r="AMZ36" s="49"/>
      <c r="ANA36" s="49"/>
      <c r="ANB36" s="49"/>
      <c r="ANC36" s="49"/>
      <c r="AND36" s="49"/>
      <c r="ANE36" s="49"/>
      <c r="ANF36" s="49"/>
      <c r="ANG36" s="49"/>
      <c r="ANH36" s="49"/>
      <c r="ANI36" s="49"/>
      <c r="ANJ36" s="49"/>
      <c r="ANK36" s="49"/>
      <c r="ANL36" s="49"/>
      <c r="ANM36" s="49"/>
      <c r="ANN36" s="49"/>
      <c r="ANO36" s="49"/>
      <c r="ANP36" s="49"/>
      <c r="ANQ36" s="49"/>
      <c r="ANR36" s="49"/>
      <c r="ANS36" s="49"/>
      <c r="ANT36" s="49"/>
      <c r="ANU36" s="49"/>
      <c r="ANV36" s="49"/>
      <c r="ANW36" s="49"/>
      <c r="ANX36" s="49"/>
      <c r="ANY36" s="49"/>
      <c r="ANZ36" s="49"/>
      <c r="AOA36" s="49"/>
      <c r="AOB36" s="49"/>
      <c r="AOC36" s="49"/>
      <c r="AOD36" s="49"/>
      <c r="AOE36" s="49"/>
      <c r="AOF36" s="49"/>
      <c r="AOG36" s="49"/>
      <c r="AOH36" s="49"/>
      <c r="AOI36" s="49"/>
      <c r="AOJ36" s="49"/>
      <c r="AOK36" s="49"/>
      <c r="AOL36" s="49"/>
      <c r="AOM36" s="49"/>
      <c r="AON36" s="49"/>
      <c r="AOO36" s="49"/>
      <c r="AOP36" s="49"/>
      <c r="AOQ36" s="49"/>
      <c r="AOR36" s="49"/>
      <c r="AOS36" s="49"/>
      <c r="AOT36" s="49"/>
      <c r="AOU36" s="49"/>
      <c r="AOV36" s="49"/>
      <c r="AOW36" s="49"/>
      <c r="AOX36" s="49"/>
      <c r="AOY36" s="49"/>
      <c r="AOZ36" s="49"/>
      <c r="APA36" s="49"/>
      <c r="APB36" s="49"/>
      <c r="APC36" s="49"/>
      <c r="APD36" s="49"/>
      <c r="APE36" s="49"/>
      <c r="APF36" s="49"/>
      <c r="APG36" s="49"/>
      <c r="APH36" s="49"/>
      <c r="API36" s="49"/>
      <c r="APJ36" s="49"/>
      <c r="APK36" s="49"/>
      <c r="APL36" s="49"/>
      <c r="APM36" s="49"/>
      <c r="APN36" s="49"/>
      <c r="APO36" s="49"/>
      <c r="APP36" s="49"/>
      <c r="APQ36" s="49"/>
      <c r="APR36" s="49"/>
      <c r="APS36" s="49"/>
      <c r="APT36" s="49"/>
      <c r="APU36" s="49"/>
      <c r="APV36" s="49"/>
      <c r="APW36" s="49"/>
      <c r="APX36" s="49"/>
      <c r="APY36" s="49"/>
      <c r="APZ36" s="49"/>
      <c r="AQA36" s="49"/>
      <c r="AQB36" s="49"/>
      <c r="AQC36" s="49"/>
      <c r="AQD36" s="49"/>
      <c r="AQE36" s="49"/>
      <c r="AQF36" s="49"/>
      <c r="AQG36" s="49"/>
      <c r="AQH36" s="49"/>
      <c r="AQI36" s="49"/>
      <c r="AQJ36" s="49"/>
      <c r="AQK36" s="49"/>
      <c r="AQL36" s="49"/>
      <c r="AQM36" s="49"/>
      <c r="AQN36" s="49"/>
      <c r="AQO36" s="49"/>
      <c r="AQP36" s="49"/>
      <c r="AQQ36" s="49"/>
      <c r="AQR36" s="49"/>
      <c r="AQS36" s="49"/>
      <c r="AQT36" s="49"/>
      <c r="AQU36" s="49"/>
      <c r="AQV36" s="49"/>
      <c r="AQW36" s="49"/>
      <c r="AQX36" s="49"/>
      <c r="AQY36" s="49"/>
      <c r="AQZ36" s="49"/>
      <c r="ARA36" s="49"/>
      <c r="ARB36" s="49"/>
      <c r="ARC36" s="49"/>
      <c r="ARD36" s="49"/>
      <c r="ARE36" s="49"/>
      <c r="ARF36" s="49"/>
      <c r="ARG36" s="49"/>
      <c r="ARH36" s="49"/>
      <c r="ARI36" s="49"/>
      <c r="ARJ36" s="49"/>
      <c r="ARK36" s="49"/>
      <c r="ARL36" s="49"/>
      <c r="ARM36" s="49"/>
      <c r="ARN36" s="49"/>
      <c r="ARO36" s="49"/>
      <c r="ARP36" s="49"/>
      <c r="ARQ36" s="49"/>
      <c r="ARR36" s="49"/>
      <c r="ARS36" s="49"/>
      <c r="ART36" s="49"/>
      <c r="ARU36" s="49"/>
      <c r="ARV36" s="49"/>
      <c r="ARW36" s="49"/>
      <c r="ARX36" s="49"/>
      <c r="ARY36" s="49"/>
      <c r="ARZ36" s="49"/>
      <c r="ASA36" s="49"/>
      <c r="ASB36" s="49"/>
      <c r="ASC36" s="49"/>
      <c r="ASD36" s="49"/>
      <c r="ASE36" s="49"/>
      <c r="ASF36" s="49"/>
      <c r="ASG36" s="49"/>
      <c r="ASH36" s="49"/>
      <c r="ASI36" s="49"/>
      <c r="ASJ36" s="49"/>
      <c r="ASK36" s="49"/>
      <c r="ASL36" s="49"/>
      <c r="ASM36" s="49"/>
      <c r="ASN36" s="49"/>
      <c r="ASO36" s="49"/>
      <c r="ASP36" s="49"/>
      <c r="ASQ36" s="49"/>
      <c r="ASR36" s="49"/>
      <c r="ASS36" s="49"/>
      <c r="AST36" s="49"/>
      <c r="ASU36" s="49"/>
      <c r="ASV36" s="49"/>
      <c r="ASW36" s="49"/>
      <c r="ASX36" s="49"/>
      <c r="ASY36" s="49"/>
      <c r="ASZ36" s="49"/>
      <c r="ATA36" s="49"/>
      <c r="ATB36" s="49"/>
      <c r="ATC36" s="49"/>
      <c r="ATD36" s="49"/>
      <c r="ATE36" s="49"/>
      <c r="ATF36" s="49"/>
      <c r="ATG36" s="49"/>
      <c r="ATH36" s="49"/>
      <c r="ATI36" s="49"/>
      <c r="ATJ36" s="49"/>
      <c r="ATK36" s="49"/>
      <c r="ATL36" s="49"/>
      <c r="ATM36" s="49"/>
      <c r="ATN36" s="49"/>
      <c r="ATO36" s="49"/>
      <c r="ATP36" s="49"/>
      <c r="ATQ36" s="49"/>
      <c r="ATR36" s="49"/>
      <c r="ATS36" s="49"/>
      <c r="ATT36" s="49"/>
      <c r="ATU36" s="49"/>
      <c r="ATV36" s="49"/>
      <c r="ATW36" s="49"/>
      <c r="ATX36" s="49"/>
      <c r="ATY36" s="49"/>
      <c r="ATZ36" s="49"/>
      <c r="AUA36" s="49"/>
      <c r="AUB36" s="49"/>
      <c r="AUC36" s="49"/>
      <c r="AUD36" s="49"/>
      <c r="AUE36" s="49"/>
      <c r="AUF36" s="49"/>
      <c r="AUG36" s="49"/>
      <c r="AUH36" s="49"/>
      <c r="AUI36" s="49"/>
      <c r="AUJ36" s="49"/>
      <c r="AUK36" s="49"/>
      <c r="AUL36" s="49"/>
      <c r="AUM36" s="49"/>
      <c r="AUN36" s="49"/>
      <c r="AUO36" s="49"/>
      <c r="AUP36" s="49"/>
      <c r="AUQ36" s="49"/>
      <c r="AUR36" s="49"/>
      <c r="AUS36" s="49"/>
      <c r="AUT36" s="49"/>
      <c r="AUU36" s="49"/>
      <c r="AUV36" s="49"/>
      <c r="AUW36" s="49"/>
      <c r="AUX36" s="49"/>
      <c r="AUY36" s="49"/>
      <c r="AUZ36" s="49"/>
      <c r="AVA36" s="49"/>
      <c r="AVB36" s="49"/>
      <c r="AVC36" s="49"/>
      <c r="AVD36" s="49"/>
      <c r="AVE36" s="49"/>
      <c r="AVF36" s="49"/>
      <c r="AVG36" s="49"/>
      <c r="AVH36" s="49"/>
      <c r="AVI36" s="49"/>
      <c r="AVJ36" s="49"/>
      <c r="AVK36" s="49"/>
      <c r="AVL36" s="49"/>
      <c r="AVM36" s="49"/>
      <c r="AVN36" s="49"/>
      <c r="AVO36" s="49"/>
      <c r="AVP36" s="49"/>
      <c r="AVQ36" s="49"/>
      <c r="AVR36" s="49"/>
      <c r="AVS36" s="49"/>
      <c r="AVT36" s="49"/>
      <c r="AVU36" s="49"/>
      <c r="AVV36" s="49"/>
      <c r="AVW36" s="49"/>
      <c r="AVX36" s="49"/>
      <c r="AVY36" s="49"/>
      <c r="AVZ36" s="49"/>
      <c r="AWA36" s="49"/>
      <c r="AWB36" s="49"/>
      <c r="AWC36" s="49"/>
      <c r="AWD36" s="49"/>
      <c r="AWE36" s="49"/>
      <c r="AWF36" s="49"/>
      <c r="AWG36" s="49"/>
      <c r="AWH36" s="49"/>
      <c r="AWI36" s="49"/>
      <c r="AWJ36" s="49"/>
      <c r="AWK36" s="49"/>
      <c r="AWL36" s="49"/>
      <c r="AWM36" s="49"/>
      <c r="AWN36" s="49"/>
      <c r="AWO36" s="49"/>
      <c r="AWP36" s="49"/>
      <c r="AWQ36" s="49"/>
      <c r="AWR36" s="49"/>
      <c r="AWS36" s="49"/>
      <c r="AWT36" s="49"/>
      <c r="AWU36" s="49"/>
      <c r="AWV36" s="49"/>
      <c r="AWW36" s="49"/>
      <c r="AWX36" s="49"/>
      <c r="AWY36" s="49"/>
      <c r="AWZ36" s="49"/>
      <c r="AXA36" s="49"/>
      <c r="AXB36" s="49"/>
      <c r="AXC36" s="49"/>
      <c r="AXD36" s="49"/>
      <c r="AXE36" s="49"/>
      <c r="AXF36" s="49"/>
      <c r="AXG36" s="49"/>
      <c r="AXH36" s="49"/>
      <c r="AXI36" s="49"/>
      <c r="AXJ36" s="49"/>
      <c r="AXK36" s="49"/>
      <c r="AXL36" s="49"/>
      <c r="AXM36" s="49"/>
      <c r="AXN36" s="49"/>
      <c r="AXO36" s="49"/>
      <c r="AXP36" s="49"/>
      <c r="AXQ36" s="49"/>
      <c r="AXR36" s="49"/>
      <c r="AXS36" s="49"/>
      <c r="AXT36" s="49"/>
      <c r="AXU36" s="49"/>
      <c r="AXV36" s="49"/>
      <c r="AXW36" s="49"/>
      <c r="AXX36" s="49"/>
      <c r="AXY36" s="49"/>
      <c r="AXZ36" s="49"/>
      <c r="AYA36" s="49"/>
      <c r="AYB36" s="49"/>
      <c r="AYC36" s="49"/>
      <c r="AYD36" s="49"/>
      <c r="AYE36" s="49"/>
      <c r="AYF36" s="49"/>
      <c r="AYG36" s="49"/>
      <c r="AYH36" s="49"/>
      <c r="AYI36" s="49"/>
      <c r="AYJ36" s="49"/>
      <c r="AYK36" s="49"/>
      <c r="AYL36" s="49"/>
      <c r="AYM36" s="49"/>
      <c r="AYN36" s="49"/>
      <c r="AYO36" s="49"/>
      <c r="AYP36" s="49"/>
      <c r="AYQ36" s="49"/>
      <c r="AYR36" s="49"/>
      <c r="AYS36" s="49"/>
      <c r="AYT36" s="49"/>
      <c r="AYU36" s="49"/>
      <c r="AYV36" s="49"/>
      <c r="AYW36" s="49"/>
      <c r="AYX36" s="49"/>
      <c r="AYY36" s="49"/>
      <c r="AYZ36" s="49"/>
      <c r="AZA36" s="49"/>
      <c r="AZB36" s="49"/>
      <c r="AZC36" s="49"/>
      <c r="AZD36" s="49"/>
      <c r="AZE36" s="49"/>
      <c r="AZF36" s="49"/>
      <c r="AZG36" s="49"/>
      <c r="AZH36" s="49"/>
      <c r="AZI36" s="49"/>
      <c r="AZJ36" s="49"/>
      <c r="AZK36" s="49"/>
      <c r="AZL36" s="49"/>
      <c r="AZM36" s="49"/>
      <c r="AZN36" s="49"/>
      <c r="AZO36" s="49"/>
      <c r="AZP36" s="49"/>
      <c r="AZQ36" s="49"/>
      <c r="AZR36" s="49"/>
      <c r="AZS36" s="49"/>
      <c r="AZT36" s="49"/>
      <c r="AZU36" s="49"/>
      <c r="AZV36" s="49"/>
      <c r="AZW36" s="49"/>
      <c r="AZX36" s="49"/>
      <c r="AZY36" s="49"/>
      <c r="AZZ36" s="49"/>
      <c r="BAA36" s="49"/>
      <c r="BAB36" s="49"/>
      <c r="BAC36" s="49"/>
      <c r="BAD36" s="49"/>
      <c r="BAE36" s="49"/>
      <c r="BAF36" s="49"/>
      <c r="BAG36" s="49"/>
      <c r="BAH36" s="49"/>
      <c r="BAI36" s="49"/>
      <c r="BAJ36" s="49"/>
      <c r="BAK36" s="49"/>
      <c r="BAL36" s="49"/>
      <c r="BAM36" s="49"/>
      <c r="BAN36" s="49"/>
      <c r="BAO36" s="49"/>
      <c r="BAP36" s="49"/>
      <c r="BAQ36" s="49"/>
      <c r="BAR36" s="49"/>
      <c r="BAS36" s="49"/>
      <c r="BAT36" s="49"/>
      <c r="BAU36" s="49"/>
      <c r="BAV36" s="49"/>
      <c r="BAW36" s="49"/>
      <c r="BAX36" s="49"/>
      <c r="BAY36" s="49"/>
      <c r="BAZ36" s="49"/>
      <c r="BBA36" s="49"/>
      <c r="BBB36" s="49"/>
      <c r="BBC36" s="49"/>
      <c r="BBD36" s="49"/>
      <c r="BBE36" s="49"/>
      <c r="BBF36" s="49"/>
      <c r="BBG36" s="49"/>
      <c r="BBH36" s="49"/>
      <c r="BBI36" s="49"/>
      <c r="BBJ36" s="49"/>
      <c r="BBK36" s="49"/>
      <c r="BBL36" s="49"/>
      <c r="BBM36" s="49"/>
      <c r="BBN36" s="49"/>
      <c r="BBO36" s="49"/>
      <c r="BBP36" s="49"/>
      <c r="BBQ36" s="49"/>
      <c r="BBR36" s="49"/>
      <c r="BBS36" s="49"/>
      <c r="BBT36" s="49"/>
      <c r="BBU36" s="49"/>
      <c r="BBV36" s="49"/>
      <c r="BBW36" s="49"/>
      <c r="BBX36" s="49"/>
      <c r="BBY36" s="49"/>
      <c r="BBZ36" s="49"/>
      <c r="BCA36" s="49"/>
      <c r="BCB36" s="49"/>
      <c r="BCC36" s="49"/>
      <c r="BCD36" s="49"/>
      <c r="BCE36" s="49"/>
      <c r="BCF36" s="49"/>
      <c r="BCG36" s="49"/>
      <c r="BCH36" s="49"/>
      <c r="BCI36" s="49"/>
      <c r="BCJ36" s="49"/>
      <c r="BCK36" s="49"/>
      <c r="BCL36" s="49"/>
      <c r="BCM36" s="49"/>
      <c r="BCN36" s="49"/>
    </row>
    <row r="37" spans="1:1444">
      <c r="B37" s="54"/>
      <c r="C37" s="54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</row>
    <row r="38" spans="1:1444"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67"/>
    </row>
    <row r="39" spans="1:1444" ht="33.75">
      <c r="B39" s="105"/>
      <c r="C39" s="105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</row>
    <row r="40" spans="1:1444">
      <c r="N40" s="68"/>
    </row>
    <row r="41" spans="1:1444">
      <c r="N41" s="68"/>
    </row>
    <row r="42" spans="1:1444">
      <c r="N42" s="68"/>
    </row>
    <row r="74" spans="4:13">
      <c r="D74" s="50"/>
      <c r="E74" s="50"/>
      <c r="F74" s="50"/>
      <c r="G74" s="50"/>
      <c r="H74" s="50"/>
      <c r="I74" s="50"/>
      <c r="J74" s="50"/>
      <c r="K74" s="50"/>
      <c r="L74" s="50"/>
      <c r="M74" s="50"/>
    </row>
    <row r="75" spans="4:13">
      <c r="D75" s="50"/>
      <c r="E75" s="50"/>
      <c r="F75" s="50"/>
      <c r="G75" s="50"/>
      <c r="H75" s="50"/>
      <c r="I75" s="50"/>
      <c r="J75" s="50"/>
      <c r="K75" s="50"/>
      <c r="L75" s="50"/>
      <c r="M75" s="50"/>
    </row>
    <row r="76" spans="4:13">
      <c r="D76" s="50"/>
      <c r="E76" s="50"/>
      <c r="F76" s="50"/>
      <c r="G76" s="50"/>
      <c r="H76" s="50"/>
      <c r="I76" s="50"/>
      <c r="J76" s="50"/>
      <c r="K76" s="50"/>
      <c r="L76" s="50"/>
      <c r="M76" s="50"/>
    </row>
    <row r="77" spans="4:13">
      <c r="D77" s="50"/>
      <c r="E77" s="50"/>
      <c r="F77" s="50"/>
      <c r="G77" s="50"/>
      <c r="H77" s="50"/>
      <c r="I77" s="50"/>
      <c r="J77" s="50"/>
      <c r="K77" s="50"/>
      <c r="L77" s="50"/>
      <c r="M77" s="50"/>
    </row>
    <row r="78" spans="4:13">
      <c r="D78" s="50"/>
      <c r="E78" s="50"/>
      <c r="F78" s="50"/>
      <c r="G78" s="50"/>
      <c r="H78" s="50"/>
      <c r="I78" s="50"/>
      <c r="J78" s="50"/>
      <c r="K78" s="50"/>
      <c r="L78" s="50"/>
      <c r="M78" s="50"/>
    </row>
    <row r="79" spans="4:13">
      <c r="D79" s="50"/>
      <c r="E79" s="50"/>
      <c r="F79" s="50"/>
      <c r="G79" s="50"/>
      <c r="H79" s="50"/>
      <c r="I79" s="50"/>
      <c r="J79" s="50"/>
      <c r="K79" s="50"/>
      <c r="L79" s="50"/>
      <c r="M79" s="50"/>
    </row>
    <row r="80" spans="4:13">
      <c r="D80" s="50"/>
      <c r="E80" s="50"/>
      <c r="F80" s="50"/>
      <c r="G80" s="50"/>
      <c r="H80" s="50"/>
      <c r="I80" s="50"/>
      <c r="J80" s="50"/>
      <c r="K80" s="50"/>
      <c r="L80" s="50"/>
      <c r="M80" s="50"/>
    </row>
    <row r="81" spans="4:14">
      <c r="D81" s="50"/>
      <c r="E81" s="50"/>
      <c r="F81" s="50"/>
      <c r="G81" s="50"/>
      <c r="H81" s="50"/>
      <c r="I81" s="50"/>
      <c r="J81" s="50"/>
      <c r="K81" s="50"/>
      <c r="L81" s="50"/>
      <c r="M81" s="50"/>
    </row>
    <row r="82" spans="4:14">
      <c r="D82" s="50"/>
      <c r="E82" s="50"/>
      <c r="F82" s="50"/>
      <c r="G82" s="50"/>
      <c r="H82" s="50"/>
      <c r="I82" s="50"/>
      <c r="J82" s="50"/>
      <c r="K82" s="50"/>
      <c r="L82" s="50"/>
      <c r="M82" s="50"/>
    </row>
    <row r="83" spans="4:14">
      <c r="D83" s="50"/>
      <c r="E83" s="50"/>
      <c r="F83" s="50"/>
      <c r="G83" s="50"/>
      <c r="H83" s="50"/>
      <c r="I83" s="50"/>
      <c r="J83" s="50"/>
      <c r="K83" s="50"/>
      <c r="L83" s="50"/>
      <c r="M83" s="50"/>
    </row>
    <row r="85" spans="4:14">
      <c r="N85" s="49"/>
    </row>
  </sheetData>
  <mergeCells count="1">
    <mergeCell ref="B3:N3"/>
  </mergeCells>
  <phoneticPr fontId="9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39997558519241921"/>
    <pageSetUpPr fitToPage="1"/>
  </sheetPr>
  <dimension ref="A1:XFD420"/>
  <sheetViews>
    <sheetView zoomScaleNormal="100" workbookViewId="0">
      <pane xSplit="3" ySplit="5" topLeftCell="D24" activePane="bottomRight" state="frozen"/>
      <selection pane="topRight" activeCell="D1" sqref="D1"/>
      <selection pane="bottomLeft" activeCell="A6" sqref="A6"/>
      <selection pane="bottomRight" activeCell="P38" sqref="P38"/>
    </sheetView>
  </sheetViews>
  <sheetFormatPr defaultRowHeight="15"/>
  <cols>
    <col min="2" max="2" width="7.140625" style="73" bestFit="1" customWidth="1"/>
    <col min="3" max="3" width="7.140625" style="73" customWidth="1"/>
    <col min="4" max="4" width="10.7109375" style="17" customWidth="1"/>
    <col min="5" max="5" width="10" style="43" bestFit="1" customWidth="1"/>
    <col min="6" max="6" width="14.85546875" style="43" customWidth="1"/>
    <col min="7" max="7" width="16.28515625" style="17" customWidth="1"/>
    <col min="8" max="8" width="14.140625" style="17" customWidth="1"/>
    <col min="9" max="9" width="10.7109375" style="17" hidden="1" customWidth="1"/>
    <col min="10" max="10" width="10.7109375" customWidth="1"/>
    <col min="16" max="16" width="10" bestFit="1" customWidth="1"/>
  </cols>
  <sheetData>
    <row r="1" spans="1:44">
      <c r="E1" s="17"/>
      <c r="F1" s="17"/>
    </row>
    <row r="2" spans="1:44">
      <c r="E2" s="17"/>
      <c r="F2" s="17"/>
    </row>
    <row r="3" spans="1:44">
      <c r="E3" s="17"/>
      <c r="F3" s="17"/>
    </row>
    <row r="4" spans="1:44" ht="21" customHeight="1">
      <c r="B4" s="331" t="s">
        <v>166</v>
      </c>
      <c r="C4" s="332"/>
      <c r="D4" s="332"/>
      <c r="E4" s="332"/>
      <c r="F4" s="332"/>
      <c r="G4" s="332"/>
      <c r="H4" s="332"/>
      <c r="I4" s="332"/>
      <c r="J4" s="333"/>
      <c r="K4" s="11"/>
    </row>
    <row r="5" spans="1:44" ht="42.75">
      <c r="B5" s="127" t="s">
        <v>0</v>
      </c>
      <c r="C5" s="241" t="s">
        <v>149</v>
      </c>
      <c r="D5" s="128" t="s">
        <v>160</v>
      </c>
      <c r="E5" s="128" t="s">
        <v>161</v>
      </c>
      <c r="F5" s="128" t="s">
        <v>162</v>
      </c>
      <c r="G5" s="128" t="s">
        <v>163</v>
      </c>
      <c r="H5" s="128" t="s">
        <v>164</v>
      </c>
      <c r="I5" s="128" t="s">
        <v>165</v>
      </c>
      <c r="J5" s="129" t="s">
        <v>7</v>
      </c>
      <c r="K5" s="11"/>
      <c r="M5" s="17"/>
    </row>
    <row r="6" spans="1:44">
      <c r="B6" s="58">
        <v>45748</v>
      </c>
      <c r="C6" s="58" t="s">
        <v>193</v>
      </c>
      <c r="D6" s="160">
        <v>1812.0499999999884</v>
      </c>
      <c r="E6" s="160">
        <v>9222.7099999998591</v>
      </c>
      <c r="F6" s="160">
        <v>3427.0099999998929</v>
      </c>
      <c r="G6" s="160">
        <v>1481.3598</v>
      </c>
      <c r="H6" s="160">
        <v>686</v>
      </c>
      <c r="I6" s="160">
        <v>0</v>
      </c>
      <c r="J6" s="145">
        <f>SUM(D6:I6)</f>
        <v>16629.12979999974</v>
      </c>
      <c r="K6" s="11"/>
    </row>
    <row r="7" spans="1:44">
      <c r="B7" s="58">
        <v>45749</v>
      </c>
      <c r="C7" s="58" t="s">
        <v>194</v>
      </c>
      <c r="D7" s="160">
        <v>2767.6599999999744</v>
      </c>
      <c r="E7" s="160">
        <v>12677.480000000231</v>
      </c>
      <c r="F7" s="160">
        <v>4738.3100000000559</v>
      </c>
      <c r="G7" s="160">
        <v>1661.5495999999998</v>
      </c>
      <c r="H7" s="160">
        <v>705</v>
      </c>
      <c r="I7" s="160">
        <v>0</v>
      </c>
      <c r="J7" s="145">
        <f t="shared" ref="J7:J36" si="0">SUM(D7:I7)</f>
        <v>22549.999600000257</v>
      </c>
      <c r="K7" s="11"/>
    </row>
    <row r="8" spans="1:44">
      <c r="B8" s="58">
        <v>45750</v>
      </c>
      <c r="C8" s="58" t="s">
        <v>195</v>
      </c>
      <c r="D8" s="160">
        <v>2804.5900000000256</v>
      </c>
      <c r="E8" s="160">
        <v>12168.029999999882</v>
      </c>
      <c r="F8" s="160">
        <v>4721.2199999999721</v>
      </c>
      <c r="G8" s="160">
        <v>1983.4705999999996</v>
      </c>
      <c r="H8" s="160">
        <v>685</v>
      </c>
      <c r="I8" s="160">
        <v>0</v>
      </c>
      <c r="J8" s="145">
        <f t="shared" si="0"/>
        <v>22362.310599999881</v>
      </c>
      <c r="K8" s="11"/>
    </row>
    <row r="9" spans="1:44">
      <c r="B9" s="58">
        <v>45751</v>
      </c>
      <c r="C9" s="58" t="s">
        <v>196</v>
      </c>
      <c r="D9" s="160">
        <v>2765.6900000000023</v>
      </c>
      <c r="E9" s="160">
        <v>12099.110000000073</v>
      </c>
      <c r="F9" s="160">
        <v>4735.4899999999907</v>
      </c>
      <c r="G9" s="160">
        <v>2235.0654</v>
      </c>
      <c r="H9" s="160">
        <v>727</v>
      </c>
      <c r="I9" s="160">
        <v>0</v>
      </c>
      <c r="J9" s="145">
        <f t="shared" si="0"/>
        <v>22562.355400000066</v>
      </c>
      <c r="K9" s="11"/>
    </row>
    <row r="10" spans="1:44">
      <c r="B10" s="58">
        <v>45752</v>
      </c>
      <c r="C10" s="58" t="s">
        <v>197</v>
      </c>
      <c r="D10" s="160">
        <v>2794.5499999999884</v>
      </c>
      <c r="E10" s="160">
        <v>12465.130000000092</v>
      </c>
      <c r="F10" s="160">
        <v>4743.7400000001071</v>
      </c>
      <c r="G10" s="160">
        <v>2073.0093999999999</v>
      </c>
      <c r="H10" s="160">
        <v>694</v>
      </c>
      <c r="I10" s="160">
        <v>0</v>
      </c>
      <c r="J10" s="145">
        <f t="shared" si="0"/>
        <v>22770.429400000186</v>
      </c>
      <c r="K10" s="11"/>
    </row>
    <row r="11" spans="1:44" s="15" customFormat="1">
      <c r="A11"/>
      <c r="B11" s="183">
        <v>45753</v>
      </c>
      <c r="C11" s="183" t="s">
        <v>198</v>
      </c>
      <c r="D11" s="195">
        <v>587.84000000002561</v>
      </c>
      <c r="E11" s="195">
        <v>10964.339999999895</v>
      </c>
      <c r="F11" s="195">
        <v>4320.5099999998929</v>
      </c>
      <c r="G11" s="195">
        <v>836.6099999999999</v>
      </c>
      <c r="H11" s="195">
        <v>746</v>
      </c>
      <c r="I11" s="195">
        <v>0</v>
      </c>
      <c r="J11" s="196">
        <f t="shared" si="0"/>
        <v>17455.299999999814</v>
      </c>
      <c r="K11" s="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s="15" customFormat="1">
      <c r="A12"/>
      <c r="B12" s="58">
        <v>45754</v>
      </c>
      <c r="C12" s="58" t="s">
        <v>192</v>
      </c>
      <c r="D12" s="160">
        <v>2828.1299999999464</v>
      </c>
      <c r="E12" s="160">
        <v>12748.999999999924</v>
      </c>
      <c r="F12" s="160">
        <v>4743.4799999999814</v>
      </c>
      <c r="G12" s="160">
        <v>2008.5699999999997</v>
      </c>
      <c r="H12" s="160">
        <v>780</v>
      </c>
      <c r="I12" s="160">
        <v>0</v>
      </c>
      <c r="J12" s="145">
        <f t="shared" si="0"/>
        <v>23109.179999999851</v>
      </c>
      <c r="K12" s="11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s="15" customFormat="1">
      <c r="A13"/>
      <c r="B13" s="58">
        <v>45755</v>
      </c>
      <c r="C13" s="58" t="s">
        <v>193</v>
      </c>
      <c r="D13" s="160">
        <v>2771.3000000000466</v>
      </c>
      <c r="E13" s="160">
        <v>12575.710000000141</v>
      </c>
      <c r="F13" s="160">
        <v>4747.7900000000373</v>
      </c>
      <c r="G13" s="160">
        <v>2191.431</v>
      </c>
      <c r="H13" s="160">
        <v>736</v>
      </c>
      <c r="I13" s="160">
        <v>0</v>
      </c>
      <c r="J13" s="145">
        <f t="shared" si="0"/>
        <v>23022.231000000225</v>
      </c>
      <c r="K13" s="11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s="15" customFormat="1">
      <c r="A14"/>
      <c r="B14" s="58">
        <v>45756</v>
      </c>
      <c r="C14" s="58" t="s">
        <v>194</v>
      </c>
      <c r="D14" s="160">
        <v>2970.2399999999907</v>
      </c>
      <c r="E14" s="160">
        <v>12349.879999999786</v>
      </c>
      <c r="F14" s="160">
        <v>4744.7600000000093</v>
      </c>
      <c r="G14" s="160">
        <v>1964.0533999999998</v>
      </c>
      <c r="H14" s="160">
        <v>819</v>
      </c>
      <c r="I14" s="160"/>
      <c r="J14" s="145">
        <f t="shared" si="0"/>
        <v>22847.933399999787</v>
      </c>
      <c r="K14" s="11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>
      <c r="B15" s="58">
        <v>45757</v>
      </c>
      <c r="C15" s="58" t="s">
        <v>195</v>
      </c>
      <c r="D15" s="160">
        <v>3033.4400000000023</v>
      </c>
      <c r="E15" s="160">
        <v>12885.89000000024</v>
      </c>
      <c r="F15" s="160">
        <v>4765.3200000000652</v>
      </c>
      <c r="G15" s="160">
        <v>2154.7040999999999</v>
      </c>
      <c r="H15" s="160">
        <v>677</v>
      </c>
      <c r="I15" s="160"/>
      <c r="J15" s="145">
        <f t="shared" si="0"/>
        <v>23516.354100000306</v>
      </c>
      <c r="K15" s="235"/>
      <c r="L15" s="236"/>
      <c r="M15" s="236"/>
    </row>
    <row r="16" spans="1:44" s="15" customFormat="1">
      <c r="B16" s="58">
        <v>45758</v>
      </c>
      <c r="C16" s="58" t="s">
        <v>196</v>
      </c>
      <c r="D16" s="160">
        <v>2948.7699999999604</v>
      </c>
      <c r="E16" s="160">
        <v>11922.929999999946</v>
      </c>
      <c r="F16" s="160">
        <v>4749.559999999823</v>
      </c>
      <c r="G16" s="160">
        <v>2145.7869999999998</v>
      </c>
      <c r="H16" s="160">
        <v>732</v>
      </c>
      <c r="I16" s="160"/>
      <c r="J16" s="145">
        <f t="shared" si="0"/>
        <v>22499.046999999729</v>
      </c>
      <c r="K16" s="235"/>
      <c r="L16" s="236"/>
      <c r="M16" s="23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 16384:16384" s="15" customFormat="1">
      <c r="A17"/>
      <c r="B17" s="58">
        <v>45759</v>
      </c>
      <c r="C17" s="58" t="s">
        <v>197</v>
      </c>
      <c r="D17" s="160">
        <v>2959.8000000000466</v>
      </c>
      <c r="E17" s="160">
        <v>11801.68999999984</v>
      </c>
      <c r="F17" s="160">
        <v>4774.0500000002794</v>
      </c>
      <c r="G17" s="160">
        <v>2219.3173000000002</v>
      </c>
      <c r="H17" s="160">
        <v>806</v>
      </c>
      <c r="I17" s="160"/>
      <c r="J17" s="145">
        <f t="shared" si="0"/>
        <v>22560.857300000167</v>
      </c>
      <c r="K17" s="235"/>
      <c r="L17" s="236"/>
      <c r="M17" s="236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 16384:16384" s="15" customFormat="1">
      <c r="A18"/>
      <c r="B18" s="183">
        <v>45760</v>
      </c>
      <c r="C18" s="183" t="s">
        <v>198</v>
      </c>
      <c r="D18" s="195">
        <v>1523.8299999999581</v>
      </c>
      <c r="E18" s="195">
        <v>6463.619999999949</v>
      </c>
      <c r="F18" s="195">
        <v>1370.7600000000093</v>
      </c>
      <c r="G18" s="195">
        <v>1020.8</v>
      </c>
      <c r="H18" s="195">
        <v>242</v>
      </c>
      <c r="I18" s="195"/>
      <c r="J18" s="196">
        <f t="shared" si="0"/>
        <v>10621.009999999915</v>
      </c>
      <c r="K18" s="11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 16384:16384">
      <c r="B19" s="58">
        <v>45761</v>
      </c>
      <c r="C19" s="58" t="s">
        <v>192</v>
      </c>
      <c r="D19" s="160">
        <v>240.76000000000931</v>
      </c>
      <c r="E19" s="160">
        <v>2322.0600000003074</v>
      </c>
      <c r="F19" s="160">
        <v>166.90999999968335</v>
      </c>
      <c r="G19" s="160">
        <v>34.270000000000003</v>
      </c>
      <c r="H19" s="160">
        <v>0</v>
      </c>
      <c r="I19" s="160"/>
      <c r="J19" s="145">
        <f t="shared" si="0"/>
        <v>2764</v>
      </c>
      <c r="K19" s="11"/>
    </row>
    <row r="20" spans="1:44 16384:16384">
      <c r="B20" s="58">
        <v>45762</v>
      </c>
      <c r="C20" s="58" t="s">
        <v>193</v>
      </c>
      <c r="D20" s="160">
        <v>2952.8099999999977</v>
      </c>
      <c r="E20" s="160">
        <v>11647.199999999917</v>
      </c>
      <c r="F20" s="160">
        <v>4702.7400000001653</v>
      </c>
      <c r="G20" s="160">
        <v>2222.3537999999999</v>
      </c>
      <c r="H20" s="160">
        <v>828</v>
      </c>
      <c r="I20" s="160"/>
      <c r="J20" s="145">
        <f t="shared" si="0"/>
        <v>22353.103800000081</v>
      </c>
      <c r="K20" s="11"/>
    </row>
    <row r="21" spans="1:44 16384:16384">
      <c r="B21" s="58">
        <v>45763</v>
      </c>
      <c r="C21" s="58" t="s">
        <v>194</v>
      </c>
      <c r="D21" s="160">
        <v>2863.3100000000559</v>
      </c>
      <c r="E21" s="160">
        <v>12073.980000000003</v>
      </c>
      <c r="F21" s="160">
        <v>4674.1699999999255</v>
      </c>
      <c r="G21" s="160">
        <v>2191.1657999999998</v>
      </c>
      <c r="H21" s="160">
        <v>733</v>
      </c>
      <c r="I21" s="160"/>
      <c r="J21" s="145">
        <f t="shared" si="0"/>
        <v>22535.625799999983</v>
      </c>
      <c r="K21" s="11"/>
    </row>
    <row r="22" spans="1:44 16384:16384">
      <c r="B22" s="58">
        <v>45764</v>
      </c>
      <c r="C22" s="58" t="s">
        <v>195</v>
      </c>
      <c r="D22" s="160">
        <v>2676.4099999999162</v>
      </c>
      <c r="E22" s="160">
        <v>12785.560000000074</v>
      </c>
      <c r="F22" s="160">
        <v>4723.8500000000931</v>
      </c>
      <c r="G22" s="160">
        <v>2278.6153999999997</v>
      </c>
      <c r="H22" s="160">
        <v>709</v>
      </c>
      <c r="I22" s="160"/>
      <c r="J22" s="145">
        <f t="shared" si="0"/>
        <v>23173.435400000082</v>
      </c>
      <c r="K22" s="11"/>
    </row>
    <row r="23" spans="1:44 16384:16384">
      <c r="B23" s="58">
        <v>45765</v>
      </c>
      <c r="C23" s="58" t="s">
        <v>196</v>
      </c>
      <c r="D23" s="160">
        <v>2935.6700000000419</v>
      </c>
      <c r="E23" s="160">
        <v>12702.649999999901</v>
      </c>
      <c r="F23" s="160">
        <v>4717.059999999823</v>
      </c>
      <c r="G23" s="160">
        <v>2247.6093999999998</v>
      </c>
      <c r="H23" s="160">
        <v>802</v>
      </c>
      <c r="I23" s="160"/>
      <c r="J23" s="145">
        <f t="shared" si="0"/>
        <v>23404.989399999766</v>
      </c>
      <c r="K23" s="11"/>
    </row>
    <row r="24" spans="1:44 16384:16384">
      <c r="B24" s="58">
        <v>45766</v>
      </c>
      <c r="C24" s="58" t="s">
        <v>197</v>
      </c>
      <c r="D24" s="160">
        <v>3219.3499999999767</v>
      </c>
      <c r="E24" s="160">
        <v>12164.120000000054</v>
      </c>
      <c r="F24" s="160">
        <v>4715.0300000000861</v>
      </c>
      <c r="G24" s="160">
        <v>2312.8926000000001</v>
      </c>
      <c r="H24" s="160">
        <v>808</v>
      </c>
      <c r="I24" s="160"/>
      <c r="J24" s="145">
        <f t="shared" si="0"/>
        <v>23219.392600000116</v>
      </c>
      <c r="K24" s="235"/>
      <c r="L24" s="236"/>
      <c r="M24" s="236"/>
      <c r="N24" s="236"/>
      <c r="O24" s="236"/>
      <c r="P24" s="236"/>
      <c r="Q24" s="236"/>
      <c r="R24" s="236"/>
      <c r="S24" s="236"/>
      <c r="T24" s="236"/>
      <c r="XFD24" s="17"/>
    </row>
    <row r="25" spans="1:44 16384:16384" s="15" customFormat="1">
      <c r="B25" s="183">
        <v>45767</v>
      </c>
      <c r="C25" s="183" t="s">
        <v>198</v>
      </c>
      <c r="D25" s="195">
        <v>2150.890000000014</v>
      </c>
      <c r="E25" s="195">
        <v>10212.459999999772</v>
      </c>
      <c r="F25" s="195">
        <v>4333.440000000177</v>
      </c>
      <c r="G25" s="195">
        <v>1910.92</v>
      </c>
      <c r="H25" s="195">
        <v>679</v>
      </c>
      <c r="I25" s="195"/>
      <c r="J25" s="196">
        <f t="shared" si="0"/>
        <v>19286.709999999963</v>
      </c>
      <c r="K25" s="235"/>
      <c r="L25" s="236"/>
      <c r="M25" s="236"/>
      <c r="N25" s="236"/>
      <c r="O25" s="236"/>
      <c r="P25" s="236"/>
      <c r="Q25" s="236"/>
      <c r="R25" s="236"/>
      <c r="S25" s="236"/>
      <c r="T25" s="236"/>
    </row>
    <row r="26" spans="1:44 16384:16384">
      <c r="B26" s="58">
        <v>45768</v>
      </c>
      <c r="C26" s="58" t="s">
        <v>192</v>
      </c>
      <c r="D26" s="160">
        <v>3273.5999999999767</v>
      </c>
      <c r="E26" s="160">
        <v>12290.330000000004</v>
      </c>
      <c r="F26" s="160">
        <v>4745.089999999851</v>
      </c>
      <c r="G26" s="160">
        <v>2299.5282999999999</v>
      </c>
      <c r="H26" s="160">
        <v>794</v>
      </c>
      <c r="I26" s="160"/>
      <c r="J26" s="145">
        <f t="shared" si="0"/>
        <v>23402.548299999828</v>
      </c>
      <c r="K26" s="235"/>
      <c r="L26" s="236"/>
      <c r="M26" s="236"/>
      <c r="N26" s="236"/>
      <c r="O26" s="236"/>
      <c r="P26" s="236"/>
      <c r="Q26" s="236"/>
      <c r="R26" s="236"/>
      <c r="S26" s="236"/>
      <c r="T26" s="236"/>
    </row>
    <row r="27" spans="1:44 16384:16384">
      <c r="B27" s="58">
        <v>45769</v>
      </c>
      <c r="C27" s="58" t="s">
        <v>193</v>
      </c>
      <c r="D27" s="160">
        <v>3325.0400000000373</v>
      </c>
      <c r="E27" s="160">
        <v>12531.170000000122</v>
      </c>
      <c r="F27" s="160">
        <v>4735.75</v>
      </c>
      <c r="G27" s="160">
        <v>2287.3451999999997</v>
      </c>
      <c r="H27" s="160">
        <v>738</v>
      </c>
      <c r="I27" s="160"/>
      <c r="J27" s="145">
        <f t="shared" si="0"/>
        <v>23617.305200000159</v>
      </c>
      <c r="K27" s="11"/>
    </row>
    <row r="28" spans="1:44 16384:16384">
      <c r="B28" s="58">
        <v>45770</v>
      </c>
      <c r="C28" s="58" t="s">
        <v>194</v>
      </c>
      <c r="D28" s="160">
        <v>3269.3699999999953</v>
      </c>
      <c r="E28" s="160">
        <v>12823.689999999891</v>
      </c>
      <c r="F28" s="160">
        <v>4738.8100000000559</v>
      </c>
      <c r="G28" s="160">
        <v>2238.8908999999999</v>
      </c>
      <c r="H28" s="160">
        <v>759</v>
      </c>
      <c r="I28" s="160"/>
      <c r="J28" s="145">
        <f t="shared" si="0"/>
        <v>23829.760899999943</v>
      </c>
      <c r="K28" s="11"/>
    </row>
    <row r="29" spans="1:44 16384:16384">
      <c r="B29" s="58">
        <v>45771</v>
      </c>
      <c r="C29" s="58" t="s">
        <v>195</v>
      </c>
      <c r="D29" s="160">
        <v>3245.2199999999721</v>
      </c>
      <c r="E29" s="160">
        <v>13003.530000000143</v>
      </c>
      <c r="F29" s="160">
        <v>4791.2699999999022</v>
      </c>
      <c r="G29" s="160">
        <v>2259.8655999999996</v>
      </c>
      <c r="H29" s="160">
        <v>755</v>
      </c>
      <c r="I29" s="160"/>
      <c r="J29" s="145">
        <f t="shared" si="0"/>
        <v>24054.88560000002</v>
      </c>
      <c r="K29" s="11"/>
    </row>
    <row r="30" spans="1:44 16384:16384">
      <c r="B30" s="58">
        <v>45772</v>
      </c>
      <c r="C30" s="58" t="s">
        <v>196</v>
      </c>
      <c r="D30" s="160">
        <v>3215.2800000000279</v>
      </c>
      <c r="E30" s="160">
        <v>13155.029999999915</v>
      </c>
      <c r="F30" s="160">
        <v>4824.0700000001234</v>
      </c>
      <c r="G30" s="160">
        <v>2197.2709</v>
      </c>
      <c r="H30" s="160">
        <v>877</v>
      </c>
      <c r="I30" s="160"/>
      <c r="J30" s="145">
        <f t="shared" si="0"/>
        <v>24268.650900000066</v>
      </c>
      <c r="K30" s="11"/>
    </row>
    <row r="31" spans="1:44 16384:16384">
      <c r="B31" s="58">
        <v>45773</v>
      </c>
      <c r="C31" s="58" t="s">
        <v>197</v>
      </c>
      <c r="D31" s="160">
        <v>3414.0400000000373</v>
      </c>
      <c r="E31" s="160">
        <v>12538.740000000074</v>
      </c>
      <c r="F31" s="160">
        <v>4787.9599999997299</v>
      </c>
      <c r="G31" s="160">
        <v>2356.4616999999998</v>
      </c>
      <c r="H31" s="160">
        <v>836</v>
      </c>
      <c r="I31" s="160"/>
      <c r="J31" s="145">
        <f t="shared" si="0"/>
        <v>23933.201699999841</v>
      </c>
      <c r="K31" s="11"/>
    </row>
    <row r="32" spans="1:44 16384:16384">
      <c r="B32" s="183">
        <v>45774</v>
      </c>
      <c r="C32" s="183" t="s">
        <v>198</v>
      </c>
      <c r="D32" s="195">
        <v>1266.1499999999069</v>
      </c>
      <c r="E32" s="195">
        <v>7698.0200000001314</v>
      </c>
      <c r="F32" s="195">
        <v>3140.2300000002142</v>
      </c>
      <c r="G32" s="195">
        <v>2125.5699999999997</v>
      </c>
      <c r="H32" s="195">
        <v>741</v>
      </c>
      <c r="I32" s="195"/>
      <c r="J32" s="196">
        <f t="shared" si="0"/>
        <v>14970.970000000252</v>
      </c>
      <c r="K32" s="11"/>
    </row>
    <row r="33" spans="2:25">
      <c r="B33" s="58">
        <v>45775</v>
      </c>
      <c r="C33" s="58" t="s">
        <v>192</v>
      </c>
      <c r="D33" s="160">
        <v>3065.3500000000931</v>
      </c>
      <c r="E33" s="160">
        <v>12772.509999999686</v>
      </c>
      <c r="F33" s="160">
        <v>4820.3500000000931</v>
      </c>
      <c r="G33" s="160">
        <v>2179.1251999999995</v>
      </c>
      <c r="H33" s="160">
        <v>877</v>
      </c>
      <c r="I33" s="160"/>
      <c r="J33" s="145">
        <f t="shared" si="0"/>
        <v>23714.33519999987</v>
      </c>
      <c r="K33" s="11"/>
    </row>
    <row r="34" spans="2:25">
      <c r="B34" s="58">
        <v>45776</v>
      </c>
      <c r="C34" s="58" t="s">
        <v>193</v>
      </c>
      <c r="D34" s="160">
        <v>3145.7799999999115</v>
      </c>
      <c r="E34" s="160">
        <v>12964.240000000182</v>
      </c>
      <c r="F34" s="160">
        <v>4860.1599999999162</v>
      </c>
      <c r="G34" s="160">
        <v>2237.3054999999999</v>
      </c>
      <c r="H34" s="160">
        <v>816</v>
      </c>
      <c r="I34" s="160"/>
      <c r="J34" s="145">
        <f t="shared" si="0"/>
        <v>24023.485500000006</v>
      </c>
      <c r="K34" s="11"/>
    </row>
    <row r="35" spans="2:25">
      <c r="B35" s="58">
        <v>45777</v>
      </c>
      <c r="C35" s="58" t="s">
        <v>194</v>
      </c>
      <c r="D35" s="160">
        <v>2994.5700000000652</v>
      </c>
      <c r="E35" s="160">
        <v>12932.109999999842</v>
      </c>
      <c r="F35" s="160">
        <v>4824.7600000000675</v>
      </c>
      <c r="G35" s="160">
        <v>2240.0862000000002</v>
      </c>
      <c r="H35" s="160">
        <v>840</v>
      </c>
      <c r="I35" s="160"/>
      <c r="J35" s="145">
        <f t="shared" ref="J35" si="1">SUM(D35:I35)</f>
        <v>23831.526199999975</v>
      </c>
      <c r="K35" s="11"/>
    </row>
    <row r="36" spans="2:25">
      <c r="B36" s="58"/>
      <c r="C36" s="58"/>
      <c r="D36" s="160"/>
      <c r="E36" s="160"/>
      <c r="F36" s="160"/>
      <c r="G36" s="160"/>
      <c r="H36" s="160"/>
      <c r="I36" s="160"/>
      <c r="J36" s="145">
        <f t="shared" si="0"/>
        <v>0</v>
      </c>
      <c r="K36" s="11"/>
      <c r="Y36" s="229"/>
    </row>
    <row r="37" spans="2:25" ht="30" customHeight="1">
      <c r="B37" s="130" t="s">
        <v>7</v>
      </c>
      <c r="C37" s="130"/>
      <c r="D37" s="126">
        <f t="shared" ref="D37:I37" si="2">SUM(D6:D36)</f>
        <v>79821.489999999991</v>
      </c>
      <c r="E37" s="126">
        <f t="shared" si="2"/>
        <v>346962.91999999981</v>
      </c>
      <c r="F37" s="126">
        <f t="shared" si="2"/>
        <v>130883.65000000002</v>
      </c>
      <c r="G37" s="126">
        <f t="shared" si="2"/>
        <v>59595.004099999991</v>
      </c>
      <c r="H37" s="126">
        <f t="shared" si="2"/>
        <v>21627</v>
      </c>
      <c r="I37" s="126">
        <f t="shared" si="2"/>
        <v>0</v>
      </c>
      <c r="J37" s="146">
        <f>SUM(J6:J36)</f>
        <v>638890.06409999984</v>
      </c>
      <c r="K37" s="11"/>
      <c r="O37" s="17"/>
    </row>
    <row r="38" spans="2:25">
      <c r="D38" s="39"/>
      <c r="E38" s="39"/>
      <c r="F38" s="39"/>
      <c r="G38" s="39"/>
      <c r="H38" s="39"/>
      <c r="I38" s="39"/>
      <c r="J38" s="39"/>
    </row>
    <row r="39" spans="2:25">
      <c r="E39" s="17"/>
      <c r="F39" s="17"/>
    </row>
    <row r="40" spans="2:25" ht="23.25">
      <c r="D40" s="55">
        <f>D27-D26</f>
        <v>51.440000000060536</v>
      </c>
      <c r="E40" s="55">
        <f t="shared" ref="E40:G40" si="3">E27-E26</f>
        <v>240.84000000011838</v>
      </c>
      <c r="F40" s="55">
        <f t="shared" si="3"/>
        <v>-9.3399999998509884</v>
      </c>
      <c r="G40" s="55">
        <f t="shared" si="3"/>
        <v>-12.183100000000195</v>
      </c>
      <c r="H40" s="55">
        <f>H27-H26</f>
        <v>-56</v>
      </c>
      <c r="I40" s="55">
        <f>I27-I26</f>
        <v>0</v>
      </c>
      <c r="J40" s="55">
        <f>J27-J26</f>
        <v>214.75690000033137</v>
      </c>
    </row>
    <row r="41" spans="2:25">
      <c r="D41"/>
      <c r="E41"/>
      <c r="F41"/>
      <c r="G41"/>
      <c r="H41"/>
      <c r="I41"/>
    </row>
    <row r="42" spans="2:25">
      <c r="D42"/>
      <c r="E42"/>
      <c r="F42"/>
      <c r="G42"/>
      <c r="H42"/>
      <c r="I42"/>
      <c r="M42">
        <f ca="1">M42</f>
        <v>0</v>
      </c>
    </row>
    <row r="43" spans="2:25">
      <c r="E43" s="17"/>
      <c r="F43" s="17"/>
    </row>
    <row r="44" spans="2:25">
      <c r="E44" s="17"/>
      <c r="F44" s="17"/>
      <c r="H44" s="27"/>
      <c r="I44" s="17">
        <f>72/28</f>
        <v>2.5714285714285716</v>
      </c>
    </row>
    <row r="45" spans="2:25">
      <c r="E45" s="17"/>
      <c r="F45" s="17"/>
    </row>
    <row r="46" spans="2:25">
      <c r="E46" s="17"/>
      <c r="F46" s="17"/>
    </row>
    <row r="47" spans="2:25">
      <c r="E47" s="17"/>
      <c r="F47" s="17">
        <f>30000*80</f>
        <v>2400000</v>
      </c>
    </row>
    <row r="48" spans="2:25">
      <c r="E48" s="17"/>
      <c r="F48" s="17"/>
    </row>
    <row r="49" spans="5:6">
      <c r="E49" s="17"/>
      <c r="F49" s="17"/>
    </row>
    <row r="50" spans="5:6">
      <c r="E50" s="17"/>
      <c r="F50" s="17"/>
    </row>
    <row r="51" spans="5:6">
      <c r="E51" s="17"/>
      <c r="F51" s="17"/>
    </row>
    <row r="52" spans="5:6">
      <c r="E52" s="17"/>
      <c r="F52" s="17"/>
    </row>
    <row r="53" spans="5:6">
      <c r="E53" s="17"/>
      <c r="F53" s="17"/>
    </row>
    <row r="54" spans="5:6">
      <c r="E54" s="17"/>
      <c r="F54" s="17"/>
    </row>
    <row r="55" spans="5:6">
      <c r="E55" s="17"/>
      <c r="F55" s="17"/>
    </row>
    <row r="56" spans="5:6">
      <c r="E56" s="17"/>
      <c r="F56" s="17"/>
    </row>
    <row r="57" spans="5:6">
      <c r="E57" s="17"/>
      <c r="F57" s="17"/>
    </row>
    <row r="58" spans="5:6">
      <c r="E58" s="17"/>
      <c r="F58" s="17"/>
    </row>
    <row r="59" spans="5:6">
      <c r="E59" s="17"/>
      <c r="F59" s="17"/>
    </row>
    <row r="60" spans="5:6">
      <c r="E60" s="17"/>
      <c r="F60" s="17"/>
    </row>
    <row r="61" spans="5:6">
      <c r="E61" s="17"/>
      <c r="F61" s="17"/>
    </row>
    <row r="62" spans="5:6">
      <c r="E62" s="17"/>
      <c r="F62" s="17"/>
    </row>
    <row r="63" spans="5:6">
      <c r="E63" s="17"/>
      <c r="F63" s="17"/>
    </row>
    <row r="64" spans="5:6">
      <c r="E64" s="17"/>
      <c r="F64" s="17"/>
    </row>
    <row r="65" spans="5:6">
      <c r="E65" s="17"/>
      <c r="F65" s="17"/>
    </row>
    <row r="66" spans="5:6">
      <c r="E66" s="17"/>
      <c r="F66" s="17"/>
    </row>
    <row r="67" spans="5:6">
      <c r="E67" s="17"/>
      <c r="F67" s="17"/>
    </row>
    <row r="68" spans="5:6">
      <c r="E68" s="17"/>
      <c r="F68" s="17"/>
    </row>
    <row r="69" spans="5:6">
      <c r="E69" s="17"/>
      <c r="F69" s="17"/>
    </row>
    <row r="70" spans="5:6">
      <c r="E70" s="17"/>
      <c r="F70" s="17"/>
    </row>
    <row r="71" spans="5:6">
      <c r="E71" s="17"/>
      <c r="F71" s="17"/>
    </row>
    <row r="72" spans="5:6">
      <c r="E72" s="17"/>
      <c r="F72" s="17"/>
    </row>
    <row r="420" spans="4:9">
      <c r="D420" s="17">
        <v>1</v>
      </c>
      <c r="E420" s="43">
        <v>1</v>
      </c>
      <c r="F420" s="43">
        <v>1</v>
      </c>
      <c r="G420" s="17">
        <v>1</v>
      </c>
      <c r="H420" s="17">
        <v>1</v>
      </c>
      <c r="I420" s="17">
        <v>1</v>
      </c>
    </row>
  </sheetData>
  <mergeCells count="1">
    <mergeCell ref="B4:J4"/>
  </mergeCells>
  <phoneticPr fontId="91" type="noConversion"/>
  <pageMargins left="0.7" right="0.7" top="0.75" bottom="0.75" header="0.3" footer="0.3"/>
  <pageSetup scale="5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39997558519241921"/>
    <pageSetUpPr fitToPage="1"/>
  </sheetPr>
  <dimension ref="A1:VI419"/>
  <sheetViews>
    <sheetView zoomScaleNormal="100" workbookViewId="0">
      <pane xSplit="3" ySplit="5" topLeftCell="D24" activePane="bottomRight" state="frozen"/>
      <selection pane="topRight" activeCell="D1" sqref="D1"/>
      <selection pane="bottomLeft" activeCell="A6" sqref="A6"/>
      <selection pane="bottomRight" activeCell="S32" sqref="S32"/>
    </sheetView>
  </sheetViews>
  <sheetFormatPr defaultRowHeight="15"/>
  <cols>
    <col min="2" max="2" width="8.7109375" style="73" customWidth="1"/>
    <col min="3" max="3" width="7.140625" style="73" customWidth="1"/>
    <col min="4" max="4" width="10.7109375" style="17" customWidth="1"/>
    <col min="5" max="5" width="14.85546875" style="43" customWidth="1"/>
    <col min="6" max="6" width="16.28515625" style="17" customWidth="1"/>
    <col min="7" max="7" width="12.85546875" style="17" customWidth="1"/>
    <col min="8" max="8" width="10.7109375" customWidth="1"/>
  </cols>
  <sheetData>
    <row r="1" spans="1:581">
      <c r="E1" s="17"/>
    </row>
    <row r="2" spans="1:581">
      <c r="E2" s="17"/>
    </row>
    <row r="3" spans="1:581">
      <c r="E3" s="17"/>
    </row>
    <row r="4" spans="1:581" ht="21" customHeight="1">
      <c r="B4" s="331" t="s">
        <v>181</v>
      </c>
      <c r="C4" s="332"/>
      <c r="D4" s="332"/>
      <c r="E4" s="332"/>
      <c r="F4" s="332"/>
      <c r="G4" s="332"/>
      <c r="H4" s="333"/>
      <c r="I4" s="11"/>
    </row>
    <row r="5" spans="1:581" ht="34.5" customHeight="1">
      <c r="B5" s="127" t="s">
        <v>0</v>
      </c>
      <c r="C5" s="241" t="s">
        <v>149</v>
      </c>
      <c r="D5" s="128" t="s">
        <v>182</v>
      </c>
      <c r="E5" s="128" t="s">
        <v>183</v>
      </c>
      <c r="F5" s="128" t="s">
        <v>184</v>
      </c>
      <c r="G5" s="128" t="s">
        <v>217</v>
      </c>
      <c r="H5" s="128" t="s">
        <v>7</v>
      </c>
      <c r="I5" s="235"/>
      <c r="J5" s="236"/>
      <c r="K5" s="236"/>
      <c r="L5" s="236"/>
      <c r="M5" s="236"/>
      <c r="N5" s="236"/>
      <c r="O5" s="236"/>
      <c r="P5" s="236"/>
    </row>
    <row r="6" spans="1:581">
      <c r="B6" s="58">
        <v>45748</v>
      </c>
      <c r="C6" s="58" t="s">
        <v>193</v>
      </c>
      <c r="D6" s="160">
        <v>91.209999999990032</v>
      </c>
      <c r="E6" s="160">
        <v>87.124000000005623</v>
      </c>
      <c r="F6" s="160">
        <v>116.5168000000035</v>
      </c>
      <c r="G6" s="160">
        <v>251.82079999999908</v>
      </c>
      <c r="H6" s="160">
        <f>SUM(D6:G6)</f>
        <v>546.67159999999819</v>
      </c>
      <c r="I6" s="11"/>
    </row>
    <row r="7" spans="1:581">
      <c r="B7" s="58">
        <v>45749</v>
      </c>
      <c r="C7" s="58" t="s">
        <v>194</v>
      </c>
      <c r="D7" s="160">
        <v>144.60999999994783</v>
      </c>
      <c r="E7" s="160">
        <v>183.09200000000783</v>
      </c>
      <c r="F7" s="160">
        <v>195.56480000000505</v>
      </c>
      <c r="G7" s="160">
        <v>631.27680000000271</v>
      </c>
      <c r="H7" s="160">
        <f t="shared" ref="H7:H35" si="0">SUM(D7:G7)</f>
        <v>1154.5435999999636</v>
      </c>
      <c r="I7" s="11"/>
    </row>
    <row r="8" spans="1:581">
      <c r="B8" s="58">
        <v>45750</v>
      </c>
      <c r="C8" s="58" t="s">
        <v>195</v>
      </c>
      <c r="D8" s="160">
        <v>219.02000000011321</v>
      </c>
      <c r="E8" s="160">
        <v>200.05750000000626</v>
      </c>
      <c r="F8" s="160">
        <v>189.55239999998994</v>
      </c>
      <c r="G8" s="160">
        <v>597.39294999996969</v>
      </c>
      <c r="H8" s="160">
        <f t="shared" si="0"/>
        <v>1206.022850000079</v>
      </c>
      <c r="I8" s="11"/>
    </row>
    <row r="9" spans="1:581">
      <c r="B9" s="58">
        <v>45751</v>
      </c>
      <c r="C9" s="58" t="s">
        <v>196</v>
      </c>
      <c r="D9" s="160">
        <v>265.51999999999862</v>
      </c>
      <c r="E9" s="160">
        <v>211.50800000000163</v>
      </c>
      <c r="F9" s="160">
        <v>213.38240000000661</v>
      </c>
      <c r="G9" s="160">
        <v>640.89025000003824</v>
      </c>
      <c r="H9" s="160">
        <f t="shared" si="0"/>
        <v>1331.3006500000452</v>
      </c>
      <c r="I9" s="11"/>
    </row>
    <row r="10" spans="1:581">
      <c r="B10" s="58">
        <v>45752</v>
      </c>
      <c r="C10" s="58" t="s">
        <v>197</v>
      </c>
      <c r="D10" s="160">
        <v>258.48999999994521</v>
      </c>
      <c r="E10" s="160">
        <v>214.61050000000179</v>
      </c>
      <c r="F10" s="160">
        <v>200.01319999999009</v>
      </c>
      <c r="G10" s="160">
        <v>584.41404999997417</v>
      </c>
      <c r="H10" s="160">
        <f t="shared" si="0"/>
        <v>1257.5277499999113</v>
      </c>
      <c r="I10" s="11"/>
    </row>
    <row r="11" spans="1:581" s="15" customFormat="1">
      <c r="A11"/>
      <c r="B11" s="183">
        <v>45753</v>
      </c>
      <c r="C11" s="183" t="s">
        <v>198</v>
      </c>
      <c r="D11" s="195">
        <v>58.090000000052896</v>
      </c>
      <c r="E11" s="195">
        <v>37.962999999993194</v>
      </c>
      <c r="F11" s="195">
        <v>21.307600000015444</v>
      </c>
      <c r="G11" s="195">
        <v>219.13980000004014</v>
      </c>
      <c r="H11" s="195">
        <f t="shared" si="0"/>
        <v>336.50040000010165</v>
      </c>
      <c r="I11" s="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 s="334"/>
      <c r="NZ11" s="334"/>
      <c r="OA11" s="334"/>
      <c r="OB11" s="334"/>
      <c r="OC11" s="334"/>
      <c r="OD11" s="334"/>
      <c r="OE11" s="334"/>
      <c r="OF11" s="334"/>
      <c r="OG11" s="334"/>
      <c r="OH11" s="334"/>
      <c r="OI11" s="334"/>
      <c r="OJ11" s="334"/>
      <c r="OK11" s="334"/>
      <c r="OL11" s="334"/>
      <c r="OM11" s="334"/>
      <c r="ON11" s="334"/>
      <c r="OO11" s="334"/>
      <c r="OP11" s="334"/>
      <c r="OQ11" s="334"/>
      <c r="OR11" s="334"/>
      <c r="OS11" s="334"/>
      <c r="OT11" s="334"/>
      <c r="OU11" s="334"/>
      <c r="OV11" s="334"/>
      <c r="OW11" s="334"/>
      <c r="OX11" s="334"/>
      <c r="OY11" s="334"/>
      <c r="OZ11" s="334"/>
      <c r="PA11" s="334"/>
      <c r="PB11" s="334"/>
      <c r="PC11" s="334"/>
      <c r="PD11" s="334"/>
      <c r="PE11" s="334"/>
      <c r="PF11" s="334"/>
      <c r="PG11" s="334"/>
      <c r="PH11" s="334"/>
      <c r="PI11" s="334"/>
      <c r="PJ11" s="334"/>
      <c r="PK11" s="334"/>
      <c r="PL11" s="334"/>
      <c r="PM11" s="334"/>
      <c r="PN11" s="334"/>
      <c r="PO11" s="334"/>
      <c r="PP11" s="334"/>
      <c r="PQ11" s="334"/>
      <c r="PR11" s="334"/>
      <c r="PS11" s="334"/>
      <c r="PT11" s="334"/>
      <c r="PU11" s="334"/>
      <c r="PV11" s="334"/>
      <c r="PW11" s="334"/>
      <c r="PX11" s="334"/>
      <c r="PY11" s="334"/>
      <c r="PZ11" s="334"/>
      <c r="QA11" s="334"/>
      <c r="QB11" s="334"/>
      <c r="QC11" s="334"/>
      <c r="QD11" s="334"/>
      <c r="QE11" s="334"/>
      <c r="QF11" s="334"/>
      <c r="QG11" s="334"/>
      <c r="QH11" s="334"/>
      <c r="QI11" s="334"/>
      <c r="QJ11" s="334"/>
      <c r="QK11" s="334"/>
      <c r="QL11" s="334"/>
      <c r="QM11" s="334"/>
      <c r="QN11" s="334"/>
      <c r="QO11" s="334"/>
      <c r="QP11" s="334"/>
      <c r="QQ11" s="334"/>
      <c r="QR11" s="334"/>
      <c r="QS11" s="334"/>
      <c r="QT11" s="334"/>
      <c r="QU11" s="334"/>
      <c r="QV11" s="334"/>
      <c r="QW11" s="334"/>
      <c r="QX11" s="334"/>
      <c r="QY11" s="334"/>
      <c r="QZ11" s="334"/>
      <c r="RA11" s="334"/>
      <c r="RB11" s="334"/>
      <c r="RC11" s="334"/>
      <c r="RD11" s="334"/>
      <c r="RE11" s="334"/>
      <c r="RF11" s="334"/>
      <c r="RG11" s="334"/>
      <c r="RH11" s="334"/>
      <c r="RI11" s="334"/>
      <c r="RJ11" s="334"/>
      <c r="RK11" s="334"/>
      <c r="RL11" s="334"/>
      <c r="RM11" s="334"/>
      <c r="RN11" s="334"/>
      <c r="RO11" s="334"/>
      <c r="RP11" s="334"/>
      <c r="RQ11" s="334"/>
      <c r="RR11" s="334"/>
      <c r="RS11" s="334"/>
      <c r="RT11" s="334"/>
      <c r="RU11" s="334"/>
      <c r="RV11" s="334"/>
      <c r="RW11" s="334"/>
      <c r="RX11" s="334"/>
      <c r="RY11" s="334"/>
      <c r="RZ11" s="334"/>
      <c r="SA11" s="334"/>
      <c r="SB11" s="334"/>
      <c r="SC11" s="334"/>
      <c r="SD11" s="334"/>
      <c r="SE11" s="334"/>
      <c r="SF11" s="334"/>
      <c r="SG11" s="334"/>
      <c r="SH11" s="334"/>
      <c r="SI11" s="334"/>
      <c r="SJ11" s="334"/>
      <c r="SK11" s="334"/>
      <c r="SL11" s="334"/>
      <c r="SM11" s="334"/>
      <c r="SN11" s="334"/>
      <c r="SO11" s="334"/>
      <c r="SP11" s="334"/>
      <c r="SQ11" s="334"/>
      <c r="SR11" s="334"/>
      <c r="SS11" s="334"/>
      <c r="ST11" s="334"/>
      <c r="SU11" s="334"/>
      <c r="SV11" s="334"/>
      <c r="SW11" s="334"/>
      <c r="SX11" s="334"/>
      <c r="SY11" s="334"/>
      <c r="SZ11" s="334"/>
      <c r="TA11" s="334"/>
      <c r="TB11" s="334"/>
      <c r="TC11" s="334"/>
      <c r="TD11" s="334"/>
      <c r="TE11" s="334"/>
      <c r="TF11" s="334"/>
      <c r="TG11" s="334"/>
      <c r="TH11" s="334"/>
      <c r="TI11" s="334"/>
      <c r="TJ11" s="334"/>
      <c r="TK11" s="334"/>
      <c r="TL11" s="334"/>
      <c r="TM11" s="334"/>
      <c r="TN11" s="334"/>
      <c r="TO11" s="334"/>
      <c r="TP11" s="334"/>
      <c r="TQ11" s="334"/>
      <c r="TR11" s="334"/>
      <c r="TS11" s="334"/>
      <c r="TT11" s="334"/>
      <c r="TU11" s="334"/>
      <c r="TV11" s="334"/>
      <c r="TW11" s="334"/>
      <c r="TX11" s="334"/>
      <c r="TY11" s="334"/>
      <c r="TZ11" s="334"/>
      <c r="UA11" s="334"/>
      <c r="UB11" s="334"/>
      <c r="UC11" s="334"/>
      <c r="UD11" s="334"/>
      <c r="UE11" s="334"/>
      <c r="UF11" s="334"/>
      <c r="UG11" s="334"/>
      <c r="UH11" s="334"/>
      <c r="UI11" s="334"/>
      <c r="UJ11" s="334"/>
      <c r="UK11" s="334"/>
      <c r="UL11" s="334"/>
      <c r="UM11" s="334"/>
      <c r="UN11" s="334"/>
      <c r="UO11" s="334"/>
      <c r="UP11" s="334"/>
      <c r="UQ11" s="334"/>
      <c r="UR11" s="334"/>
      <c r="US11" s="334"/>
      <c r="UT11" s="334"/>
      <c r="UU11" s="334"/>
      <c r="UV11" s="334"/>
      <c r="UW11" s="334"/>
      <c r="UX11" s="334"/>
      <c r="UY11" s="334"/>
      <c r="UZ11" s="334"/>
      <c r="VA11" s="334"/>
      <c r="VB11" s="334"/>
      <c r="VC11" s="334"/>
      <c r="VD11" s="334"/>
      <c r="VE11" s="334"/>
      <c r="VF11" s="334"/>
      <c r="VG11" s="334"/>
      <c r="VH11" s="334"/>
      <c r="VI11" s="334"/>
    </row>
    <row r="12" spans="1:581" s="15" customFormat="1">
      <c r="A12"/>
      <c r="B12" s="58">
        <v>45754</v>
      </c>
      <c r="C12" s="58" t="s">
        <v>192</v>
      </c>
      <c r="D12" s="160">
        <v>303.5599999999522</v>
      </c>
      <c r="E12" s="160">
        <v>215.18449999998413</v>
      </c>
      <c r="F12" s="160">
        <v>213.2007999999945</v>
      </c>
      <c r="G12" s="160">
        <v>391.41189999997511</v>
      </c>
      <c r="H12" s="160">
        <f t="shared" si="0"/>
        <v>1123.357199999906</v>
      </c>
      <c r="I12" s="11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 s="334"/>
      <c r="NZ12" s="334"/>
      <c r="OA12" s="334"/>
      <c r="OB12" s="334"/>
      <c r="OC12" s="334"/>
      <c r="OD12" s="334"/>
      <c r="OE12" s="334"/>
      <c r="OF12" s="334"/>
      <c r="OG12" s="334"/>
      <c r="OH12" s="334"/>
      <c r="OI12" s="334"/>
      <c r="OJ12" s="334"/>
      <c r="OK12" s="334"/>
      <c r="OL12" s="334"/>
      <c r="OM12" s="334"/>
      <c r="ON12" s="334"/>
      <c r="OO12" s="334"/>
      <c r="OP12" s="334"/>
      <c r="OQ12" s="334"/>
      <c r="OR12" s="334"/>
      <c r="OS12" s="334"/>
      <c r="OT12" s="334"/>
      <c r="OU12" s="334"/>
      <c r="OV12" s="334"/>
      <c r="OW12" s="334"/>
      <c r="OX12" s="334"/>
      <c r="OY12" s="334"/>
      <c r="OZ12" s="334"/>
      <c r="PA12" s="334"/>
      <c r="PB12" s="334"/>
      <c r="PC12" s="334"/>
      <c r="PD12" s="334"/>
      <c r="PE12" s="334"/>
      <c r="PF12" s="334"/>
      <c r="PG12" s="334"/>
      <c r="PH12" s="334"/>
      <c r="PI12" s="334"/>
      <c r="PJ12" s="334"/>
      <c r="PK12" s="334"/>
      <c r="PL12" s="334"/>
      <c r="PM12" s="334"/>
      <c r="PN12" s="334"/>
      <c r="PO12" s="334"/>
      <c r="PP12" s="334"/>
      <c r="PQ12" s="334"/>
      <c r="PR12" s="334"/>
      <c r="PS12" s="334"/>
      <c r="PT12" s="334"/>
      <c r="PU12" s="334"/>
      <c r="PV12" s="334"/>
      <c r="PW12" s="334"/>
      <c r="PX12" s="334"/>
      <c r="PY12" s="334"/>
      <c r="PZ12" s="334"/>
      <c r="QA12" s="334"/>
      <c r="QB12" s="334"/>
      <c r="QC12" s="334"/>
      <c r="QD12" s="334"/>
      <c r="QE12" s="334"/>
      <c r="QF12" s="334"/>
      <c r="QG12" s="334"/>
      <c r="QH12" s="334"/>
      <c r="QI12" s="334"/>
      <c r="QJ12" s="334"/>
      <c r="QK12" s="334"/>
      <c r="QL12" s="334"/>
      <c r="QM12" s="334"/>
      <c r="QN12" s="334"/>
      <c r="QO12" s="334"/>
      <c r="QP12" s="334"/>
      <c r="QQ12" s="334"/>
      <c r="QR12" s="334"/>
      <c r="QS12" s="334"/>
      <c r="QT12" s="334"/>
      <c r="QU12" s="334"/>
      <c r="QV12" s="334"/>
      <c r="QW12" s="334"/>
      <c r="QX12" s="334"/>
      <c r="QY12" s="334"/>
      <c r="QZ12" s="334"/>
      <c r="RA12" s="334"/>
      <c r="RB12" s="334"/>
      <c r="RC12" s="334"/>
      <c r="RD12" s="334"/>
      <c r="RE12" s="334"/>
      <c r="RF12" s="334"/>
      <c r="RG12" s="334"/>
      <c r="RH12" s="334"/>
      <c r="RI12" s="334"/>
      <c r="RJ12" s="334"/>
      <c r="RK12" s="334"/>
      <c r="RL12" s="334"/>
      <c r="RM12" s="334"/>
      <c r="RN12" s="334"/>
      <c r="RO12" s="334"/>
      <c r="RP12" s="334"/>
      <c r="RQ12" s="334"/>
      <c r="RR12" s="334"/>
      <c r="RS12" s="334"/>
      <c r="RT12" s="334"/>
      <c r="RU12" s="334"/>
      <c r="RV12" s="334"/>
      <c r="RW12" s="334"/>
      <c r="RX12" s="334"/>
      <c r="RY12" s="334"/>
      <c r="RZ12" s="334"/>
      <c r="SA12" s="334"/>
      <c r="SB12" s="334"/>
      <c r="SC12" s="334"/>
      <c r="SD12" s="334"/>
      <c r="SE12" s="334"/>
      <c r="SF12" s="334"/>
      <c r="SG12" s="334"/>
      <c r="SH12" s="334"/>
      <c r="SI12" s="334"/>
      <c r="SJ12" s="334"/>
      <c r="SK12" s="334"/>
      <c r="SL12" s="334"/>
      <c r="SM12" s="334"/>
      <c r="SN12" s="334"/>
      <c r="SO12" s="334"/>
      <c r="SP12" s="334"/>
      <c r="SQ12" s="334"/>
      <c r="SR12" s="334"/>
      <c r="SS12" s="334"/>
      <c r="ST12" s="334"/>
      <c r="SU12" s="334"/>
      <c r="SV12" s="334"/>
      <c r="SW12" s="334"/>
      <c r="SX12" s="334"/>
      <c r="SY12" s="334"/>
      <c r="SZ12" s="334"/>
      <c r="TA12" s="334"/>
      <c r="TB12" s="334"/>
      <c r="TC12" s="334"/>
      <c r="TD12" s="334"/>
      <c r="TE12" s="334"/>
      <c r="TF12" s="334"/>
      <c r="TG12" s="334"/>
      <c r="TH12" s="334"/>
      <c r="TI12" s="334"/>
      <c r="TJ12" s="334"/>
      <c r="TK12" s="334"/>
      <c r="TL12" s="334"/>
      <c r="TM12" s="334"/>
      <c r="TN12" s="334"/>
      <c r="TO12" s="334"/>
      <c r="TP12" s="334"/>
      <c r="TQ12" s="334"/>
      <c r="TR12" s="334"/>
      <c r="TS12" s="334"/>
      <c r="TT12" s="334"/>
      <c r="TU12" s="334"/>
      <c r="TV12" s="334"/>
      <c r="TW12" s="334"/>
      <c r="TX12" s="334"/>
      <c r="TY12" s="334"/>
      <c r="TZ12" s="334"/>
      <c r="UA12" s="334"/>
      <c r="UB12" s="334"/>
      <c r="UC12" s="334"/>
      <c r="UD12" s="334"/>
      <c r="UE12" s="334"/>
      <c r="UF12" s="334"/>
      <c r="UG12" s="334"/>
      <c r="UH12" s="334"/>
      <c r="UI12" s="334"/>
      <c r="UJ12" s="334"/>
      <c r="UK12" s="334"/>
      <c r="UL12" s="334"/>
      <c r="UM12" s="334"/>
      <c r="UN12" s="334"/>
      <c r="UO12" s="334"/>
      <c r="UP12" s="334"/>
      <c r="UQ12" s="334"/>
      <c r="UR12" s="334"/>
      <c r="US12" s="334"/>
      <c r="UT12" s="334"/>
      <c r="UU12" s="334"/>
      <c r="UV12" s="334"/>
      <c r="UW12" s="334"/>
      <c r="UX12" s="334"/>
      <c r="UY12" s="334"/>
      <c r="UZ12" s="334"/>
      <c r="VA12" s="334"/>
      <c r="VB12" s="334"/>
      <c r="VC12" s="334"/>
      <c r="VD12" s="334"/>
      <c r="VE12" s="334"/>
      <c r="VF12" s="334"/>
      <c r="VG12" s="334"/>
      <c r="VH12" s="334"/>
      <c r="VI12" s="334"/>
    </row>
    <row r="13" spans="1:581" s="15" customFormat="1">
      <c r="A13"/>
      <c r="B13" s="58">
        <v>45755</v>
      </c>
      <c r="C13" s="58" t="s">
        <v>193</v>
      </c>
      <c r="D13" s="160">
        <v>299.11999999993895</v>
      </c>
      <c r="E13" s="160">
        <v>207.4855000000025</v>
      </c>
      <c r="F13" s="160">
        <v>222.81399999999331</v>
      </c>
      <c r="G13" s="160">
        <v>666.52410000000771</v>
      </c>
      <c r="H13" s="160">
        <f t="shared" si="0"/>
        <v>1395.9435999999423</v>
      </c>
      <c r="I13" s="11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 s="334"/>
      <c r="NZ13" s="334"/>
      <c r="OA13" s="334"/>
      <c r="OB13" s="334"/>
      <c r="OC13" s="334"/>
      <c r="OD13" s="334"/>
      <c r="OE13" s="334"/>
      <c r="OF13" s="334"/>
      <c r="OG13" s="334"/>
      <c r="OH13" s="334"/>
      <c r="OI13" s="334"/>
      <c r="OJ13" s="334"/>
      <c r="OK13" s="334"/>
      <c r="OL13" s="334"/>
      <c r="OM13" s="334"/>
      <c r="ON13" s="334"/>
      <c r="OO13" s="334"/>
      <c r="OP13" s="334"/>
      <c r="OQ13" s="334"/>
      <c r="OR13" s="334"/>
      <c r="OS13" s="334"/>
      <c r="OT13" s="334"/>
      <c r="OU13" s="334"/>
      <c r="OV13" s="334"/>
      <c r="OW13" s="334"/>
      <c r="OX13" s="334"/>
      <c r="OY13" s="334"/>
      <c r="OZ13" s="334"/>
      <c r="PA13" s="334"/>
      <c r="PB13" s="334"/>
      <c r="PC13" s="334"/>
      <c r="PD13" s="334"/>
      <c r="PE13" s="334"/>
      <c r="PF13" s="334"/>
      <c r="PG13" s="334"/>
      <c r="PH13" s="334"/>
      <c r="PI13" s="334"/>
      <c r="PJ13" s="334"/>
      <c r="PK13" s="334"/>
      <c r="PL13" s="334"/>
      <c r="PM13" s="334"/>
      <c r="PN13" s="334"/>
      <c r="PO13" s="334"/>
      <c r="PP13" s="334"/>
      <c r="PQ13" s="334"/>
      <c r="PR13" s="334"/>
      <c r="PS13" s="334"/>
      <c r="PT13" s="334"/>
      <c r="PU13" s="334"/>
      <c r="PV13" s="334"/>
      <c r="PW13" s="334"/>
      <c r="PX13" s="334"/>
      <c r="PY13" s="334"/>
      <c r="PZ13" s="334"/>
      <c r="QA13" s="334"/>
      <c r="QB13" s="334"/>
      <c r="QC13" s="334"/>
      <c r="QD13" s="334"/>
      <c r="QE13" s="334"/>
      <c r="QF13" s="334"/>
      <c r="QG13" s="334"/>
      <c r="QH13" s="334"/>
      <c r="QI13" s="334"/>
      <c r="QJ13" s="334"/>
      <c r="QK13" s="334"/>
      <c r="QL13" s="334"/>
      <c r="QM13" s="334"/>
      <c r="QN13" s="334"/>
      <c r="QO13" s="334"/>
      <c r="QP13" s="334"/>
      <c r="QQ13" s="334"/>
      <c r="QR13" s="334"/>
      <c r="QS13" s="334"/>
      <c r="QT13" s="334"/>
      <c r="QU13" s="334"/>
      <c r="QV13" s="334"/>
      <c r="QW13" s="334"/>
      <c r="QX13" s="334"/>
      <c r="QY13" s="334"/>
      <c r="QZ13" s="334"/>
      <c r="RA13" s="334"/>
      <c r="RB13" s="334"/>
      <c r="RC13" s="334"/>
      <c r="RD13" s="334"/>
      <c r="RE13" s="334"/>
      <c r="RF13" s="334"/>
      <c r="RG13" s="334"/>
      <c r="RH13" s="334"/>
      <c r="RI13" s="334"/>
      <c r="RJ13" s="334"/>
      <c r="RK13" s="334"/>
      <c r="RL13" s="334"/>
      <c r="RM13" s="334"/>
      <c r="RN13" s="334"/>
      <c r="RO13" s="334"/>
      <c r="RP13" s="334"/>
      <c r="RQ13" s="334"/>
      <c r="RR13" s="334"/>
      <c r="RS13" s="334"/>
      <c r="RT13" s="334"/>
      <c r="RU13" s="334"/>
      <c r="RV13" s="334"/>
      <c r="RW13" s="334"/>
      <c r="RX13" s="334"/>
      <c r="RY13" s="334"/>
      <c r="RZ13" s="334"/>
      <c r="SA13" s="334"/>
      <c r="SB13" s="334"/>
      <c r="SC13" s="334"/>
      <c r="SD13" s="334"/>
      <c r="SE13" s="334"/>
      <c r="SF13" s="334"/>
      <c r="SG13" s="334"/>
      <c r="SH13" s="334"/>
      <c r="SI13" s="334"/>
      <c r="SJ13" s="334"/>
      <c r="SK13" s="334"/>
      <c r="SL13" s="334"/>
      <c r="SM13" s="334"/>
      <c r="SN13" s="334"/>
      <c r="SO13" s="334"/>
      <c r="SP13" s="334"/>
      <c r="SQ13" s="334"/>
      <c r="SR13" s="334"/>
      <c r="SS13" s="334"/>
      <c r="ST13" s="334"/>
      <c r="SU13" s="334"/>
      <c r="SV13" s="334"/>
      <c r="SW13" s="334"/>
      <c r="SX13" s="334"/>
      <c r="SY13" s="334"/>
      <c r="SZ13" s="334"/>
      <c r="TA13" s="334"/>
      <c r="TB13" s="334"/>
      <c r="TC13" s="334"/>
      <c r="TD13" s="334"/>
      <c r="TE13" s="334"/>
      <c r="TF13" s="334"/>
      <c r="TG13" s="334"/>
      <c r="TH13" s="334"/>
      <c r="TI13" s="334"/>
      <c r="TJ13" s="334"/>
      <c r="TK13" s="334"/>
      <c r="TL13" s="334"/>
      <c r="TM13" s="334"/>
      <c r="TN13" s="334"/>
      <c r="TO13" s="334"/>
      <c r="TP13" s="334"/>
      <c r="TQ13" s="334"/>
      <c r="TR13" s="334"/>
      <c r="TS13" s="334"/>
      <c r="TT13" s="334"/>
      <c r="TU13" s="334"/>
      <c r="TV13" s="334"/>
      <c r="TW13" s="334"/>
      <c r="TX13" s="334"/>
      <c r="TY13" s="334"/>
      <c r="TZ13" s="334"/>
      <c r="UA13" s="334"/>
      <c r="UB13" s="334"/>
      <c r="UC13" s="334"/>
      <c r="UD13" s="334"/>
      <c r="UE13" s="334"/>
      <c r="UF13" s="334"/>
      <c r="UG13" s="334"/>
      <c r="UH13" s="334"/>
      <c r="UI13" s="334"/>
      <c r="UJ13" s="334"/>
      <c r="UK13" s="334"/>
      <c r="UL13" s="334"/>
      <c r="UM13" s="334"/>
      <c r="UN13" s="334"/>
      <c r="UO13" s="334"/>
      <c r="UP13" s="334"/>
      <c r="UQ13" s="334"/>
      <c r="UR13" s="334"/>
      <c r="US13" s="334"/>
      <c r="UT13" s="334"/>
      <c r="UU13" s="334"/>
      <c r="UV13" s="334"/>
      <c r="UW13" s="334"/>
      <c r="UX13" s="334"/>
      <c r="UY13" s="334"/>
      <c r="UZ13" s="334"/>
      <c r="VA13" s="334"/>
      <c r="VB13" s="334"/>
      <c r="VC13" s="334"/>
      <c r="VD13" s="334"/>
      <c r="VE13" s="334"/>
      <c r="VF13" s="334"/>
      <c r="VG13" s="334"/>
      <c r="VH13" s="334"/>
      <c r="VI13" s="334"/>
    </row>
    <row r="14" spans="1:581" s="15" customFormat="1">
      <c r="A14"/>
      <c r="B14" s="58">
        <v>45756</v>
      </c>
      <c r="C14" s="58" t="s">
        <v>194</v>
      </c>
      <c r="D14" s="160">
        <v>308.8300000001127</v>
      </c>
      <c r="E14" s="160">
        <v>215.44300000000149</v>
      </c>
      <c r="F14" s="160">
        <v>221.49039999999891</v>
      </c>
      <c r="G14" s="160">
        <v>676.26019999996265</v>
      </c>
      <c r="H14" s="160">
        <f t="shared" si="0"/>
        <v>1422.0236000000757</v>
      </c>
      <c r="I14" s="11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 s="334"/>
      <c r="NZ14" s="334"/>
      <c r="OA14" s="334"/>
      <c r="OB14" s="334"/>
      <c r="OC14" s="334"/>
      <c r="OD14" s="334"/>
      <c r="OE14" s="334"/>
      <c r="OF14" s="334"/>
      <c r="OG14" s="334"/>
      <c r="OH14" s="334"/>
      <c r="OI14" s="334"/>
      <c r="OJ14" s="334"/>
      <c r="OK14" s="334"/>
      <c r="OL14" s="334"/>
      <c r="OM14" s="334"/>
      <c r="ON14" s="334"/>
      <c r="OO14" s="334"/>
      <c r="OP14" s="334"/>
      <c r="OQ14" s="334"/>
      <c r="OR14" s="334"/>
      <c r="OS14" s="334"/>
      <c r="OT14" s="334"/>
      <c r="OU14" s="334"/>
      <c r="OV14" s="334"/>
      <c r="OW14" s="334"/>
      <c r="OX14" s="334"/>
      <c r="OY14" s="334"/>
      <c r="OZ14" s="334"/>
      <c r="PA14" s="334"/>
      <c r="PB14" s="334"/>
      <c r="PC14" s="334"/>
      <c r="PD14" s="334"/>
      <c r="PE14" s="334"/>
      <c r="PF14" s="334"/>
      <c r="PG14" s="334"/>
      <c r="PH14" s="334"/>
      <c r="PI14" s="334"/>
      <c r="PJ14" s="334"/>
      <c r="PK14" s="334"/>
      <c r="PL14" s="334"/>
      <c r="PM14" s="334"/>
      <c r="PN14" s="334"/>
      <c r="PO14" s="334"/>
      <c r="PP14" s="334"/>
      <c r="PQ14" s="334"/>
      <c r="PR14" s="334"/>
      <c r="PS14" s="334"/>
      <c r="PT14" s="334"/>
      <c r="PU14" s="334"/>
      <c r="PV14" s="334"/>
      <c r="PW14" s="334"/>
      <c r="PX14" s="334"/>
      <c r="PY14" s="334"/>
      <c r="PZ14" s="334"/>
      <c r="QA14" s="334"/>
      <c r="QB14" s="334"/>
      <c r="QC14" s="334"/>
      <c r="QD14" s="334"/>
      <c r="QE14" s="334"/>
      <c r="QF14" s="334"/>
      <c r="QG14" s="334"/>
      <c r="QH14" s="334"/>
      <c r="QI14" s="334"/>
      <c r="QJ14" s="334"/>
      <c r="QK14" s="334"/>
      <c r="QL14" s="334"/>
      <c r="QM14" s="334"/>
      <c r="QN14" s="334"/>
      <c r="QO14" s="334"/>
      <c r="QP14" s="334"/>
      <c r="QQ14" s="334"/>
      <c r="QR14" s="334"/>
      <c r="QS14" s="334"/>
      <c r="QT14" s="334"/>
      <c r="QU14" s="334"/>
      <c r="QV14" s="334"/>
      <c r="QW14" s="334"/>
      <c r="QX14" s="334"/>
      <c r="QY14" s="334"/>
      <c r="QZ14" s="334"/>
      <c r="RA14" s="334"/>
      <c r="RB14" s="334"/>
      <c r="RC14" s="334"/>
      <c r="RD14" s="334"/>
      <c r="RE14" s="334"/>
      <c r="RF14" s="334"/>
      <c r="RG14" s="334"/>
      <c r="RH14" s="334"/>
      <c r="RI14" s="334"/>
      <c r="RJ14" s="334"/>
      <c r="RK14" s="334"/>
      <c r="RL14" s="334"/>
      <c r="RM14" s="334"/>
      <c r="RN14" s="334"/>
      <c r="RO14" s="334"/>
      <c r="RP14" s="334"/>
      <c r="RQ14" s="334"/>
      <c r="RR14" s="334"/>
      <c r="RS14" s="334"/>
      <c r="RT14" s="334"/>
      <c r="RU14" s="334"/>
      <c r="RV14" s="334"/>
      <c r="RW14" s="334"/>
      <c r="RX14" s="334"/>
      <c r="RY14" s="334"/>
      <c r="RZ14" s="334"/>
      <c r="SA14" s="334"/>
      <c r="SB14" s="334"/>
      <c r="SC14" s="334"/>
      <c r="SD14" s="334"/>
      <c r="SE14" s="334"/>
      <c r="SF14" s="334"/>
      <c r="SG14" s="334"/>
      <c r="SH14" s="334"/>
      <c r="SI14" s="334"/>
      <c r="SJ14" s="334"/>
      <c r="SK14" s="334"/>
      <c r="SL14" s="334"/>
      <c r="SM14" s="334"/>
      <c r="SN14" s="334"/>
      <c r="SO14" s="334"/>
      <c r="SP14" s="334"/>
      <c r="SQ14" s="334"/>
      <c r="SR14" s="334"/>
      <c r="SS14" s="334"/>
      <c r="ST14" s="334"/>
      <c r="SU14" s="334"/>
      <c r="SV14" s="334"/>
      <c r="SW14" s="334"/>
      <c r="SX14" s="334"/>
      <c r="SY14" s="334"/>
      <c r="SZ14" s="334"/>
      <c r="TA14" s="334"/>
      <c r="TB14" s="334"/>
      <c r="TC14" s="334"/>
      <c r="TD14" s="334"/>
      <c r="TE14" s="334"/>
      <c r="TF14" s="334"/>
      <c r="TG14" s="334"/>
      <c r="TH14" s="334"/>
      <c r="TI14" s="334"/>
      <c r="TJ14" s="334"/>
      <c r="TK14" s="334"/>
      <c r="TL14" s="334"/>
      <c r="TM14" s="334"/>
      <c r="TN14" s="334"/>
      <c r="TO14" s="334"/>
      <c r="TP14" s="334"/>
      <c r="TQ14" s="334"/>
      <c r="TR14" s="334"/>
      <c r="TS14" s="334"/>
      <c r="TT14" s="334"/>
      <c r="TU14" s="334"/>
      <c r="TV14" s="334"/>
      <c r="TW14" s="334"/>
      <c r="TX14" s="334"/>
      <c r="TY14" s="334"/>
      <c r="TZ14" s="334"/>
      <c r="UA14" s="334"/>
      <c r="UB14" s="334"/>
      <c r="UC14" s="334"/>
      <c r="UD14" s="334"/>
      <c r="UE14" s="334"/>
      <c r="UF14" s="334"/>
      <c r="UG14" s="334"/>
      <c r="UH14" s="334"/>
      <c r="UI14" s="334"/>
      <c r="UJ14" s="334"/>
      <c r="UK14" s="334"/>
      <c r="UL14" s="334"/>
      <c r="UM14" s="334"/>
      <c r="UN14" s="334"/>
      <c r="UO14" s="334"/>
      <c r="UP14" s="334"/>
      <c r="UQ14" s="334"/>
      <c r="UR14" s="334"/>
      <c r="US14" s="334"/>
      <c r="UT14" s="334"/>
      <c r="UU14" s="334"/>
      <c r="UV14" s="334"/>
      <c r="UW14" s="334"/>
      <c r="UX14" s="334"/>
      <c r="UY14" s="334"/>
      <c r="UZ14" s="334"/>
      <c r="VA14" s="334"/>
      <c r="VB14" s="334"/>
      <c r="VC14" s="334"/>
      <c r="VD14" s="334"/>
      <c r="VE14" s="334"/>
      <c r="VF14" s="334"/>
      <c r="VG14" s="334"/>
      <c r="VH14" s="334"/>
      <c r="VI14" s="334"/>
    </row>
    <row r="15" spans="1:581">
      <c r="B15" s="58">
        <v>45757</v>
      </c>
      <c r="C15" s="58" t="s">
        <v>195</v>
      </c>
      <c r="D15" s="160">
        <v>320.00999999988198</v>
      </c>
      <c r="E15" s="160">
        <v>221.80400000001393</v>
      </c>
      <c r="F15" s="160">
        <v>220.66160000000005</v>
      </c>
      <c r="G15" s="160">
        <v>612.74290000001349</v>
      </c>
      <c r="H15" s="160">
        <f t="shared" si="0"/>
        <v>1375.2184999999095</v>
      </c>
      <c r="I15" s="235"/>
      <c r="J15" s="236"/>
      <c r="K15" s="236"/>
      <c r="NY15" s="334"/>
      <c r="NZ15" s="334"/>
      <c r="OA15" s="334"/>
      <c r="OB15" s="334"/>
      <c r="OC15" s="334"/>
      <c r="OD15" s="334"/>
      <c r="OE15" s="334"/>
      <c r="OF15" s="334"/>
      <c r="OG15" s="334"/>
      <c r="OH15" s="334"/>
      <c r="OI15" s="334"/>
      <c r="OJ15" s="334"/>
      <c r="OK15" s="334"/>
      <c r="OL15" s="334"/>
      <c r="OM15" s="334"/>
      <c r="ON15" s="334"/>
      <c r="OO15" s="334"/>
      <c r="OP15" s="334"/>
      <c r="OQ15" s="334"/>
      <c r="OR15" s="334"/>
      <c r="OS15" s="334"/>
      <c r="OT15" s="334"/>
      <c r="OU15" s="334"/>
      <c r="OV15" s="334"/>
      <c r="OW15" s="334"/>
      <c r="OX15" s="334"/>
      <c r="OY15" s="334"/>
      <c r="OZ15" s="334"/>
      <c r="PA15" s="334"/>
      <c r="PB15" s="334"/>
      <c r="PC15" s="334"/>
      <c r="PD15" s="334"/>
      <c r="PE15" s="334"/>
      <c r="PF15" s="334"/>
      <c r="PG15" s="334"/>
      <c r="PH15" s="334"/>
      <c r="PI15" s="334"/>
      <c r="PJ15" s="334"/>
      <c r="PK15" s="334"/>
      <c r="PL15" s="334"/>
      <c r="PM15" s="334"/>
      <c r="PN15" s="334"/>
      <c r="PO15" s="334"/>
      <c r="PP15" s="334"/>
      <c r="PQ15" s="334"/>
      <c r="PR15" s="334"/>
      <c r="PS15" s="334"/>
      <c r="PT15" s="334"/>
      <c r="PU15" s="334"/>
      <c r="PV15" s="334"/>
      <c r="PW15" s="334"/>
      <c r="PX15" s="334"/>
      <c r="PY15" s="334"/>
      <c r="PZ15" s="334"/>
      <c r="QA15" s="334"/>
      <c r="QB15" s="334"/>
      <c r="QC15" s="334"/>
      <c r="QD15" s="334"/>
      <c r="QE15" s="334"/>
      <c r="QF15" s="334"/>
      <c r="QG15" s="334"/>
      <c r="QH15" s="334"/>
      <c r="QI15" s="334"/>
      <c r="QJ15" s="334"/>
      <c r="QK15" s="334"/>
      <c r="QL15" s="334"/>
      <c r="QM15" s="334"/>
      <c r="QN15" s="334"/>
      <c r="QO15" s="334"/>
      <c r="QP15" s="334"/>
      <c r="QQ15" s="334"/>
      <c r="QR15" s="334"/>
      <c r="QS15" s="334"/>
      <c r="QT15" s="334"/>
      <c r="QU15" s="334"/>
      <c r="QV15" s="334"/>
      <c r="QW15" s="334"/>
      <c r="QX15" s="334"/>
      <c r="QY15" s="334"/>
      <c r="QZ15" s="334"/>
      <c r="RA15" s="334"/>
      <c r="RB15" s="334"/>
      <c r="RC15" s="334"/>
      <c r="RD15" s="334"/>
      <c r="RE15" s="334"/>
      <c r="RF15" s="334"/>
      <c r="RG15" s="334"/>
      <c r="RH15" s="334"/>
      <c r="RI15" s="334"/>
      <c r="RJ15" s="334"/>
      <c r="RK15" s="334"/>
      <c r="RL15" s="334"/>
      <c r="RM15" s="334"/>
      <c r="RN15" s="334"/>
      <c r="RO15" s="334"/>
      <c r="RP15" s="334"/>
      <c r="RQ15" s="334"/>
      <c r="RR15" s="334"/>
      <c r="RS15" s="334"/>
      <c r="RT15" s="334"/>
      <c r="RU15" s="334"/>
      <c r="RV15" s="334"/>
      <c r="RW15" s="334"/>
      <c r="RX15" s="334"/>
      <c r="RY15" s="334"/>
      <c r="RZ15" s="334"/>
      <c r="SA15" s="334"/>
      <c r="SB15" s="334"/>
      <c r="SC15" s="334"/>
      <c r="SD15" s="334"/>
      <c r="SE15" s="334"/>
      <c r="SF15" s="334"/>
      <c r="SG15" s="334"/>
      <c r="SH15" s="334"/>
      <c r="SI15" s="334"/>
      <c r="SJ15" s="334"/>
      <c r="SK15" s="334"/>
      <c r="SL15" s="334"/>
      <c r="SM15" s="334"/>
      <c r="SN15" s="334"/>
      <c r="SO15" s="334"/>
      <c r="SP15" s="334"/>
      <c r="SQ15" s="334"/>
      <c r="SR15" s="334"/>
      <c r="SS15" s="334"/>
      <c r="ST15" s="334"/>
      <c r="SU15" s="334"/>
      <c r="SV15" s="334"/>
      <c r="SW15" s="334"/>
      <c r="SX15" s="334"/>
      <c r="SY15" s="334"/>
      <c r="SZ15" s="334"/>
      <c r="TA15" s="334"/>
      <c r="TB15" s="334"/>
      <c r="TC15" s="334"/>
      <c r="TD15" s="334"/>
      <c r="TE15" s="334"/>
      <c r="TF15" s="334"/>
      <c r="TG15" s="334"/>
      <c r="TH15" s="334"/>
      <c r="TI15" s="334"/>
      <c r="TJ15" s="334"/>
      <c r="TK15" s="334"/>
      <c r="TL15" s="334"/>
      <c r="TM15" s="334"/>
      <c r="TN15" s="334"/>
      <c r="TO15" s="334"/>
      <c r="TP15" s="334"/>
      <c r="TQ15" s="334"/>
      <c r="TR15" s="334"/>
      <c r="TS15" s="334"/>
      <c r="TT15" s="334"/>
      <c r="TU15" s="334"/>
      <c r="TV15" s="334"/>
      <c r="TW15" s="334"/>
      <c r="TX15" s="334"/>
      <c r="TY15" s="334"/>
      <c r="TZ15" s="334"/>
      <c r="UA15" s="334"/>
      <c r="UB15" s="334"/>
      <c r="UC15" s="334"/>
      <c r="UD15" s="334"/>
      <c r="UE15" s="334"/>
      <c r="UF15" s="334"/>
      <c r="UG15" s="334"/>
      <c r="UH15" s="334"/>
      <c r="UI15" s="334"/>
      <c r="UJ15" s="334"/>
      <c r="UK15" s="334"/>
      <c r="UL15" s="334"/>
      <c r="UM15" s="334"/>
      <c r="UN15" s="334"/>
      <c r="UO15" s="334"/>
      <c r="UP15" s="334"/>
      <c r="UQ15" s="334"/>
      <c r="UR15" s="334"/>
      <c r="US15" s="334"/>
      <c r="UT15" s="334"/>
      <c r="UU15" s="334"/>
      <c r="UV15" s="334"/>
      <c r="UW15" s="334"/>
      <c r="UX15" s="334"/>
      <c r="UY15" s="334"/>
      <c r="UZ15" s="334"/>
      <c r="VA15" s="334"/>
      <c r="VB15" s="334"/>
      <c r="VC15" s="334"/>
      <c r="VD15" s="334"/>
      <c r="VE15" s="334"/>
      <c r="VF15" s="334"/>
      <c r="VG15" s="334"/>
      <c r="VH15" s="334"/>
      <c r="VI15" s="334"/>
    </row>
    <row r="16" spans="1:581" s="15" customFormat="1">
      <c r="B16" s="58">
        <v>45758</v>
      </c>
      <c r="C16" s="58" t="s">
        <v>196</v>
      </c>
      <c r="D16" s="160">
        <v>295.28000000011889</v>
      </c>
      <c r="E16" s="160">
        <v>223.73650000000998</v>
      </c>
      <c r="F16" s="160">
        <v>226.77960000000161</v>
      </c>
      <c r="G16" s="160">
        <v>609.02269999998521</v>
      </c>
      <c r="H16" s="160">
        <f t="shared" si="0"/>
        <v>1354.8188000001157</v>
      </c>
      <c r="I16" s="235"/>
      <c r="J16" s="236"/>
      <c r="K16" s="245"/>
      <c r="L16" s="236"/>
      <c r="M16" s="236"/>
      <c r="N16" s="236"/>
      <c r="O16" s="23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 s="334"/>
      <c r="NZ16" s="334"/>
      <c r="OA16" s="334"/>
      <c r="OB16" s="334"/>
      <c r="OC16" s="334"/>
      <c r="OD16" s="334"/>
      <c r="OE16" s="334"/>
      <c r="OF16" s="334"/>
      <c r="OG16" s="334"/>
      <c r="OH16" s="334"/>
      <c r="OI16" s="334"/>
      <c r="OJ16" s="334"/>
      <c r="OK16" s="334"/>
      <c r="OL16" s="334"/>
      <c r="OM16" s="334"/>
      <c r="ON16" s="334"/>
      <c r="OO16" s="334"/>
      <c r="OP16" s="334"/>
      <c r="OQ16" s="334"/>
      <c r="OR16" s="334"/>
      <c r="OS16" s="334"/>
      <c r="OT16" s="334"/>
      <c r="OU16" s="334"/>
      <c r="OV16" s="334"/>
      <c r="OW16" s="334"/>
      <c r="OX16" s="334"/>
      <c r="OY16" s="334"/>
      <c r="OZ16" s="334"/>
      <c r="PA16" s="334"/>
      <c r="PB16" s="334"/>
      <c r="PC16" s="334"/>
      <c r="PD16" s="334"/>
      <c r="PE16" s="334"/>
      <c r="PF16" s="334"/>
      <c r="PG16" s="334"/>
      <c r="PH16" s="334"/>
      <c r="PI16" s="334"/>
      <c r="PJ16" s="334"/>
      <c r="PK16" s="334"/>
      <c r="PL16" s="334"/>
      <c r="PM16" s="334"/>
      <c r="PN16" s="334"/>
      <c r="PO16" s="334"/>
      <c r="PP16" s="334"/>
      <c r="PQ16" s="334"/>
      <c r="PR16" s="334"/>
      <c r="PS16" s="334"/>
      <c r="PT16" s="334"/>
      <c r="PU16" s="334"/>
      <c r="PV16" s="334"/>
      <c r="PW16" s="334"/>
      <c r="PX16" s="334"/>
      <c r="PY16" s="334"/>
      <c r="PZ16" s="334"/>
      <c r="QA16" s="334"/>
      <c r="QB16" s="334"/>
      <c r="QC16" s="334"/>
      <c r="QD16" s="334"/>
      <c r="QE16" s="334"/>
      <c r="QF16" s="334"/>
      <c r="QG16" s="334"/>
      <c r="QH16" s="334"/>
      <c r="QI16" s="334"/>
      <c r="QJ16" s="334"/>
      <c r="QK16" s="334"/>
      <c r="QL16" s="334"/>
      <c r="QM16" s="334"/>
      <c r="QN16" s="334"/>
      <c r="QO16" s="334"/>
      <c r="QP16" s="334"/>
      <c r="QQ16" s="334"/>
      <c r="QR16" s="334"/>
      <c r="QS16" s="334"/>
      <c r="QT16" s="334"/>
      <c r="QU16" s="334"/>
      <c r="QV16" s="334"/>
      <c r="QW16" s="334"/>
      <c r="QX16" s="334"/>
      <c r="QY16" s="334"/>
      <c r="QZ16" s="334"/>
      <c r="RA16" s="334"/>
      <c r="RB16" s="334"/>
      <c r="RC16" s="334"/>
      <c r="RD16" s="334"/>
      <c r="RE16" s="334"/>
      <c r="RF16" s="334"/>
      <c r="RG16" s="334"/>
      <c r="RH16" s="334"/>
      <c r="RI16" s="334"/>
      <c r="RJ16" s="334"/>
      <c r="RK16" s="334"/>
      <c r="RL16" s="334"/>
      <c r="RM16" s="334"/>
      <c r="RN16" s="334"/>
      <c r="RO16" s="334"/>
      <c r="RP16" s="334"/>
      <c r="RQ16" s="334"/>
      <c r="RR16" s="334"/>
      <c r="RS16" s="334"/>
      <c r="RT16" s="334"/>
      <c r="RU16" s="334"/>
      <c r="RV16" s="334"/>
      <c r="RW16" s="334"/>
      <c r="RX16" s="334"/>
      <c r="RY16" s="334"/>
      <c r="RZ16" s="334"/>
      <c r="SA16" s="334"/>
      <c r="SB16" s="334"/>
      <c r="SC16" s="334"/>
      <c r="SD16" s="334"/>
      <c r="SE16" s="334"/>
      <c r="SF16" s="334"/>
      <c r="SG16" s="334"/>
      <c r="SH16" s="334"/>
      <c r="SI16" s="334"/>
      <c r="SJ16" s="334"/>
      <c r="SK16" s="334"/>
      <c r="SL16" s="334"/>
      <c r="SM16" s="334"/>
      <c r="SN16" s="334"/>
      <c r="SO16" s="334"/>
      <c r="SP16" s="334"/>
      <c r="SQ16" s="334"/>
      <c r="SR16" s="334"/>
      <c r="SS16" s="334"/>
      <c r="ST16" s="334"/>
      <c r="SU16" s="334"/>
      <c r="SV16" s="334"/>
      <c r="SW16" s="334"/>
      <c r="SX16" s="334"/>
      <c r="SY16" s="334"/>
      <c r="SZ16" s="334"/>
      <c r="TA16" s="334"/>
      <c r="TB16" s="334"/>
      <c r="TC16" s="334"/>
      <c r="TD16" s="334"/>
      <c r="TE16" s="334"/>
      <c r="TF16" s="334"/>
      <c r="TG16" s="334"/>
      <c r="TH16" s="334"/>
      <c r="TI16" s="334"/>
      <c r="TJ16" s="334"/>
      <c r="TK16" s="334"/>
      <c r="TL16" s="334"/>
      <c r="TM16" s="334"/>
      <c r="TN16" s="334"/>
      <c r="TO16" s="334"/>
      <c r="TP16" s="334"/>
      <c r="TQ16" s="334"/>
      <c r="TR16" s="334"/>
      <c r="TS16" s="334"/>
      <c r="TT16" s="334"/>
      <c r="TU16" s="334"/>
      <c r="TV16" s="334"/>
      <c r="TW16" s="334"/>
      <c r="TX16" s="334"/>
      <c r="TY16" s="334"/>
      <c r="TZ16" s="334"/>
      <c r="UA16" s="334"/>
      <c r="UB16" s="334"/>
      <c r="UC16" s="334"/>
      <c r="UD16" s="334"/>
      <c r="UE16" s="334"/>
      <c r="UF16" s="334"/>
      <c r="UG16" s="334"/>
      <c r="UH16" s="334"/>
      <c r="UI16" s="334"/>
      <c r="UJ16" s="334"/>
      <c r="UK16" s="334"/>
      <c r="UL16" s="334"/>
      <c r="UM16" s="334"/>
      <c r="UN16" s="334"/>
      <c r="UO16" s="334"/>
      <c r="UP16" s="334"/>
      <c r="UQ16" s="334"/>
      <c r="UR16" s="334"/>
      <c r="US16" s="334"/>
      <c r="UT16" s="334"/>
      <c r="UU16" s="334"/>
      <c r="UV16" s="334"/>
      <c r="UW16" s="334"/>
      <c r="UX16" s="334"/>
      <c r="UY16" s="334"/>
      <c r="UZ16" s="334"/>
      <c r="VA16" s="334"/>
      <c r="VB16" s="334"/>
      <c r="VC16" s="334"/>
      <c r="VD16" s="334"/>
      <c r="VE16" s="334"/>
      <c r="VF16" s="334"/>
      <c r="VG16" s="334"/>
      <c r="VH16" s="334"/>
      <c r="VI16" s="334"/>
    </row>
    <row r="17" spans="1:581" s="15" customFormat="1">
      <c r="A17"/>
      <c r="B17" s="58">
        <v>45759</v>
      </c>
      <c r="C17" s="58" t="s">
        <v>197</v>
      </c>
      <c r="D17" s="160">
        <v>257.2699999999968</v>
      </c>
      <c r="E17" s="160">
        <v>187.97499999999275</v>
      </c>
      <c r="F17" s="160">
        <v>205.77399999999719</v>
      </c>
      <c r="G17" s="160">
        <v>632.61329999999123</v>
      </c>
      <c r="H17" s="160">
        <f t="shared" si="0"/>
        <v>1283.6322999999779</v>
      </c>
      <c r="I17" s="235"/>
      <c r="J17" s="236"/>
      <c r="K17" s="236"/>
      <c r="L17" s="236"/>
      <c r="M17" s="236"/>
      <c r="N17" s="236"/>
      <c r="O17" s="236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 s="334"/>
      <c r="NZ17" s="334"/>
      <c r="OA17" s="334"/>
      <c r="OB17" s="334"/>
      <c r="OC17" s="334"/>
      <c r="OD17" s="334"/>
      <c r="OE17" s="334"/>
      <c r="OF17" s="334"/>
      <c r="OG17" s="334"/>
      <c r="OH17" s="334"/>
      <c r="OI17" s="334"/>
      <c r="OJ17" s="334"/>
      <c r="OK17" s="334"/>
      <c r="OL17" s="334"/>
      <c r="OM17" s="334"/>
      <c r="ON17" s="334"/>
      <c r="OO17" s="334"/>
      <c r="OP17" s="334"/>
      <c r="OQ17" s="334"/>
      <c r="OR17" s="334"/>
      <c r="OS17" s="334"/>
      <c r="OT17" s="334"/>
      <c r="OU17" s="334"/>
      <c r="OV17" s="334"/>
      <c r="OW17" s="334"/>
      <c r="OX17" s="334"/>
      <c r="OY17" s="334"/>
      <c r="OZ17" s="334"/>
      <c r="PA17" s="334"/>
      <c r="PB17" s="334"/>
      <c r="PC17" s="334"/>
      <c r="PD17" s="334"/>
      <c r="PE17" s="334"/>
      <c r="PF17" s="334"/>
      <c r="PG17" s="334"/>
      <c r="PH17" s="334"/>
      <c r="PI17" s="334"/>
      <c r="PJ17" s="334"/>
      <c r="PK17" s="334"/>
      <c r="PL17" s="334"/>
      <c r="PM17" s="334"/>
      <c r="PN17" s="334"/>
      <c r="PO17" s="334"/>
      <c r="PP17" s="334"/>
      <c r="PQ17" s="334"/>
      <c r="PR17" s="334"/>
      <c r="PS17" s="334"/>
      <c r="PT17" s="334"/>
      <c r="PU17" s="334"/>
      <c r="PV17" s="334"/>
      <c r="PW17" s="334"/>
      <c r="PX17" s="334"/>
      <c r="PY17" s="334"/>
      <c r="PZ17" s="334"/>
      <c r="QA17" s="334"/>
      <c r="QB17" s="334"/>
      <c r="QC17" s="334"/>
      <c r="QD17" s="334"/>
      <c r="QE17" s="334"/>
      <c r="QF17" s="334"/>
      <c r="QG17" s="334"/>
      <c r="QH17" s="334"/>
      <c r="QI17" s="334"/>
      <c r="QJ17" s="334"/>
      <c r="QK17" s="334"/>
      <c r="QL17" s="334"/>
      <c r="QM17" s="334"/>
      <c r="QN17" s="334"/>
      <c r="QO17" s="334"/>
      <c r="QP17" s="334"/>
      <c r="QQ17" s="334"/>
      <c r="QR17" s="334"/>
      <c r="QS17" s="334"/>
      <c r="QT17" s="334"/>
      <c r="QU17" s="334"/>
      <c r="QV17" s="334"/>
      <c r="QW17" s="334"/>
      <c r="QX17" s="334"/>
      <c r="QY17" s="334"/>
      <c r="QZ17" s="334"/>
      <c r="RA17" s="334"/>
      <c r="RB17" s="334"/>
      <c r="RC17" s="334"/>
      <c r="RD17" s="334"/>
      <c r="RE17" s="334"/>
      <c r="RF17" s="334"/>
      <c r="RG17" s="334"/>
      <c r="RH17" s="334"/>
      <c r="RI17" s="334"/>
      <c r="RJ17" s="334"/>
      <c r="RK17" s="334"/>
      <c r="RL17" s="334"/>
      <c r="RM17" s="334"/>
      <c r="RN17" s="334"/>
      <c r="RO17" s="334"/>
      <c r="RP17" s="334"/>
      <c r="RQ17" s="334"/>
      <c r="RR17" s="334"/>
      <c r="RS17" s="334"/>
      <c r="RT17" s="334"/>
      <c r="RU17" s="334"/>
      <c r="RV17" s="334"/>
      <c r="RW17" s="334"/>
      <c r="RX17" s="334"/>
      <c r="RY17" s="334"/>
      <c r="RZ17" s="334"/>
      <c r="SA17" s="334"/>
      <c r="SB17" s="334"/>
      <c r="SC17" s="334"/>
      <c r="SD17" s="334"/>
      <c r="SE17" s="334"/>
      <c r="SF17" s="334"/>
      <c r="SG17" s="334"/>
      <c r="SH17" s="334"/>
      <c r="SI17" s="334"/>
      <c r="SJ17" s="334"/>
      <c r="SK17" s="334"/>
      <c r="SL17" s="334"/>
      <c r="SM17" s="334"/>
      <c r="SN17" s="334"/>
      <c r="SO17" s="334"/>
      <c r="SP17" s="334"/>
      <c r="SQ17" s="334"/>
      <c r="SR17" s="334"/>
      <c r="SS17" s="334"/>
      <c r="ST17" s="334"/>
      <c r="SU17" s="334"/>
      <c r="SV17" s="334"/>
      <c r="SW17" s="334"/>
      <c r="SX17" s="334"/>
      <c r="SY17" s="334"/>
      <c r="SZ17" s="334"/>
      <c r="TA17" s="334"/>
      <c r="TB17" s="334"/>
      <c r="TC17" s="334"/>
      <c r="TD17" s="334"/>
      <c r="TE17" s="334"/>
      <c r="TF17" s="334"/>
      <c r="TG17" s="334"/>
      <c r="TH17" s="334"/>
      <c r="TI17" s="334"/>
      <c r="TJ17" s="334"/>
      <c r="TK17" s="334"/>
      <c r="TL17" s="334"/>
      <c r="TM17" s="334"/>
      <c r="TN17" s="334"/>
      <c r="TO17" s="334"/>
      <c r="TP17" s="334"/>
      <c r="TQ17" s="334"/>
      <c r="TR17" s="334"/>
      <c r="TS17" s="334"/>
      <c r="TT17" s="334"/>
      <c r="TU17" s="334"/>
      <c r="TV17" s="334"/>
      <c r="TW17" s="334"/>
      <c r="TX17" s="334"/>
      <c r="TY17" s="334"/>
      <c r="TZ17" s="334"/>
      <c r="UA17" s="334"/>
      <c r="UB17" s="334"/>
      <c r="UC17" s="334"/>
      <c r="UD17" s="334"/>
      <c r="UE17" s="334"/>
      <c r="UF17" s="334"/>
      <c r="UG17" s="334"/>
      <c r="UH17" s="334"/>
      <c r="UI17" s="334"/>
      <c r="UJ17" s="334"/>
      <c r="UK17" s="334"/>
      <c r="UL17" s="334"/>
      <c r="UM17" s="334"/>
      <c r="UN17" s="334"/>
      <c r="UO17" s="334"/>
      <c r="UP17" s="334"/>
      <c r="UQ17" s="334"/>
      <c r="UR17" s="334"/>
      <c r="US17" s="334"/>
      <c r="UT17" s="334"/>
      <c r="UU17" s="334"/>
      <c r="UV17" s="334"/>
      <c r="UW17" s="334"/>
      <c r="UX17" s="334"/>
      <c r="UY17" s="334"/>
      <c r="UZ17" s="334"/>
      <c r="VA17" s="334"/>
      <c r="VB17" s="334"/>
      <c r="VC17" s="334"/>
      <c r="VD17" s="334"/>
      <c r="VE17" s="334"/>
      <c r="VF17" s="334"/>
      <c r="VG17" s="334"/>
      <c r="VH17" s="334"/>
      <c r="VI17" s="334"/>
    </row>
    <row r="18" spans="1:581" s="15" customFormat="1">
      <c r="A18"/>
      <c r="B18" s="183">
        <v>45760</v>
      </c>
      <c r="C18" s="183" t="s">
        <v>198</v>
      </c>
      <c r="D18" s="195">
        <v>31.109999999946012</v>
      </c>
      <c r="E18" s="195">
        <v>33.567000000002736</v>
      </c>
      <c r="F18" s="195">
        <v>12.658400000006878</v>
      </c>
      <c r="G18" s="195">
        <v>472.36695000002669</v>
      </c>
      <c r="H18" s="195">
        <f t="shared" si="0"/>
        <v>549.70234999998229</v>
      </c>
      <c r="I18" s="11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 s="334"/>
      <c r="NZ18" s="334"/>
      <c r="OA18" s="334"/>
      <c r="OB18" s="334"/>
      <c r="OC18" s="334"/>
      <c r="OD18" s="334"/>
      <c r="OE18" s="334"/>
      <c r="OF18" s="334"/>
      <c r="OG18" s="334"/>
      <c r="OH18" s="334"/>
      <c r="OI18" s="334"/>
      <c r="OJ18" s="334"/>
      <c r="OK18" s="334"/>
      <c r="OL18" s="334"/>
      <c r="OM18" s="334"/>
      <c r="ON18" s="334"/>
      <c r="OO18" s="334"/>
      <c r="OP18" s="334"/>
      <c r="OQ18" s="334"/>
      <c r="OR18" s="334"/>
      <c r="OS18" s="334"/>
      <c r="OT18" s="334"/>
      <c r="OU18" s="334"/>
      <c r="OV18" s="334"/>
      <c r="OW18" s="334"/>
      <c r="OX18" s="334"/>
      <c r="OY18" s="334"/>
      <c r="OZ18" s="334"/>
      <c r="PA18" s="334"/>
      <c r="PB18" s="334"/>
      <c r="PC18" s="334"/>
      <c r="PD18" s="334"/>
      <c r="PE18" s="334"/>
      <c r="PF18" s="334"/>
      <c r="PG18" s="334"/>
      <c r="PH18" s="334"/>
      <c r="PI18" s="334"/>
      <c r="PJ18" s="334"/>
      <c r="PK18" s="334"/>
      <c r="PL18" s="334"/>
      <c r="PM18" s="334"/>
      <c r="PN18" s="334"/>
      <c r="PO18" s="334"/>
      <c r="PP18" s="334"/>
      <c r="PQ18" s="334"/>
      <c r="PR18" s="334"/>
      <c r="PS18" s="334"/>
      <c r="PT18" s="334"/>
      <c r="PU18" s="334"/>
      <c r="PV18" s="334"/>
      <c r="PW18" s="334"/>
      <c r="PX18" s="334"/>
      <c r="PY18" s="334"/>
      <c r="PZ18" s="334"/>
      <c r="QA18" s="334"/>
      <c r="QB18" s="334"/>
      <c r="QC18" s="334"/>
      <c r="QD18" s="334"/>
      <c r="QE18" s="334"/>
      <c r="QF18" s="334"/>
      <c r="QG18" s="334"/>
      <c r="QH18" s="334"/>
      <c r="QI18" s="334"/>
      <c r="QJ18" s="334"/>
      <c r="QK18" s="334"/>
      <c r="QL18" s="334"/>
      <c r="QM18" s="334"/>
      <c r="QN18" s="334"/>
      <c r="QO18" s="334"/>
      <c r="QP18" s="334"/>
      <c r="QQ18" s="334"/>
      <c r="QR18" s="334"/>
      <c r="QS18" s="334"/>
      <c r="QT18" s="334"/>
      <c r="QU18" s="334"/>
      <c r="QV18" s="334"/>
      <c r="QW18" s="334"/>
      <c r="QX18" s="334"/>
      <c r="QY18" s="334"/>
      <c r="QZ18" s="334"/>
      <c r="RA18" s="334"/>
      <c r="RB18" s="334"/>
      <c r="RC18" s="334"/>
      <c r="RD18" s="334"/>
      <c r="RE18" s="334"/>
      <c r="RF18" s="334"/>
      <c r="RG18" s="334"/>
      <c r="RH18" s="334"/>
      <c r="RI18" s="334"/>
      <c r="RJ18" s="334"/>
      <c r="RK18" s="334"/>
      <c r="RL18" s="334"/>
      <c r="RM18" s="334"/>
      <c r="RN18" s="334"/>
      <c r="RO18" s="334"/>
      <c r="RP18" s="334"/>
      <c r="RQ18" s="334"/>
      <c r="RR18" s="334"/>
      <c r="RS18" s="334"/>
      <c r="RT18" s="334"/>
      <c r="RU18" s="334"/>
      <c r="RV18" s="334"/>
      <c r="RW18" s="334"/>
      <c r="RX18" s="334"/>
      <c r="RY18" s="334"/>
      <c r="RZ18" s="334"/>
      <c r="SA18" s="334"/>
      <c r="SB18" s="334"/>
      <c r="SC18" s="334"/>
      <c r="SD18" s="334"/>
      <c r="SE18" s="334"/>
      <c r="SF18" s="334"/>
      <c r="SG18" s="334"/>
      <c r="SH18" s="334"/>
      <c r="SI18" s="334"/>
      <c r="SJ18" s="334"/>
      <c r="SK18" s="334"/>
      <c r="SL18" s="334"/>
      <c r="SM18" s="334"/>
      <c r="SN18" s="334"/>
      <c r="SO18" s="334"/>
      <c r="SP18" s="334"/>
      <c r="SQ18" s="334"/>
      <c r="SR18" s="334"/>
      <c r="SS18" s="334"/>
      <c r="ST18" s="334"/>
      <c r="SU18" s="334"/>
      <c r="SV18" s="334"/>
      <c r="SW18" s="334"/>
      <c r="SX18" s="334"/>
      <c r="SY18" s="334"/>
      <c r="SZ18" s="334"/>
      <c r="TA18" s="334"/>
      <c r="TB18" s="334"/>
      <c r="TC18" s="334"/>
      <c r="TD18" s="334"/>
      <c r="TE18" s="334"/>
      <c r="TF18" s="334"/>
      <c r="TG18" s="334"/>
      <c r="TH18" s="334"/>
      <c r="TI18" s="334"/>
      <c r="TJ18" s="334"/>
      <c r="TK18" s="334"/>
      <c r="TL18" s="334"/>
      <c r="TM18" s="334"/>
      <c r="TN18" s="334"/>
      <c r="TO18" s="334"/>
      <c r="TP18" s="334"/>
      <c r="TQ18" s="334"/>
      <c r="TR18" s="334"/>
      <c r="TS18" s="334"/>
      <c r="TT18" s="334"/>
      <c r="TU18" s="334"/>
      <c r="TV18" s="334"/>
      <c r="TW18" s="334"/>
      <c r="TX18" s="334"/>
      <c r="TY18" s="334"/>
      <c r="TZ18" s="334"/>
      <c r="UA18" s="334"/>
      <c r="UB18" s="334"/>
      <c r="UC18" s="334"/>
      <c r="UD18" s="334"/>
      <c r="UE18" s="334"/>
      <c r="UF18" s="334"/>
      <c r="UG18" s="334"/>
      <c r="UH18" s="334"/>
      <c r="UI18" s="334"/>
      <c r="UJ18" s="334"/>
      <c r="UK18" s="334"/>
      <c r="UL18" s="334"/>
      <c r="UM18" s="334"/>
      <c r="UN18" s="334"/>
      <c r="UO18" s="334"/>
      <c r="UP18" s="334"/>
      <c r="UQ18" s="334"/>
      <c r="UR18" s="334"/>
      <c r="US18" s="334"/>
      <c r="UT18" s="334"/>
      <c r="UU18" s="334"/>
      <c r="UV18" s="334"/>
      <c r="UW18" s="334"/>
      <c r="UX18" s="334"/>
      <c r="UY18" s="334"/>
      <c r="UZ18" s="334"/>
      <c r="VA18" s="334"/>
      <c r="VB18" s="334"/>
      <c r="VC18" s="334"/>
      <c r="VD18" s="334"/>
      <c r="VE18" s="334"/>
      <c r="VF18" s="334"/>
      <c r="VG18" s="334"/>
      <c r="VH18" s="334"/>
      <c r="VI18" s="334"/>
    </row>
    <row r="19" spans="1:581">
      <c r="B19" s="58">
        <v>45761</v>
      </c>
      <c r="C19" s="58" t="s">
        <v>192</v>
      </c>
      <c r="D19" s="160">
        <v>2.9099999999962165</v>
      </c>
      <c r="E19" s="160">
        <v>10.8220000000023</v>
      </c>
      <c r="F19" s="160">
        <v>13.860400000004665</v>
      </c>
      <c r="G19" s="160">
        <v>170.37460000002534</v>
      </c>
      <c r="H19" s="160">
        <f t="shared" si="0"/>
        <v>197.96700000002852</v>
      </c>
      <c r="I19" s="11"/>
      <c r="NY19" s="334"/>
      <c r="NZ19" s="334"/>
      <c r="OA19" s="334"/>
      <c r="OB19" s="334"/>
      <c r="OC19" s="334"/>
      <c r="OD19" s="334"/>
      <c r="OE19" s="334"/>
      <c r="OF19" s="334"/>
      <c r="OG19" s="334"/>
      <c r="OH19" s="334"/>
      <c r="OI19" s="334"/>
      <c r="OJ19" s="334"/>
      <c r="OK19" s="334"/>
      <c r="OL19" s="334"/>
      <c r="OM19" s="334"/>
      <c r="ON19" s="334"/>
      <c r="OO19" s="334"/>
      <c r="OP19" s="334"/>
      <c r="OQ19" s="334"/>
      <c r="OR19" s="334"/>
      <c r="OS19" s="334"/>
      <c r="OT19" s="334"/>
      <c r="OU19" s="334"/>
      <c r="OV19" s="334"/>
      <c r="OW19" s="334"/>
      <c r="OX19" s="334"/>
      <c r="OY19" s="334"/>
      <c r="OZ19" s="334"/>
      <c r="PA19" s="334"/>
      <c r="PB19" s="334"/>
      <c r="PC19" s="334"/>
      <c r="PD19" s="334"/>
      <c r="PE19" s="334"/>
      <c r="PF19" s="334"/>
      <c r="PG19" s="334"/>
      <c r="PH19" s="334"/>
      <c r="PI19" s="334"/>
      <c r="PJ19" s="334"/>
      <c r="PK19" s="334"/>
      <c r="PL19" s="334"/>
      <c r="PM19" s="334"/>
      <c r="PN19" s="334"/>
      <c r="PO19" s="334"/>
      <c r="PP19" s="334"/>
      <c r="PQ19" s="334"/>
      <c r="PR19" s="334"/>
      <c r="PS19" s="334"/>
      <c r="PT19" s="334"/>
      <c r="PU19" s="334"/>
      <c r="PV19" s="334"/>
      <c r="PW19" s="334"/>
      <c r="PX19" s="334"/>
      <c r="PY19" s="334"/>
      <c r="PZ19" s="334"/>
      <c r="QA19" s="334"/>
      <c r="QB19" s="334"/>
      <c r="QC19" s="334"/>
      <c r="QD19" s="334"/>
      <c r="QE19" s="334"/>
      <c r="QF19" s="334"/>
      <c r="QG19" s="334"/>
      <c r="QH19" s="334"/>
      <c r="QI19" s="334"/>
      <c r="QJ19" s="334"/>
      <c r="QK19" s="334"/>
      <c r="QL19" s="334"/>
      <c r="QM19" s="334"/>
      <c r="QN19" s="334"/>
      <c r="QO19" s="334"/>
      <c r="QP19" s="334"/>
      <c r="QQ19" s="334"/>
      <c r="QR19" s="334"/>
      <c r="QS19" s="334"/>
      <c r="QT19" s="334"/>
      <c r="QU19" s="334"/>
      <c r="QV19" s="334"/>
      <c r="QW19" s="334"/>
      <c r="QX19" s="334"/>
      <c r="QY19" s="334"/>
      <c r="QZ19" s="334"/>
      <c r="RA19" s="334"/>
      <c r="RB19" s="334"/>
      <c r="RC19" s="334"/>
      <c r="RD19" s="334"/>
      <c r="RE19" s="334"/>
      <c r="RF19" s="334"/>
      <c r="RG19" s="334"/>
      <c r="RH19" s="334"/>
      <c r="RI19" s="334"/>
      <c r="RJ19" s="334"/>
      <c r="RK19" s="334"/>
      <c r="RL19" s="334"/>
      <c r="RM19" s="334"/>
      <c r="RN19" s="334"/>
      <c r="RO19" s="334"/>
      <c r="RP19" s="334"/>
      <c r="RQ19" s="334"/>
      <c r="RR19" s="334"/>
      <c r="RS19" s="334"/>
      <c r="RT19" s="334"/>
      <c r="RU19" s="334"/>
      <c r="RV19" s="334"/>
      <c r="RW19" s="334"/>
      <c r="RX19" s="334"/>
      <c r="RY19" s="334"/>
      <c r="RZ19" s="334"/>
      <c r="SA19" s="334"/>
      <c r="SB19" s="334"/>
      <c r="SC19" s="334"/>
      <c r="SD19" s="334"/>
      <c r="SE19" s="334"/>
      <c r="SF19" s="334"/>
      <c r="SG19" s="334"/>
      <c r="SH19" s="334"/>
      <c r="SI19" s="334"/>
      <c r="SJ19" s="334"/>
      <c r="SK19" s="334"/>
      <c r="SL19" s="334"/>
      <c r="SM19" s="334"/>
      <c r="SN19" s="334"/>
      <c r="SO19" s="334"/>
      <c r="SP19" s="334"/>
      <c r="SQ19" s="334"/>
      <c r="SR19" s="334"/>
      <c r="SS19" s="334"/>
      <c r="ST19" s="334"/>
      <c r="SU19" s="334"/>
      <c r="SV19" s="334"/>
      <c r="SW19" s="334"/>
      <c r="SX19" s="334"/>
      <c r="SY19" s="334"/>
      <c r="SZ19" s="334"/>
      <c r="TA19" s="334"/>
      <c r="TB19" s="334"/>
      <c r="TC19" s="334"/>
      <c r="TD19" s="334"/>
      <c r="TE19" s="334"/>
      <c r="TF19" s="334"/>
      <c r="TG19" s="334"/>
      <c r="TH19" s="334"/>
      <c r="TI19" s="334"/>
      <c r="TJ19" s="334"/>
      <c r="TK19" s="334"/>
      <c r="TL19" s="334"/>
      <c r="TM19" s="334"/>
      <c r="TN19" s="334"/>
      <c r="TO19" s="334"/>
      <c r="TP19" s="334"/>
      <c r="TQ19" s="334"/>
      <c r="TR19" s="334"/>
      <c r="TS19" s="334"/>
      <c r="TT19" s="334"/>
      <c r="TU19" s="334"/>
      <c r="TV19" s="334"/>
      <c r="TW19" s="334"/>
      <c r="TX19" s="334"/>
      <c r="TY19" s="334"/>
      <c r="TZ19" s="334"/>
      <c r="UA19" s="334"/>
      <c r="UB19" s="334"/>
      <c r="UC19" s="334"/>
      <c r="UD19" s="334"/>
      <c r="UE19" s="334"/>
      <c r="UF19" s="334"/>
      <c r="UG19" s="334"/>
      <c r="UH19" s="334"/>
      <c r="UI19" s="334"/>
      <c r="UJ19" s="334"/>
      <c r="UK19" s="334"/>
      <c r="UL19" s="334"/>
      <c r="UM19" s="334"/>
      <c r="UN19" s="334"/>
      <c r="UO19" s="334"/>
      <c r="UP19" s="334"/>
      <c r="UQ19" s="334"/>
      <c r="UR19" s="334"/>
      <c r="US19" s="334"/>
      <c r="UT19" s="334"/>
      <c r="UU19" s="334"/>
      <c r="UV19" s="334"/>
      <c r="UW19" s="334"/>
      <c r="UX19" s="334"/>
      <c r="UY19" s="334"/>
      <c r="UZ19" s="334"/>
      <c r="VA19" s="334"/>
      <c r="VB19" s="334"/>
      <c r="VC19" s="334"/>
      <c r="VD19" s="334"/>
      <c r="VE19" s="334"/>
      <c r="VF19" s="334"/>
      <c r="VG19" s="334"/>
      <c r="VH19" s="334"/>
      <c r="VI19" s="334"/>
    </row>
    <row r="20" spans="1:581">
      <c r="B20" s="58">
        <v>45762</v>
      </c>
      <c r="C20" s="58" t="s">
        <v>193</v>
      </c>
      <c r="D20" s="160">
        <v>310.07999999999993</v>
      </c>
      <c r="E20" s="160">
        <v>208.6899999999936</v>
      </c>
      <c r="F20" s="160">
        <v>234.36519999999925</v>
      </c>
      <c r="G20" s="160">
        <v>468.27769999999549</v>
      </c>
      <c r="H20" s="160">
        <f t="shared" si="0"/>
        <v>1221.4128999999882</v>
      </c>
      <c r="I20" s="11"/>
      <c r="L20" s="44"/>
    </row>
    <row r="21" spans="1:581">
      <c r="B21" s="58">
        <v>45763</v>
      </c>
      <c r="C21" s="58" t="s">
        <v>194</v>
      </c>
      <c r="D21" s="160">
        <v>327.50000000000728</v>
      </c>
      <c r="E21" s="160">
        <v>193.66899999998932</v>
      </c>
      <c r="F21" s="160">
        <v>214.81559999998717</v>
      </c>
      <c r="G21" s="160">
        <v>597.49360000000866</v>
      </c>
      <c r="H21" s="160">
        <f t="shared" si="0"/>
        <v>1333.4781999999923</v>
      </c>
      <c r="I21" s="11"/>
    </row>
    <row r="22" spans="1:581">
      <c r="B22" s="58">
        <v>45764</v>
      </c>
      <c r="C22" s="58" t="s">
        <v>195</v>
      </c>
      <c r="D22" s="160">
        <v>323.93000000000029</v>
      </c>
      <c r="E22" s="160">
        <v>213.9760000000075</v>
      </c>
      <c r="F22" s="160">
        <v>213.13440000001066</v>
      </c>
      <c r="G22" s="160">
        <v>663.63165000000367</v>
      </c>
      <c r="H22" s="160">
        <f t="shared" si="0"/>
        <v>1414.6720500000222</v>
      </c>
      <c r="I22" s="11"/>
    </row>
    <row r="23" spans="1:581">
      <c r="B23" s="58">
        <v>45765</v>
      </c>
      <c r="C23" s="58" t="s">
        <v>196</v>
      </c>
      <c r="D23" s="160">
        <v>319.59000000000196</v>
      </c>
      <c r="E23" s="160">
        <v>208.5239999999838</v>
      </c>
      <c r="F23" s="160">
        <v>233.06959999999017</v>
      </c>
      <c r="G23" s="160">
        <v>588.58964999998352</v>
      </c>
      <c r="H23" s="160">
        <f t="shared" si="0"/>
        <v>1349.7732499999593</v>
      </c>
      <c r="I23" s="11"/>
    </row>
    <row r="24" spans="1:581">
      <c r="B24" s="58">
        <v>45766</v>
      </c>
      <c r="C24" s="58" t="s">
        <v>197</v>
      </c>
      <c r="D24" s="160">
        <v>350.72999999993226</v>
      </c>
      <c r="E24" s="160">
        <v>202.77000000000336</v>
      </c>
      <c r="F24" s="160">
        <v>219.95400000000461</v>
      </c>
      <c r="G24" s="160">
        <v>480.11864999999153</v>
      </c>
      <c r="H24" s="160">
        <f t="shared" si="0"/>
        <v>1253.5726499999319</v>
      </c>
      <c r="I24" s="235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  <c r="X24" s="236"/>
    </row>
    <row r="25" spans="1:581" s="15" customFormat="1">
      <c r="B25" s="183">
        <v>45767</v>
      </c>
      <c r="C25" s="183" t="s">
        <v>198</v>
      </c>
      <c r="D25" s="195">
        <v>75.570000000001528</v>
      </c>
      <c r="E25" s="195">
        <v>43.666000000025818</v>
      </c>
      <c r="F25" s="195">
        <v>26.437599999998202</v>
      </c>
      <c r="G25" s="195">
        <v>205.88810000003187</v>
      </c>
      <c r="H25" s="195">
        <f t="shared" si="0"/>
        <v>351.56170000005739</v>
      </c>
      <c r="I25" s="235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</row>
    <row r="26" spans="1:581">
      <c r="B26" s="58">
        <v>45768</v>
      </c>
      <c r="C26" s="58" t="s">
        <v>192</v>
      </c>
      <c r="D26" s="160">
        <v>322.5100000000657</v>
      </c>
      <c r="E26" s="160">
        <v>274.66699999998167</v>
      </c>
      <c r="F26" s="160">
        <v>240.83960000001142</v>
      </c>
      <c r="G26" s="160">
        <v>465.13004999996457</v>
      </c>
      <c r="H26" s="160">
        <f t="shared" si="0"/>
        <v>1303.1466500000233</v>
      </c>
      <c r="I26" s="235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</row>
    <row r="27" spans="1:581">
      <c r="B27" s="58">
        <v>45769</v>
      </c>
      <c r="C27" s="58" t="s">
        <v>193</v>
      </c>
      <c r="D27" s="160">
        <v>308.93000000005122</v>
      </c>
      <c r="E27" s="160">
        <v>218.01050000000689</v>
      </c>
      <c r="F27" s="160">
        <v>235.92879999999539</v>
      </c>
      <c r="G27" s="160">
        <v>699.74905000000808</v>
      </c>
      <c r="H27" s="160">
        <f t="shared" si="0"/>
        <v>1462.6183500000616</v>
      </c>
      <c r="I27" s="11"/>
    </row>
    <row r="28" spans="1:581">
      <c r="B28" s="58">
        <v>45770</v>
      </c>
      <c r="C28" s="58" t="s">
        <v>194</v>
      </c>
      <c r="D28" s="160">
        <v>252.20999999988635</v>
      </c>
      <c r="E28" s="160">
        <v>225.20749999999828</v>
      </c>
      <c r="F28" s="160">
        <v>248.20679999999149</v>
      </c>
      <c r="G28" s="160">
        <v>670.86194999998963</v>
      </c>
      <c r="H28" s="160">
        <f t="shared" si="0"/>
        <v>1396.4862499998658</v>
      </c>
      <c r="I28" s="11"/>
    </row>
    <row r="29" spans="1:581">
      <c r="B29" s="58">
        <v>45771</v>
      </c>
      <c r="C29" s="58" t="s">
        <v>195</v>
      </c>
      <c r="D29" s="160">
        <v>287.47000000005937</v>
      </c>
      <c r="E29" s="160">
        <v>228.3439999999988</v>
      </c>
      <c r="F29" s="160">
        <v>259.6836000000003</v>
      </c>
      <c r="G29" s="160">
        <v>622.90634999996973</v>
      </c>
      <c r="H29" s="160">
        <f t="shared" si="0"/>
        <v>1398.4039500000281</v>
      </c>
      <c r="I29" s="11"/>
    </row>
    <row r="30" spans="1:581">
      <c r="B30" s="58">
        <v>45772</v>
      </c>
      <c r="C30" s="58" t="s">
        <v>196</v>
      </c>
      <c r="D30" s="160">
        <v>316.08000000000357</v>
      </c>
      <c r="E30" s="160">
        <v>225.62649999999121</v>
      </c>
      <c r="F30" s="160">
        <v>251.87080000000816</v>
      </c>
      <c r="G30" s="160">
        <v>693.17930000002548</v>
      </c>
      <c r="H30" s="160">
        <f t="shared" si="0"/>
        <v>1486.7566000000284</v>
      </c>
      <c r="I30" s="11"/>
    </row>
    <row r="31" spans="1:581">
      <c r="B31" s="58">
        <v>45773</v>
      </c>
      <c r="C31" s="58" t="s">
        <v>197</v>
      </c>
      <c r="D31" s="160">
        <v>337.33999999999469</v>
      </c>
      <c r="E31" s="160">
        <v>229.35650000001772</v>
      </c>
      <c r="F31" s="160">
        <v>231.99399999999471</v>
      </c>
      <c r="G31" s="160">
        <v>466.46490000005304</v>
      </c>
      <c r="H31" s="160">
        <f t="shared" si="0"/>
        <v>1265.1554000000601</v>
      </c>
      <c r="I31" s="11"/>
    </row>
    <row r="32" spans="1:581">
      <c r="B32" s="183">
        <v>45774</v>
      </c>
      <c r="C32" s="183" t="s">
        <v>198</v>
      </c>
      <c r="D32" s="195">
        <v>71.749999999994543</v>
      </c>
      <c r="E32" s="195">
        <v>36.266499999995723</v>
      </c>
      <c r="F32" s="195">
        <v>21.645200000007172</v>
      </c>
      <c r="G32" s="195">
        <v>183.45799999998241</v>
      </c>
      <c r="H32" s="195">
        <f t="shared" si="0"/>
        <v>313.11969999997984</v>
      </c>
      <c r="I32" s="11"/>
    </row>
    <row r="33" spans="2:9">
      <c r="B33" s="58">
        <v>45775</v>
      </c>
      <c r="C33" s="58" t="s">
        <v>192</v>
      </c>
      <c r="D33" s="160">
        <v>306.4800000000032</v>
      </c>
      <c r="E33" s="160">
        <v>210.89800000000542</v>
      </c>
      <c r="F33" s="160">
        <v>248.78360000000541</v>
      </c>
      <c r="G33" s="160">
        <v>412.55609999994965</v>
      </c>
      <c r="H33" s="160">
        <f t="shared" si="0"/>
        <v>1178.7176999999638</v>
      </c>
      <c r="I33" s="11"/>
    </row>
    <row r="34" spans="2:9">
      <c r="B34" s="58">
        <v>45776</v>
      </c>
      <c r="C34" s="58" t="s">
        <v>193</v>
      </c>
      <c r="D34" s="160">
        <v>334.03000000000429</v>
      </c>
      <c r="E34" s="160">
        <v>220.13599999998189</v>
      </c>
      <c r="F34" s="160">
        <v>262.46039999999311</v>
      </c>
      <c r="G34" s="160">
        <v>646.53765000005876</v>
      </c>
      <c r="H34" s="160">
        <f t="shared" si="0"/>
        <v>1463.1640500000381</v>
      </c>
      <c r="I34" s="11"/>
    </row>
    <row r="35" spans="2:9">
      <c r="B35" s="58">
        <v>45777</v>
      </c>
      <c r="C35" s="58" t="s">
        <v>194</v>
      </c>
      <c r="D35" s="160">
        <v>258.18000000005486</v>
      </c>
      <c r="E35" s="160">
        <v>209.7080000000031</v>
      </c>
      <c r="F35" s="160">
        <v>247.90759999999239</v>
      </c>
      <c r="G35" s="160">
        <v>460.13604999995459</v>
      </c>
      <c r="H35" s="160">
        <f t="shared" si="0"/>
        <v>1175.931650000005</v>
      </c>
      <c r="I35" s="11"/>
    </row>
    <row r="36" spans="2:9">
      <c r="B36" s="58"/>
      <c r="C36" s="58"/>
      <c r="D36" s="160"/>
      <c r="E36" s="160"/>
      <c r="F36" s="160"/>
      <c r="G36" s="160"/>
      <c r="H36" s="160">
        <f t="shared" ref="H36" si="1">SUM(D36:F36)</f>
        <v>0</v>
      </c>
      <c r="I36" s="11"/>
    </row>
    <row r="37" spans="2:9" ht="30" customHeight="1">
      <c r="B37" s="265" t="s">
        <v>7</v>
      </c>
      <c r="C37" s="58"/>
      <c r="D37" s="95">
        <f t="shared" ref="D37:G37" si="2">SUM(D6:D36)</f>
        <v>7357.4100000000526</v>
      </c>
      <c r="E37" s="95">
        <f t="shared" si="2"/>
        <v>5399.8880000000117</v>
      </c>
      <c r="F37" s="95">
        <f t="shared" si="2"/>
        <v>5664.6731999999984</v>
      </c>
      <c r="G37" s="95">
        <f t="shared" si="2"/>
        <v>15481.23004999998</v>
      </c>
      <c r="H37" s="266">
        <f>SUM(H6:H36)</f>
        <v>33903.201250000049</v>
      </c>
      <c r="I37" s="11"/>
    </row>
    <row r="38" spans="2:9" ht="20.25" customHeight="1">
      <c r="B38" s="335" t="s">
        <v>185</v>
      </c>
      <c r="C38" s="335"/>
      <c r="D38" s="335"/>
      <c r="E38" s="335"/>
      <c r="F38" s="335"/>
      <c r="G38" s="285"/>
      <c r="H38" s="267"/>
    </row>
    <row r="39" spans="2:9" ht="18.75">
      <c r="B39" s="336" t="s">
        <v>186</v>
      </c>
      <c r="C39" s="336"/>
      <c r="D39" s="336"/>
      <c r="E39" s="336"/>
      <c r="F39" s="336"/>
      <c r="G39" s="273"/>
      <c r="H39" s="179">
        <f>H37+H38</f>
        <v>33903.201250000049</v>
      </c>
    </row>
    <row r="40" spans="2:9">
      <c r="D40"/>
      <c r="E40"/>
      <c r="F40"/>
      <c r="G40"/>
    </row>
    <row r="41" spans="2:9">
      <c r="D41"/>
      <c r="E41"/>
      <c r="F41"/>
      <c r="G41"/>
    </row>
    <row r="42" spans="2:9">
      <c r="E42" s="17">
        <v>15500</v>
      </c>
    </row>
    <row r="43" spans="2:9">
      <c r="E43" s="17">
        <v>747</v>
      </c>
    </row>
    <row r="44" spans="2:9">
      <c r="E44" s="17">
        <v>1495</v>
      </c>
    </row>
    <row r="45" spans="2:9">
      <c r="E45" s="17"/>
    </row>
    <row r="46" spans="2:9">
      <c r="E46" s="17"/>
    </row>
    <row r="47" spans="2:9">
      <c r="E47" s="17"/>
    </row>
    <row r="48" spans="2:9">
      <c r="E48" s="17"/>
    </row>
    <row r="49" spans="5:5">
      <c r="E49" s="17"/>
    </row>
    <row r="50" spans="5:5">
      <c r="E50" s="17"/>
    </row>
    <row r="51" spans="5:5">
      <c r="E51" s="17"/>
    </row>
    <row r="52" spans="5:5">
      <c r="E52" s="17"/>
    </row>
    <row r="53" spans="5:5">
      <c r="E53" s="17"/>
    </row>
    <row r="54" spans="5:5">
      <c r="E54" s="17"/>
    </row>
    <row r="55" spans="5:5">
      <c r="E55" s="17"/>
    </row>
    <row r="56" spans="5:5">
      <c r="E56" s="17"/>
    </row>
    <row r="57" spans="5:5">
      <c r="E57" s="17"/>
    </row>
    <row r="58" spans="5:5">
      <c r="E58" s="17"/>
    </row>
    <row r="59" spans="5:5">
      <c r="E59" s="17"/>
    </row>
    <row r="60" spans="5:5">
      <c r="E60" s="17"/>
    </row>
    <row r="61" spans="5:5">
      <c r="E61" s="17"/>
    </row>
    <row r="62" spans="5:5">
      <c r="E62" s="17"/>
    </row>
    <row r="63" spans="5:5">
      <c r="E63" s="17"/>
    </row>
    <row r="64" spans="5:5">
      <c r="E64" s="17"/>
    </row>
    <row r="65" spans="5:5">
      <c r="E65" s="17"/>
    </row>
    <row r="66" spans="5:5">
      <c r="E66" s="17"/>
    </row>
    <row r="67" spans="5:5">
      <c r="E67" s="17"/>
    </row>
    <row r="68" spans="5:5">
      <c r="E68" s="17"/>
    </row>
    <row r="69" spans="5:5">
      <c r="E69" s="17"/>
    </row>
    <row r="70" spans="5:5">
      <c r="E70" s="17"/>
    </row>
    <row r="71" spans="5:5">
      <c r="E71" s="17"/>
    </row>
    <row r="419" spans="4:6">
      <c r="D419" s="17">
        <v>1</v>
      </c>
      <c r="E419" s="43">
        <v>1</v>
      </c>
      <c r="F419" s="17">
        <v>1</v>
      </c>
    </row>
  </sheetData>
  <mergeCells count="4">
    <mergeCell ref="NY11:VI19"/>
    <mergeCell ref="B4:H4"/>
    <mergeCell ref="B38:F38"/>
    <mergeCell ref="B39:F39"/>
  </mergeCells>
  <phoneticPr fontId="91" type="noConversion"/>
  <pageMargins left="0.7" right="0.7" top="0.75" bottom="0.75" header="0.3" footer="0.3"/>
  <pageSetup scale="5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01B9-4FDE-43D5-A6FE-17197987AC67}">
  <sheetPr>
    <tabColor theme="8" tint="0.39997558519241921"/>
    <pageSetUpPr fitToPage="1"/>
  </sheetPr>
  <dimension ref="A1:VG419"/>
  <sheetViews>
    <sheetView zoomScaleNormal="100" workbookViewId="0">
      <pane xSplit="3" ySplit="5" topLeftCell="D15" activePane="bottomRight" state="frozen"/>
      <selection pane="topRight" activeCell="D1" sqref="D1"/>
      <selection pane="bottomLeft" activeCell="A6" sqref="A6"/>
      <selection pane="bottomRight" activeCell="S32" sqref="S32"/>
    </sheetView>
  </sheetViews>
  <sheetFormatPr defaultRowHeight="15"/>
  <cols>
    <col min="2" max="2" width="8.7109375" style="73" customWidth="1"/>
    <col min="3" max="3" width="7.140625" style="73" customWidth="1"/>
    <col min="4" max="4" width="10.7109375" style="17" customWidth="1"/>
    <col min="5" max="5" width="14.85546875" style="43" customWidth="1"/>
    <col min="6" max="6" width="10.7109375" customWidth="1"/>
  </cols>
  <sheetData>
    <row r="1" spans="1:579">
      <c r="E1" s="17"/>
    </row>
    <row r="2" spans="1:579">
      <c r="E2" s="17"/>
    </row>
    <row r="3" spans="1:579">
      <c r="E3" s="17"/>
    </row>
    <row r="4" spans="1:579" ht="21" customHeight="1">
      <c r="B4" s="331" t="s">
        <v>208</v>
      </c>
      <c r="C4" s="332"/>
      <c r="D4" s="332"/>
      <c r="E4" s="332"/>
      <c r="F4" s="333"/>
      <c r="G4" s="11"/>
    </row>
    <row r="5" spans="1:579" ht="34.5" customHeight="1">
      <c r="B5" s="127" t="s">
        <v>0</v>
      </c>
      <c r="C5" s="241" t="s">
        <v>149</v>
      </c>
      <c r="D5" s="128" t="s">
        <v>209</v>
      </c>
      <c r="E5" s="128" t="s">
        <v>210</v>
      </c>
      <c r="F5" s="129" t="s">
        <v>7</v>
      </c>
      <c r="G5" s="235"/>
      <c r="H5" s="236"/>
      <c r="I5" s="236"/>
      <c r="J5" s="236"/>
      <c r="K5" s="236"/>
      <c r="L5" s="236"/>
      <c r="M5" s="236"/>
      <c r="N5" s="236"/>
    </row>
    <row r="6" spans="1:579">
      <c r="B6" s="58">
        <v>45748</v>
      </c>
      <c r="C6" s="58" t="s">
        <v>193</v>
      </c>
      <c r="D6" s="160">
        <v>572.31999999999789</v>
      </c>
      <c r="E6" s="160">
        <v>69.699200000004495</v>
      </c>
      <c r="F6" s="145">
        <f t="shared" ref="F6:F36" si="0">SUM(D6:E6)</f>
        <v>642.01920000000234</v>
      </c>
      <c r="G6" s="11"/>
    </row>
    <row r="7" spans="1:579">
      <c r="B7" s="58">
        <v>45749</v>
      </c>
      <c r="C7" s="58" t="s">
        <v>194</v>
      </c>
      <c r="D7" s="160">
        <v>1434.7200000000062</v>
      </c>
      <c r="E7" s="160">
        <v>146.47360000000626</v>
      </c>
      <c r="F7" s="145">
        <f t="shared" si="0"/>
        <v>1581.1936000000123</v>
      </c>
      <c r="G7" s="11"/>
    </row>
    <row r="8" spans="1:579">
      <c r="B8" s="58">
        <v>45750</v>
      </c>
      <c r="C8" s="58" t="s">
        <v>195</v>
      </c>
      <c r="D8" s="160">
        <v>1357.7112499999312</v>
      </c>
      <c r="E8" s="160">
        <v>160.04600000000502</v>
      </c>
      <c r="F8" s="145">
        <f>SUM(D8:E8)</f>
        <v>1517.7572499999362</v>
      </c>
      <c r="G8" s="11"/>
    </row>
    <row r="9" spans="1:579">
      <c r="B9" s="58">
        <v>45751</v>
      </c>
      <c r="C9" s="58" t="s">
        <v>196</v>
      </c>
      <c r="D9" s="160">
        <v>1456.5687500000868</v>
      </c>
      <c r="E9" s="160">
        <v>169.20640000000131</v>
      </c>
      <c r="F9" s="145">
        <f t="shared" si="0"/>
        <v>1625.7751500000882</v>
      </c>
      <c r="G9" s="11"/>
    </row>
    <row r="10" spans="1:579">
      <c r="B10" s="58">
        <v>45752</v>
      </c>
      <c r="C10" s="58" t="s">
        <v>197</v>
      </c>
      <c r="D10" s="160">
        <v>1328.2137499999412</v>
      </c>
      <c r="E10" s="160">
        <v>171.68840000000142</v>
      </c>
      <c r="F10" s="145">
        <f t="shared" si="0"/>
        <v>1499.9021499999426</v>
      </c>
      <c r="G10" s="11"/>
    </row>
    <row r="11" spans="1:579" s="15" customFormat="1">
      <c r="A11"/>
      <c r="B11" s="183">
        <v>45753</v>
      </c>
      <c r="C11" s="183" t="s">
        <v>198</v>
      </c>
      <c r="D11" s="195">
        <v>498.04500000009125</v>
      </c>
      <c r="E11" s="195">
        <v>30.370399999994554</v>
      </c>
      <c r="F11" s="196">
        <f>SUM(D11:E11)</f>
        <v>528.41540000008581</v>
      </c>
      <c r="G11" s="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 s="334"/>
      <c r="NX11" s="334"/>
      <c r="NY11" s="334"/>
      <c r="NZ11" s="334"/>
      <c r="OA11" s="334"/>
      <c r="OB11" s="334"/>
      <c r="OC11" s="334"/>
      <c r="OD11" s="334"/>
      <c r="OE11" s="334"/>
      <c r="OF11" s="334"/>
      <c r="OG11" s="334"/>
      <c r="OH11" s="334"/>
      <c r="OI11" s="334"/>
      <c r="OJ11" s="334"/>
      <c r="OK11" s="334"/>
      <c r="OL11" s="334"/>
      <c r="OM11" s="334"/>
      <c r="ON11" s="334"/>
      <c r="OO11" s="334"/>
      <c r="OP11" s="334"/>
      <c r="OQ11" s="334"/>
      <c r="OR11" s="334"/>
      <c r="OS11" s="334"/>
      <c r="OT11" s="334"/>
      <c r="OU11" s="334"/>
      <c r="OV11" s="334"/>
      <c r="OW11" s="334"/>
      <c r="OX11" s="334"/>
      <c r="OY11" s="334"/>
      <c r="OZ11" s="334"/>
      <c r="PA11" s="334"/>
      <c r="PB11" s="334"/>
      <c r="PC11" s="334"/>
      <c r="PD11" s="334"/>
      <c r="PE11" s="334"/>
      <c r="PF11" s="334"/>
      <c r="PG11" s="334"/>
      <c r="PH11" s="334"/>
      <c r="PI11" s="334"/>
      <c r="PJ11" s="334"/>
      <c r="PK11" s="334"/>
      <c r="PL11" s="334"/>
      <c r="PM11" s="334"/>
      <c r="PN11" s="334"/>
      <c r="PO11" s="334"/>
      <c r="PP11" s="334"/>
      <c r="PQ11" s="334"/>
      <c r="PR11" s="334"/>
      <c r="PS11" s="334"/>
      <c r="PT11" s="334"/>
      <c r="PU11" s="334"/>
      <c r="PV11" s="334"/>
      <c r="PW11" s="334"/>
      <c r="PX11" s="334"/>
      <c r="PY11" s="334"/>
      <c r="PZ11" s="334"/>
      <c r="QA11" s="334"/>
      <c r="QB11" s="334"/>
      <c r="QC11" s="334"/>
      <c r="QD11" s="334"/>
      <c r="QE11" s="334"/>
      <c r="QF11" s="334"/>
      <c r="QG11" s="334"/>
      <c r="QH11" s="334"/>
      <c r="QI11" s="334"/>
      <c r="QJ11" s="334"/>
      <c r="QK11" s="334"/>
      <c r="QL11" s="334"/>
      <c r="QM11" s="334"/>
      <c r="QN11" s="334"/>
      <c r="QO11" s="334"/>
      <c r="QP11" s="334"/>
      <c r="QQ11" s="334"/>
      <c r="QR11" s="334"/>
      <c r="QS11" s="334"/>
      <c r="QT11" s="334"/>
      <c r="QU11" s="334"/>
      <c r="QV11" s="334"/>
      <c r="QW11" s="334"/>
      <c r="QX11" s="334"/>
      <c r="QY11" s="334"/>
      <c r="QZ11" s="334"/>
      <c r="RA11" s="334"/>
      <c r="RB11" s="334"/>
      <c r="RC11" s="334"/>
      <c r="RD11" s="334"/>
      <c r="RE11" s="334"/>
      <c r="RF11" s="334"/>
      <c r="RG11" s="334"/>
      <c r="RH11" s="334"/>
      <c r="RI11" s="334"/>
      <c r="RJ11" s="334"/>
      <c r="RK11" s="334"/>
      <c r="RL11" s="334"/>
      <c r="RM11" s="334"/>
      <c r="RN11" s="334"/>
      <c r="RO11" s="334"/>
      <c r="RP11" s="334"/>
      <c r="RQ11" s="334"/>
      <c r="RR11" s="334"/>
      <c r="RS11" s="334"/>
      <c r="RT11" s="334"/>
      <c r="RU11" s="334"/>
      <c r="RV11" s="334"/>
      <c r="RW11" s="334"/>
      <c r="RX11" s="334"/>
      <c r="RY11" s="334"/>
      <c r="RZ11" s="334"/>
      <c r="SA11" s="334"/>
      <c r="SB11" s="334"/>
      <c r="SC11" s="334"/>
      <c r="SD11" s="334"/>
      <c r="SE11" s="334"/>
      <c r="SF11" s="334"/>
      <c r="SG11" s="334"/>
      <c r="SH11" s="334"/>
      <c r="SI11" s="334"/>
      <c r="SJ11" s="334"/>
      <c r="SK11" s="334"/>
      <c r="SL11" s="334"/>
      <c r="SM11" s="334"/>
      <c r="SN11" s="334"/>
      <c r="SO11" s="334"/>
      <c r="SP11" s="334"/>
      <c r="SQ11" s="334"/>
      <c r="SR11" s="334"/>
      <c r="SS11" s="334"/>
      <c r="ST11" s="334"/>
      <c r="SU11" s="334"/>
      <c r="SV11" s="334"/>
      <c r="SW11" s="334"/>
      <c r="SX11" s="334"/>
      <c r="SY11" s="334"/>
      <c r="SZ11" s="334"/>
      <c r="TA11" s="334"/>
      <c r="TB11" s="334"/>
      <c r="TC11" s="334"/>
      <c r="TD11" s="334"/>
      <c r="TE11" s="334"/>
      <c r="TF11" s="334"/>
      <c r="TG11" s="334"/>
      <c r="TH11" s="334"/>
      <c r="TI11" s="334"/>
      <c r="TJ11" s="334"/>
      <c r="TK11" s="334"/>
      <c r="TL11" s="334"/>
      <c r="TM11" s="334"/>
      <c r="TN11" s="334"/>
      <c r="TO11" s="334"/>
      <c r="TP11" s="334"/>
      <c r="TQ11" s="334"/>
      <c r="TR11" s="334"/>
      <c r="TS11" s="334"/>
      <c r="TT11" s="334"/>
      <c r="TU11" s="334"/>
      <c r="TV11" s="334"/>
      <c r="TW11" s="334"/>
      <c r="TX11" s="334"/>
      <c r="TY11" s="334"/>
      <c r="TZ11" s="334"/>
      <c r="UA11" s="334"/>
      <c r="UB11" s="334"/>
      <c r="UC11" s="334"/>
      <c r="UD11" s="334"/>
      <c r="UE11" s="334"/>
      <c r="UF11" s="334"/>
      <c r="UG11" s="334"/>
      <c r="UH11" s="334"/>
      <c r="UI11" s="334"/>
      <c r="UJ11" s="334"/>
      <c r="UK11" s="334"/>
      <c r="UL11" s="334"/>
      <c r="UM11" s="334"/>
      <c r="UN11" s="334"/>
      <c r="UO11" s="334"/>
      <c r="UP11" s="334"/>
      <c r="UQ11" s="334"/>
      <c r="UR11" s="334"/>
      <c r="US11" s="334"/>
      <c r="UT11" s="334"/>
      <c r="UU11" s="334"/>
      <c r="UV11" s="334"/>
      <c r="UW11" s="334"/>
      <c r="UX11" s="334"/>
      <c r="UY11" s="334"/>
      <c r="UZ11" s="334"/>
      <c r="VA11" s="334"/>
      <c r="VB11" s="334"/>
      <c r="VC11" s="334"/>
      <c r="VD11" s="334"/>
      <c r="VE11" s="334"/>
      <c r="VF11" s="334"/>
      <c r="VG11" s="334"/>
    </row>
    <row r="12" spans="1:579" s="15" customFormat="1">
      <c r="A12"/>
      <c r="B12" s="58">
        <v>45754</v>
      </c>
      <c r="C12" s="58" t="s">
        <v>192</v>
      </c>
      <c r="D12" s="160">
        <v>889.57249999994337</v>
      </c>
      <c r="E12" s="160">
        <v>172.14759999998728</v>
      </c>
      <c r="F12" s="145">
        <f t="shared" si="0"/>
        <v>1061.7200999999307</v>
      </c>
      <c r="G12" s="11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 s="334"/>
      <c r="NX12" s="334"/>
      <c r="NY12" s="334"/>
      <c r="NZ12" s="334"/>
      <c r="OA12" s="334"/>
      <c r="OB12" s="334"/>
      <c r="OC12" s="334"/>
      <c r="OD12" s="334"/>
      <c r="OE12" s="334"/>
      <c r="OF12" s="334"/>
      <c r="OG12" s="334"/>
      <c r="OH12" s="334"/>
      <c r="OI12" s="334"/>
      <c r="OJ12" s="334"/>
      <c r="OK12" s="334"/>
      <c r="OL12" s="334"/>
      <c r="OM12" s="334"/>
      <c r="ON12" s="334"/>
      <c r="OO12" s="334"/>
      <c r="OP12" s="334"/>
      <c r="OQ12" s="334"/>
      <c r="OR12" s="334"/>
      <c r="OS12" s="334"/>
      <c r="OT12" s="334"/>
      <c r="OU12" s="334"/>
      <c r="OV12" s="334"/>
      <c r="OW12" s="334"/>
      <c r="OX12" s="334"/>
      <c r="OY12" s="334"/>
      <c r="OZ12" s="334"/>
      <c r="PA12" s="334"/>
      <c r="PB12" s="334"/>
      <c r="PC12" s="334"/>
      <c r="PD12" s="334"/>
      <c r="PE12" s="334"/>
      <c r="PF12" s="334"/>
      <c r="PG12" s="334"/>
      <c r="PH12" s="334"/>
      <c r="PI12" s="334"/>
      <c r="PJ12" s="334"/>
      <c r="PK12" s="334"/>
      <c r="PL12" s="334"/>
      <c r="PM12" s="334"/>
      <c r="PN12" s="334"/>
      <c r="PO12" s="334"/>
      <c r="PP12" s="334"/>
      <c r="PQ12" s="334"/>
      <c r="PR12" s="334"/>
      <c r="PS12" s="334"/>
      <c r="PT12" s="334"/>
      <c r="PU12" s="334"/>
      <c r="PV12" s="334"/>
      <c r="PW12" s="334"/>
      <c r="PX12" s="334"/>
      <c r="PY12" s="334"/>
      <c r="PZ12" s="334"/>
      <c r="QA12" s="334"/>
      <c r="QB12" s="334"/>
      <c r="QC12" s="334"/>
      <c r="QD12" s="334"/>
      <c r="QE12" s="334"/>
      <c r="QF12" s="334"/>
      <c r="QG12" s="334"/>
      <c r="QH12" s="334"/>
      <c r="QI12" s="334"/>
      <c r="QJ12" s="334"/>
      <c r="QK12" s="334"/>
      <c r="QL12" s="334"/>
      <c r="QM12" s="334"/>
      <c r="QN12" s="334"/>
      <c r="QO12" s="334"/>
      <c r="QP12" s="334"/>
      <c r="QQ12" s="334"/>
      <c r="QR12" s="334"/>
      <c r="QS12" s="334"/>
      <c r="QT12" s="334"/>
      <c r="QU12" s="334"/>
      <c r="QV12" s="334"/>
      <c r="QW12" s="334"/>
      <c r="QX12" s="334"/>
      <c r="QY12" s="334"/>
      <c r="QZ12" s="334"/>
      <c r="RA12" s="334"/>
      <c r="RB12" s="334"/>
      <c r="RC12" s="334"/>
      <c r="RD12" s="334"/>
      <c r="RE12" s="334"/>
      <c r="RF12" s="334"/>
      <c r="RG12" s="334"/>
      <c r="RH12" s="334"/>
      <c r="RI12" s="334"/>
      <c r="RJ12" s="334"/>
      <c r="RK12" s="334"/>
      <c r="RL12" s="334"/>
      <c r="RM12" s="334"/>
      <c r="RN12" s="334"/>
      <c r="RO12" s="334"/>
      <c r="RP12" s="334"/>
      <c r="RQ12" s="334"/>
      <c r="RR12" s="334"/>
      <c r="RS12" s="334"/>
      <c r="RT12" s="334"/>
      <c r="RU12" s="334"/>
      <c r="RV12" s="334"/>
      <c r="RW12" s="334"/>
      <c r="RX12" s="334"/>
      <c r="RY12" s="334"/>
      <c r="RZ12" s="334"/>
      <c r="SA12" s="334"/>
      <c r="SB12" s="334"/>
      <c r="SC12" s="334"/>
      <c r="SD12" s="334"/>
      <c r="SE12" s="334"/>
      <c r="SF12" s="334"/>
      <c r="SG12" s="334"/>
      <c r="SH12" s="334"/>
      <c r="SI12" s="334"/>
      <c r="SJ12" s="334"/>
      <c r="SK12" s="334"/>
      <c r="SL12" s="334"/>
      <c r="SM12" s="334"/>
      <c r="SN12" s="334"/>
      <c r="SO12" s="334"/>
      <c r="SP12" s="334"/>
      <c r="SQ12" s="334"/>
      <c r="SR12" s="334"/>
      <c r="SS12" s="334"/>
      <c r="ST12" s="334"/>
      <c r="SU12" s="334"/>
      <c r="SV12" s="334"/>
      <c r="SW12" s="334"/>
      <c r="SX12" s="334"/>
      <c r="SY12" s="334"/>
      <c r="SZ12" s="334"/>
      <c r="TA12" s="334"/>
      <c r="TB12" s="334"/>
      <c r="TC12" s="334"/>
      <c r="TD12" s="334"/>
      <c r="TE12" s="334"/>
      <c r="TF12" s="334"/>
      <c r="TG12" s="334"/>
      <c r="TH12" s="334"/>
      <c r="TI12" s="334"/>
      <c r="TJ12" s="334"/>
      <c r="TK12" s="334"/>
      <c r="TL12" s="334"/>
      <c r="TM12" s="334"/>
      <c r="TN12" s="334"/>
      <c r="TO12" s="334"/>
      <c r="TP12" s="334"/>
      <c r="TQ12" s="334"/>
      <c r="TR12" s="334"/>
      <c r="TS12" s="334"/>
      <c r="TT12" s="334"/>
      <c r="TU12" s="334"/>
      <c r="TV12" s="334"/>
      <c r="TW12" s="334"/>
      <c r="TX12" s="334"/>
      <c r="TY12" s="334"/>
      <c r="TZ12" s="334"/>
      <c r="UA12" s="334"/>
      <c r="UB12" s="334"/>
      <c r="UC12" s="334"/>
      <c r="UD12" s="334"/>
      <c r="UE12" s="334"/>
      <c r="UF12" s="334"/>
      <c r="UG12" s="334"/>
      <c r="UH12" s="334"/>
      <c r="UI12" s="334"/>
      <c r="UJ12" s="334"/>
      <c r="UK12" s="334"/>
      <c r="UL12" s="334"/>
      <c r="UM12" s="334"/>
      <c r="UN12" s="334"/>
      <c r="UO12" s="334"/>
      <c r="UP12" s="334"/>
      <c r="UQ12" s="334"/>
      <c r="UR12" s="334"/>
      <c r="US12" s="334"/>
      <c r="UT12" s="334"/>
      <c r="UU12" s="334"/>
      <c r="UV12" s="334"/>
      <c r="UW12" s="334"/>
      <c r="UX12" s="334"/>
      <c r="UY12" s="334"/>
      <c r="UZ12" s="334"/>
      <c r="VA12" s="334"/>
      <c r="VB12" s="334"/>
      <c r="VC12" s="334"/>
      <c r="VD12" s="334"/>
      <c r="VE12" s="334"/>
      <c r="VF12" s="334"/>
      <c r="VG12" s="334"/>
    </row>
    <row r="13" spans="1:579" s="15" customFormat="1">
      <c r="A13"/>
      <c r="B13" s="58">
        <v>45755</v>
      </c>
      <c r="C13" s="58" t="s">
        <v>193</v>
      </c>
      <c r="D13" s="160">
        <v>1514.8275000000174</v>
      </c>
      <c r="E13" s="160">
        <v>165.988400000002</v>
      </c>
      <c r="F13" s="145">
        <f t="shared" si="0"/>
        <v>1680.8159000000194</v>
      </c>
      <c r="G13" s="11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 s="334"/>
      <c r="NX13" s="334"/>
      <c r="NY13" s="334"/>
      <c r="NZ13" s="334"/>
      <c r="OA13" s="334"/>
      <c r="OB13" s="334"/>
      <c r="OC13" s="334"/>
      <c r="OD13" s="334"/>
      <c r="OE13" s="334"/>
      <c r="OF13" s="334"/>
      <c r="OG13" s="334"/>
      <c r="OH13" s="334"/>
      <c r="OI13" s="334"/>
      <c r="OJ13" s="334"/>
      <c r="OK13" s="334"/>
      <c r="OL13" s="334"/>
      <c r="OM13" s="334"/>
      <c r="ON13" s="334"/>
      <c r="OO13" s="334"/>
      <c r="OP13" s="334"/>
      <c r="OQ13" s="334"/>
      <c r="OR13" s="334"/>
      <c r="OS13" s="334"/>
      <c r="OT13" s="334"/>
      <c r="OU13" s="334"/>
      <c r="OV13" s="334"/>
      <c r="OW13" s="334"/>
      <c r="OX13" s="334"/>
      <c r="OY13" s="334"/>
      <c r="OZ13" s="334"/>
      <c r="PA13" s="334"/>
      <c r="PB13" s="334"/>
      <c r="PC13" s="334"/>
      <c r="PD13" s="334"/>
      <c r="PE13" s="334"/>
      <c r="PF13" s="334"/>
      <c r="PG13" s="334"/>
      <c r="PH13" s="334"/>
      <c r="PI13" s="334"/>
      <c r="PJ13" s="334"/>
      <c r="PK13" s="334"/>
      <c r="PL13" s="334"/>
      <c r="PM13" s="334"/>
      <c r="PN13" s="334"/>
      <c r="PO13" s="334"/>
      <c r="PP13" s="334"/>
      <c r="PQ13" s="334"/>
      <c r="PR13" s="334"/>
      <c r="PS13" s="334"/>
      <c r="PT13" s="334"/>
      <c r="PU13" s="334"/>
      <c r="PV13" s="334"/>
      <c r="PW13" s="334"/>
      <c r="PX13" s="334"/>
      <c r="PY13" s="334"/>
      <c r="PZ13" s="334"/>
      <c r="QA13" s="334"/>
      <c r="QB13" s="334"/>
      <c r="QC13" s="334"/>
      <c r="QD13" s="334"/>
      <c r="QE13" s="334"/>
      <c r="QF13" s="334"/>
      <c r="QG13" s="334"/>
      <c r="QH13" s="334"/>
      <c r="QI13" s="334"/>
      <c r="QJ13" s="334"/>
      <c r="QK13" s="334"/>
      <c r="QL13" s="334"/>
      <c r="QM13" s="334"/>
      <c r="QN13" s="334"/>
      <c r="QO13" s="334"/>
      <c r="QP13" s="334"/>
      <c r="QQ13" s="334"/>
      <c r="QR13" s="334"/>
      <c r="QS13" s="334"/>
      <c r="QT13" s="334"/>
      <c r="QU13" s="334"/>
      <c r="QV13" s="334"/>
      <c r="QW13" s="334"/>
      <c r="QX13" s="334"/>
      <c r="QY13" s="334"/>
      <c r="QZ13" s="334"/>
      <c r="RA13" s="334"/>
      <c r="RB13" s="334"/>
      <c r="RC13" s="334"/>
      <c r="RD13" s="334"/>
      <c r="RE13" s="334"/>
      <c r="RF13" s="334"/>
      <c r="RG13" s="334"/>
      <c r="RH13" s="334"/>
      <c r="RI13" s="334"/>
      <c r="RJ13" s="334"/>
      <c r="RK13" s="334"/>
      <c r="RL13" s="334"/>
      <c r="RM13" s="334"/>
      <c r="RN13" s="334"/>
      <c r="RO13" s="334"/>
      <c r="RP13" s="334"/>
      <c r="RQ13" s="334"/>
      <c r="RR13" s="334"/>
      <c r="RS13" s="334"/>
      <c r="RT13" s="334"/>
      <c r="RU13" s="334"/>
      <c r="RV13" s="334"/>
      <c r="RW13" s="334"/>
      <c r="RX13" s="334"/>
      <c r="RY13" s="334"/>
      <c r="RZ13" s="334"/>
      <c r="SA13" s="334"/>
      <c r="SB13" s="334"/>
      <c r="SC13" s="334"/>
      <c r="SD13" s="334"/>
      <c r="SE13" s="334"/>
      <c r="SF13" s="334"/>
      <c r="SG13" s="334"/>
      <c r="SH13" s="334"/>
      <c r="SI13" s="334"/>
      <c r="SJ13" s="334"/>
      <c r="SK13" s="334"/>
      <c r="SL13" s="334"/>
      <c r="SM13" s="334"/>
      <c r="SN13" s="334"/>
      <c r="SO13" s="334"/>
      <c r="SP13" s="334"/>
      <c r="SQ13" s="334"/>
      <c r="SR13" s="334"/>
      <c r="SS13" s="334"/>
      <c r="ST13" s="334"/>
      <c r="SU13" s="334"/>
      <c r="SV13" s="334"/>
      <c r="SW13" s="334"/>
      <c r="SX13" s="334"/>
      <c r="SY13" s="334"/>
      <c r="SZ13" s="334"/>
      <c r="TA13" s="334"/>
      <c r="TB13" s="334"/>
      <c r="TC13" s="334"/>
      <c r="TD13" s="334"/>
      <c r="TE13" s="334"/>
      <c r="TF13" s="334"/>
      <c r="TG13" s="334"/>
      <c r="TH13" s="334"/>
      <c r="TI13" s="334"/>
      <c r="TJ13" s="334"/>
      <c r="TK13" s="334"/>
      <c r="TL13" s="334"/>
      <c r="TM13" s="334"/>
      <c r="TN13" s="334"/>
      <c r="TO13" s="334"/>
      <c r="TP13" s="334"/>
      <c r="TQ13" s="334"/>
      <c r="TR13" s="334"/>
      <c r="TS13" s="334"/>
      <c r="TT13" s="334"/>
      <c r="TU13" s="334"/>
      <c r="TV13" s="334"/>
      <c r="TW13" s="334"/>
      <c r="TX13" s="334"/>
      <c r="TY13" s="334"/>
      <c r="TZ13" s="334"/>
      <c r="UA13" s="334"/>
      <c r="UB13" s="334"/>
      <c r="UC13" s="334"/>
      <c r="UD13" s="334"/>
      <c r="UE13" s="334"/>
      <c r="UF13" s="334"/>
      <c r="UG13" s="334"/>
      <c r="UH13" s="334"/>
      <c r="UI13" s="334"/>
      <c r="UJ13" s="334"/>
      <c r="UK13" s="334"/>
      <c r="UL13" s="334"/>
      <c r="UM13" s="334"/>
      <c r="UN13" s="334"/>
      <c r="UO13" s="334"/>
      <c r="UP13" s="334"/>
      <c r="UQ13" s="334"/>
      <c r="UR13" s="334"/>
      <c r="US13" s="334"/>
      <c r="UT13" s="334"/>
      <c r="UU13" s="334"/>
      <c r="UV13" s="334"/>
      <c r="UW13" s="334"/>
      <c r="UX13" s="334"/>
      <c r="UY13" s="334"/>
      <c r="UZ13" s="334"/>
      <c r="VA13" s="334"/>
      <c r="VB13" s="334"/>
      <c r="VC13" s="334"/>
      <c r="VD13" s="334"/>
      <c r="VE13" s="334"/>
      <c r="VF13" s="334"/>
      <c r="VG13" s="334"/>
    </row>
    <row r="14" spans="1:579" s="15" customFormat="1">
      <c r="A14"/>
      <c r="B14" s="58">
        <v>45756</v>
      </c>
      <c r="C14" s="58" t="s">
        <v>194</v>
      </c>
      <c r="D14" s="160">
        <v>1536.9549999999151</v>
      </c>
      <c r="E14" s="160">
        <v>172.35440000000119</v>
      </c>
      <c r="F14" s="145">
        <f t="shared" si="0"/>
        <v>1709.3093999999164</v>
      </c>
      <c r="G14" s="11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 s="334"/>
      <c r="NX14" s="334"/>
      <c r="NY14" s="334"/>
      <c r="NZ14" s="334"/>
      <c r="OA14" s="334"/>
      <c r="OB14" s="334"/>
      <c r="OC14" s="334"/>
      <c r="OD14" s="334"/>
      <c r="OE14" s="334"/>
      <c r="OF14" s="334"/>
      <c r="OG14" s="334"/>
      <c r="OH14" s="334"/>
      <c r="OI14" s="334"/>
      <c r="OJ14" s="334"/>
      <c r="OK14" s="334"/>
      <c r="OL14" s="334"/>
      <c r="OM14" s="334"/>
      <c r="ON14" s="334"/>
      <c r="OO14" s="334"/>
      <c r="OP14" s="334"/>
      <c r="OQ14" s="334"/>
      <c r="OR14" s="334"/>
      <c r="OS14" s="334"/>
      <c r="OT14" s="334"/>
      <c r="OU14" s="334"/>
      <c r="OV14" s="334"/>
      <c r="OW14" s="334"/>
      <c r="OX14" s="334"/>
      <c r="OY14" s="334"/>
      <c r="OZ14" s="334"/>
      <c r="PA14" s="334"/>
      <c r="PB14" s="334"/>
      <c r="PC14" s="334"/>
      <c r="PD14" s="334"/>
      <c r="PE14" s="334"/>
      <c r="PF14" s="334"/>
      <c r="PG14" s="334"/>
      <c r="PH14" s="334"/>
      <c r="PI14" s="334"/>
      <c r="PJ14" s="334"/>
      <c r="PK14" s="334"/>
      <c r="PL14" s="334"/>
      <c r="PM14" s="334"/>
      <c r="PN14" s="334"/>
      <c r="PO14" s="334"/>
      <c r="PP14" s="334"/>
      <c r="PQ14" s="334"/>
      <c r="PR14" s="334"/>
      <c r="PS14" s="334"/>
      <c r="PT14" s="334"/>
      <c r="PU14" s="334"/>
      <c r="PV14" s="334"/>
      <c r="PW14" s="334"/>
      <c r="PX14" s="334"/>
      <c r="PY14" s="334"/>
      <c r="PZ14" s="334"/>
      <c r="QA14" s="334"/>
      <c r="QB14" s="334"/>
      <c r="QC14" s="334"/>
      <c r="QD14" s="334"/>
      <c r="QE14" s="334"/>
      <c r="QF14" s="334"/>
      <c r="QG14" s="334"/>
      <c r="QH14" s="334"/>
      <c r="QI14" s="334"/>
      <c r="QJ14" s="334"/>
      <c r="QK14" s="334"/>
      <c r="QL14" s="334"/>
      <c r="QM14" s="334"/>
      <c r="QN14" s="334"/>
      <c r="QO14" s="334"/>
      <c r="QP14" s="334"/>
      <c r="QQ14" s="334"/>
      <c r="QR14" s="334"/>
      <c r="QS14" s="334"/>
      <c r="QT14" s="334"/>
      <c r="QU14" s="334"/>
      <c r="QV14" s="334"/>
      <c r="QW14" s="334"/>
      <c r="QX14" s="334"/>
      <c r="QY14" s="334"/>
      <c r="QZ14" s="334"/>
      <c r="RA14" s="334"/>
      <c r="RB14" s="334"/>
      <c r="RC14" s="334"/>
      <c r="RD14" s="334"/>
      <c r="RE14" s="334"/>
      <c r="RF14" s="334"/>
      <c r="RG14" s="334"/>
      <c r="RH14" s="334"/>
      <c r="RI14" s="334"/>
      <c r="RJ14" s="334"/>
      <c r="RK14" s="334"/>
      <c r="RL14" s="334"/>
      <c r="RM14" s="334"/>
      <c r="RN14" s="334"/>
      <c r="RO14" s="334"/>
      <c r="RP14" s="334"/>
      <c r="RQ14" s="334"/>
      <c r="RR14" s="334"/>
      <c r="RS14" s="334"/>
      <c r="RT14" s="334"/>
      <c r="RU14" s="334"/>
      <c r="RV14" s="334"/>
      <c r="RW14" s="334"/>
      <c r="RX14" s="334"/>
      <c r="RY14" s="334"/>
      <c r="RZ14" s="334"/>
      <c r="SA14" s="334"/>
      <c r="SB14" s="334"/>
      <c r="SC14" s="334"/>
      <c r="SD14" s="334"/>
      <c r="SE14" s="334"/>
      <c r="SF14" s="334"/>
      <c r="SG14" s="334"/>
      <c r="SH14" s="334"/>
      <c r="SI14" s="334"/>
      <c r="SJ14" s="334"/>
      <c r="SK14" s="334"/>
      <c r="SL14" s="334"/>
      <c r="SM14" s="334"/>
      <c r="SN14" s="334"/>
      <c r="SO14" s="334"/>
      <c r="SP14" s="334"/>
      <c r="SQ14" s="334"/>
      <c r="SR14" s="334"/>
      <c r="SS14" s="334"/>
      <c r="ST14" s="334"/>
      <c r="SU14" s="334"/>
      <c r="SV14" s="334"/>
      <c r="SW14" s="334"/>
      <c r="SX14" s="334"/>
      <c r="SY14" s="334"/>
      <c r="SZ14" s="334"/>
      <c r="TA14" s="334"/>
      <c r="TB14" s="334"/>
      <c r="TC14" s="334"/>
      <c r="TD14" s="334"/>
      <c r="TE14" s="334"/>
      <c r="TF14" s="334"/>
      <c r="TG14" s="334"/>
      <c r="TH14" s="334"/>
      <c r="TI14" s="334"/>
      <c r="TJ14" s="334"/>
      <c r="TK14" s="334"/>
      <c r="TL14" s="334"/>
      <c r="TM14" s="334"/>
      <c r="TN14" s="334"/>
      <c r="TO14" s="334"/>
      <c r="TP14" s="334"/>
      <c r="TQ14" s="334"/>
      <c r="TR14" s="334"/>
      <c r="TS14" s="334"/>
      <c r="TT14" s="334"/>
      <c r="TU14" s="334"/>
      <c r="TV14" s="334"/>
      <c r="TW14" s="334"/>
      <c r="TX14" s="334"/>
      <c r="TY14" s="334"/>
      <c r="TZ14" s="334"/>
      <c r="UA14" s="334"/>
      <c r="UB14" s="334"/>
      <c r="UC14" s="334"/>
      <c r="UD14" s="334"/>
      <c r="UE14" s="334"/>
      <c r="UF14" s="334"/>
      <c r="UG14" s="334"/>
      <c r="UH14" s="334"/>
      <c r="UI14" s="334"/>
      <c r="UJ14" s="334"/>
      <c r="UK14" s="334"/>
      <c r="UL14" s="334"/>
      <c r="UM14" s="334"/>
      <c r="UN14" s="334"/>
      <c r="UO14" s="334"/>
      <c r="UP14" s="334"/>
      <c r="UQ14" s="334"/>
      <c r="UR14" s="334"/>
      <c r="US14" s="334"/>
      <c r="UT14" s="334"/>
      <c r="UU14" s="334"/>
      <c r="UV14" s="334"/>
      <c r="UW14" s="334"/>
      <c r="UX14" s="334"/>
      <c r="UY14" s="334"/>
      <c r="UZ14" s="334"/>
      <c r="VA14" s="334"/>
      <c r="VB14" s="334"/>
      <c r="VC14" s="334"/>
      <c r="VD14" s="334"/>
      <c r="VE14" s="334"/>
      <c r="VF14" s="334"/>
      <c r="VG14" s="334"/>
    </row>
    <row r="15" spans="1:579">
      <c r="B15" s="58">
        <v>45757</v>
      </c>
      <c r="C15" s="58" t="s">
        <v>195</v>
      </c>
      <c r="D15" s="160">
        <v>1392.5975000000308</v>
      </c>
      <c r="E15" s="160">
        <v>177.44320000001113</v>
      </c>
      <c r="F15" s="145">
        <f t="shared" si="0"/>
        <v>1570.0407000000419</v>
      </c>
      <c r="G15" s="235"/>
      <c r="H15" s="236"/>
      <c r="I15" s="236"/>
      <c r="NW15" s="334"/>
      <c r="NX15" s="334"/>
      <c r="NY15" s="334"/>
      <c r="NZ15" s="334"/>
      <c r="OA15" s="334"/>
      <c r="OB15" s="334"/>
      <c r="OC15" s="334"/>
      <c r="OD15" s="334"/>
      <c r="OE15" s="334"/>
      <c r="OF15" s="334"/>
      <c r="OG15" s="334"/>
      <c r="OH15" s="334"/>
      <c r="OI15" s="334"/>
      <c r="OJ15" s="334"/>
      <c r="OK15" s="334"/>
      <c r="OL15" s="334"/>
      <c r="OM15" s="334"/>
      <c r="ON15" s="334"/>
      <c r="OO15" s="334"/>
      <c r="OP15" s="334"/>
      <c r="OQ15" s="334"/>
      <c r="OR15" s="334"/>
      <c r="OS15" s="334"/>
      <c r="OT15" s="334"/>
      <c r="OU15" s="334"/>
      <c r="OV15" s="334"/>
      <c r="OW15" s="334"/>
      <c r="OX15" s="334"/>
      <c r="OY15" s="334"/>
      <c r="OZ15" s="334"/>
      <c r="PA15" s="334"/>
      <c r="PB15" s="334"/>
      <c r="PC15" s="334"/>
      <c r="PD15" s="334"/>
      <c r="PE15" s="334"/>
      <c r="PF15" s="334"/>
      <c r="PG15" s="334"/>
      <c r="PH15" s="334"/>
      <c r="PI15" s="334"/>
      <c r="PJ15" s="334"/>
      <c r="PK15" s="334"/>
      <c r="PL15" s="334"/>
      <c r="PM15" s="334"/>
      <c r="PN15" s="334"/>
      <c r="PO15" s="334"/>
      <c r="PP15" s="334"/>
      <c r="PQ15" s="334"/>
      <c r="PR15" s="334"/>
      <c r="PS15" s="334"/>
      <c r="PT15" s="334"/>
      <c r="PU15" s="334"/>
      <c r="PV15" s="334"/>
      <c r="PW15" s="334"/>
      <c r="PX15" s="334"/>
      <c r="PY15" s="334"/>
      <c r="PZ15" s="334"/>
      <c r="QA15" s="334"/>
      <c r="QB15" s="334"/>
      <c r="QC15" s="334"/>
      <c r="QD15" s="334"/>
      <c r="QE15" s="334"/>
      <c r="QF15" s="334"/>
      <c r="QG15" s="334"/>
      <c r="QH15" s="334"/>
      <c r="QI15" s="334"/>
      <c r="QJ15" s="334"/>
      <c r="QK15" s="334"/>
      <c r="QL15" s="334"/>
      <c r="QM15" s="334"/>
      <c r="QN15" s="334"/>
      <c r="QO15" s="334"/>
      <c r="QP15" s="334"/>
      <c r="QQ15" s="334"/>
      <c r="QR15" s="334"/>
      <c r="QS15" s="334"/>
      <c r="QT15" s="334"/>
      <c r="QU15" s="334"/>
      <c r="QV15" s="334"/>
      <c r="QW15" s="334"/>
      <c r="QX15" s="334"/>
      <c r="QY15" s="334"/>
      <c r="QZ15" s="334"/>
      <c r="RA15" s="334"/>
      <c r="RB15" s="334"/>
      <c r="RC15" s="334"/>
      <c r="RD15" s="334"/>
      <c r="RE15" s="334"/>
      <c r="RF15" s="334"/>
      <c r="RG15" s="334"/>
      <c r="RH15" s="334"/>
      <c r="RI15" s="334"/>
      <c r="RJ15" s="334"/>
      <c r="RK15" s="334"/>
      <c r="RL15" s="334"/>
      <c r="RM15" s="334"/>
      <c r="RN15" s="334"/>
      <c r="RO15" s="334"/>
      <c r="RP15" s="334"/>
      <c r="RQ15" s="334"/>
      <c r="RR15" s="334"/>
      <c r="RS15" s="334"/>
      <c r="RT15" s="334"/>
      <c r="RU15" s="334"/>
      <c r="RV15" s="334"/>
      <c r="RW15" s="334"/>
      <c r="RX15" s="334"/>
      <c r="RY15" s="334"/>
      <c r="RZ15" s="334"/>
      <c r="SA15" s="334"/>
      <c r="SB15" s="334"/>
      <c r="SC15" s="334"/>
      <c r="SD15" s="334"/>
      <c r="SE15" s="334"/>
      <c r="SF15" s="334"/>
      <c r="SG15" s="334"/>
      <c r="SH15" s="334"/>
      <c r="SI15" s="334"/>
      <c r="SJ15" s="334"/>
      <c r="SK15" s="334"/>
      <c r="SL15" s="334"/>
      <c r="SM15" s="334"/>
      <c r="SN15" s="334"/>
      <c r="SO15" s="334"/>
      <c r="SP15" s="334"/>
      <c r="SQ15" s="334"/>
      <c r="SR15" s="334"/>
      <c r="SS15" s="334"/>
      <c r="ST15" s="334"/>
      <c r="SU15" s="334"/>
      <c r="SV15" s="334"/>
      <c r="SW15" s="334"/>
      <c r="SX15" s="334"/>
      <c r="SY15" s="334"/>
      <c r="SZ15" s="334"/>
      <c r="TA15" s="334"/>
      <c r="TB15" s="334"/>
      <c r="TC15" s="334"/>
      <c r="TD15" s="334"/>
      <c r="TE15" s="334"/>
      <c r="TF15" s="334"/>
      <c r="TG15" s="334"/>
      <c r="TH15" s="334"/>
      <c r="TI15" s="334"/>
      <c r="TJ15" s="334"/>
      <c r="TK15" s="334"/>
      <c r="TL15" s="334"/>
      <c r="TM15" s="334"/>
      <c r="TN15" s="334"/>
      <c r="TO15" s="334"/>
      <c r="TP15" s="334"/>
      <c r="TQ15" s="334"/>
      <c r="TR15" s="334"/>
      <c r="TS15" s="334"/>
      <c r="TT15" s="334"/>
      <c r="TU15" s="334"/>
      <c r="TV15" s="334"/>
      <c r="TW15" s="334"/>
      <c r="TX15" s="334"/>
      <c r="TY15" s="334"/>
      <c r="TZ15" s="334"/>
      <c r="UA15" s="334"/>
      <c r="UB15" s="334"/>
      <c r="UC15" s="334"/>
      <c r="UD15" s="334"/>
      <c r="UE15" s="334"/>
      <c r="UF15" s="334"/>
      <c r="UG15" s="334"/>
      <c r="UH15" s="334"/>
      <c r="UI15" s="334"/>
      <c r="UJ15" s="334"/>
      <c r="UK15" s="334"/>
      <c r="UL15" s="334"/>
      <c r="UM15" s="334"/>
      <c r="UN15" s="334"/>
      <c r="UO15" s="334"/>
      <c r="UP15" s="334"/>
      <c r="UQ15" s="334"/>
      <c r="UR15" s="334"/>
      <c r="US15" s="334"/>
      <c r="UT15" s="334"/>
      <c r="UU15" s="334"/>
      <c r="UV15" s="334"/>
      <c r="UW15" s="334"/>
      <c r="UX15" s="334"/>
      <c r="UY15" s="334"/>
      <c r="UZ15" s="334"/>
      <c r="VA15" s="334"/>
      <c r="VB15" s="334"/>
      <c r="VC15" s="334"/>
      <c r="VD15" s="334"/>
      <c r="VE15" s="334"/>
      <c r="VF15" s="334"/>
      <c r="VG15" s="334"/>
    </row>
    <row r="16" spans="1:579" s="15" customFormat="1">
      <c r="B16" s="58">
        <v>45758</v>
      </c>
      <c r="C16" s="58" t="s">
        <v>196</v>
      </c>
      <c r="D16" s="160">
        <v>1384.1424999999663</v>
      </c>
      <c r="E16" s="160">
        <v>178.989200000008</v>
      </c>
      <c r="F16" s="145">
        <f t="shared" si="0"/>
        <v>1563.1316999999742</v>
      </c>
      <c r="G16" s="235"/>
      <c r="H16" s="236"/>
      <c r="I16" s="245"/>
      <c r="J16" s="236"/>
      <c r="K16" s="236"/>
      <c r="L16" s="236"/>
      <c r="M16" s="23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 s="334"/>
      <c r="NX16" s="334"/>
      <c r="NY16" s="334"/>
      <c r="NZ16" s="334"/>
      <c r="OA16" s="334"/>
      <c r="OB16" s="334"/>
      <c r="OC16" s="334"/>
      <c r="OD16" s="334"/>
      <c r="OE16" s="334"/>
      <c r="OF16" s="334"/>
      <c r="OG16" s="334"/>
      <c r="OH16" s="334"/>
      <c r="OI16" s="334"/>
      <c r="OJ16" s="334"/>
      <c r="OK16" s="334"/>
      <c r="OL16" s="334"/>
      <c r="OM16" s="334"/>
      <c r="ON16" s="334"/>
      <c r="OO16" s="334"/>
      <c r="OP16" s="334"/>
      <c r="OQ16" s="334"/>
      <c r="OR16" s="334"/>
      <c r="OS16" s="334"/>
      <c r="OT16" s="334"/>
      <c r="OU16" s="334"/>
      <c r="OV16" s="334"/>
      <c r="OW16" s="334"/>
      <c r="OX16" s="334"/>
      <c r="OY16" s="334"/>
      <c r="OZ16" s="334"/>
      <c r="PA16" s="334"/>
      <c r="PB16" s="334"/>
      <c r="PC16" s="334"/>
      <c r="PD16" s="334"/>
      <c r="PE16" s="334"/>
      <c r="PF16" s="334"/>
      <c r="PG16" s="334"/>
      <c r="PH16" s="334"/>
      <c r="PI16" s="334"/>
      <c r="PJ16" s="334"/>
      <c r="PK16" s="334"/>
      <c r="PL16" s="334"/>
      <c r="PM16" s="334"/>
      <c r="PN16" s="334"/>
      <c r="PO16" s="334"/>
      <c r="PP16" s="334"/>
      <c r="PQ16" s="334"/>
      <c r="PR16" s="334"/>
      <c r="PS16" s="334"/>
      <c r="PT16" s="334"/>
      <c r="PU16" s="334"/>
      <c r="PV16" s="334"/>
      <c r="PW16" s="334"/>
      <c r="PX16" s="334"/>
      <c r="PY16" s="334"/>
      <c r="PZ16" s="334"/>
      <c r="QA16" s="334"/>
      <c r="QB16" s="334"/>
      <c r="QC16" s="334"/>
      <c r="QD16" s="334"/>
      <c r="QE16" s="334"/>
      <c r="QF16" s="334"/>
      <c r="QG16" s="334"/>
      <c r="QH16" s="334"/>
      <c r="QI16" s="334"/>
      <c r="QJ16" s="334"/>
      <c r="QK16" s="334"/>
      <c r="QL16" s="334"/>
      <c r="QM16" s="334"/>
      <c r="QN16" s="334"/>
      <c r="QO16" s="334"/>
      <c r="QP16" s="334"/>
      <c r="QQ16" s="334"/>
      <c r="QR16" s="334"/>
      <c r="QS16" s="334"/>
      <c r="QT16" s="334"/>
      <c r="QU16" s="334"/>
      <c r="QV16" s="334"/>
      <c r="QW16" s="334"/>
      <c r="QX16" s="334"/>
      <c r="QY16" s="334"/>
      <c r="QZ16" s="334"/>
      <c r="RA16" s="334"/>
      <c r="RB16" s="334"/>
      <c r="RC16" s="334"/>
      <c r="RD16" s="334"/>
      <c r="RE16" s="334"/>
      <c r="RF16" s="334"/>
      <c r="RG16" s="334"/>
      <c r="RH16" s="334"/>
      <c r="RI16" s="334"/>
      <c r="RJ16" s="334"/>
      <c r="RK16" s="334"/>
      <c r="RL16" s="334"/>
      <c r="RM16" s="334"/>
      <c r="RN16" s="334"/>
      <c r="RO16" s="334"/>
      <c r="RP16" s="334"/>
      <c r="RQ16" s="334"/>
      <c r="RR16" s="334"/>
      <c r="RS16" s="334"/>
      <c r="RT16" s="334"/>
      <c r="RU16" s="334"/>
      <c r="RV16" s="334"/>
      <c r="RW16" s="334"/>
      <c r="RX16" s="334"/>
      <c r="RY16" s="334"/>
      <c r="RZ16" s="334"/>
      <c r="SA16" s="334"/>
      <c r="SB16" s="334"/>
      <c r="SC16" s="334"/>
      <c r="SD16" s="334"/>
      <c r="SE16" s="334"/>
      <c r="SF16" s="334"/>
      <c r="SG16" s="334"/>
      <c r="SH16" s="334"/>
      <c r="SI16" s="334"/>
      <c r="SJ16" s="334"/>
      <c r="SK16" s="334"/>
      <c r="SL16" s="334"/>
      <c r="SM16" s="334"/>
      <c r="SN16" s="334"/>
      <c r="SO16" s="334"/>
      <c r="SP16" s="334"/>
      <c r="SQ16" s="334"/>
      <c r="SR16" s="334"/>
      <c r="SS16" s="334"/>
      <c r="ST16" s="334"/>
      <c r="SU16" s="334"/>
      <c r="SV16" s="334"/>
      <c r="SW16" s="334"/>
      <c r="SX16" s="334"/>
      <c r="SY16" s="334"/>
      <c r="SZ16" s="334"/>
      <c r="TA16" s="334"/>
      <c r="TB16" s="334"/>
      <c r="TC16" s="334"/>
      <c r="TD16" s="334"/>
      <c r="TE16" s="334"/>
      <c r="TF16" s="334"/>
      <c r="TG16" s="334"/>
      <c r="TH16" s="334"/>
      <c r="TI16" s="334"/>
      <c r="TJ16" s="334"/>
      <c r="TK16" s="334"/>
      <c r="TL16" s="334"/>
      <c r="TM16" s="334"/>
      <c r="TN16" s="334"/>
      <c r="TO16" s="334"/>
      <c r="TP16" s="334"/>
      <c r="TQ16" s="334"/>
      <c r="TR16" s="334"/>
      <c r="TS16" s="334"/>
      <c r="TT16" s="334"/>
      <c r="TU16" s="334"/>
      <c r="TV16" s="334"/>
      <c r="TW16" s="334"/>
      <c r="TX16" s="334"/>
      <c r="TY16" s="334"/>
      <c r="TZ16" s="334"/>
      <c r="UA16" s="334"/>
      <c r="UB16" s="334"/>
      <c r="UC16" s="334"/>
      <c r="UD16" s="334"/>
      <c r="UE16" s="334"/>
      <c r="UF16" s="334"/>
      <c r="UG16" s="334"/>
      <c r="UH16" s="334"/>
      <c r="UI16" s="334"/>
      <c r="UJ16" s="334"/>
      <c r="UK16" s="334"/>
      <c r="UL16" s="334"/>
      <c r="UM16" s="334"/>
      <c r="UN16" s="334"/>
      <c r="UO16" s="334"/>
      <c r="UP16" s="334"/>
      <c r="UQ16" s="334"/>
      <c r="UR16" s="334"/>
      <c r="US16" s="334"/>
      <c r="UT16" s="334"/>
      <c r="UU16" s="334"/>
      <c r="UV16" s="334"/>
      <c r="UW16" s="334"/>
      <c r="UX16" s="334"/>
      <c r="UY16" s="334"/>
      <c r="UZ16" s="334"/>
      <c r="VA16" s="334"/>
      <c r="VB16" s="334"/>
      <c r="VC16" s="334"/>
      <c r="VD16" s="334"/>
      <c r="VE16" s="334"/>
      <c r="VF16" s="334"/>
      <c r="VG16" s="334"/>
    </row>
    <row r="17" spans="1:579" s="15" customFormat="1">
      <c r="A17"/>
      <c r="B17" s="58">
        <v>45759</v>
      </c>
      <c r="C17" s="58" t="s">
        <v>197</v>
      </c>
      <c r="D17" s="160">
        <v>1437.7574999999802</v>
      </c>
      <c r="E17" s="160">
        <v>150.37999999999417</v>
      </c>
      <c r="F17" s="145">
        <f t="shared" si="0"/>
        <v>1588.1374999999744</v>
      </c>
      <c r="G17" s="235"/>
      <c r="H17" s="236"/>
      <c r="I17" s="236"/>
      <c r="J17" s="236"/>
      <c r="K17" s="236"/>
      <c r="L17" s="236"/>
      <c r="M17" s="236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 s="334"/>
      <c r="NX17" s="334"/>
      <c r="NY17" s="334"/>
      <c r="NZ17" s="334"/>
      <c r="OA17" s="334"/>
      <c r="OB17" s="334"/>
      <c r="OC17" s="334"/>
      <c r="OD17" s="334"/>
      <c r="OE17" s="334"/>
      <c r="OF17" s="334"/>
      <c r="OG17" s="334"/>
      <c r="OH17" s="334"/>
      <c r="OI17" s="334"/>
      <c r="OJ17" s="334"/>
      <c r="OK17" s="334"/>
      <c r="OL17" s="334"/>
      <c r="OM17" s="334"/>
      <c r="ON17" s="334"/>
      <c r="OO17" s="334"/>
      <c r="OP17" s="334"/>
      <c r="OQ17" s="334"/>
      <c r="OR17" s="334"/>
      <c r="OS17" s="334"/>
      <c r="OT17" s="334"/>
      <c r="OU17" s="334"/>
      <c r="OV17" s="334"/>
      <c r="OW17" s="334"/>
      <c r="OX17" s="334"/>
      <c r="OY17" s="334"/>
      <c r="OZ17" s="334"/>
      <c r="PA17" s="334"/>
      <c r="PB17" s="334"/>
      <c r="PC17" s="334"/>
      <c r="PD17" s="334"/>
      <c r="PE17" s="334"/>
      <c r="PF17" s="334"/>
      <c r="PG17" s="334"/>
      <c r="PH17" s="334"/>
      <c r="PI17" s="334"/>
      <c r="PJ17" s="334"/>
      <c r="PK17" s="334"/>
      <c r="PL17" s="334"/>
      <c r="PM17" s="334"/>
      <c r="PN17" s="334"/>
      <c r="PO17" s="334"/>
      <c r="PP17" s="334"/>
      <c r="PQ17" s="334"/>
      <c r="PR17" s="334"/>
      <c r="PS17" s="334"/>
      <c r="PT17" s="334"/>
      <c r="PU17" s="334"/>
      <c r="PV17" s="334"/>
      <c r="PW17" s="334"/>
      <c r="PX17" s="334"/>
      <c r="PY17" s="334"/>
      <c r="PZ17" s="334"/>
      <c r="QA17" s="334"/>
      <c r="QB17" s="334"/>
      <c r="QC17" s="334"/>
      <c r="QD17" s="334"/>
      <c r="QE17" s="334"/>
      <c r="QF17" s="334"/>
      <c r="QG17" s="334"/>
      <c r="QH17" s="334"/>
      <c r="QI17" s="334"/>
      <c r="QJ17" s="334"/>
      <c r="QK17" s="334"/>
      <c r="QL17" s="334"/>
      <c r="QM17" s="334"/>
      <c r="QN17" s="334"/>
      <c r="QO17" s="334"/>
      <c r="QP17" s="334"/>
      <c r="QQ17" s="334"/>
      <c r="QR17" s="334"/>
      <c r="QS17" s="334"/>
      <c r="QT17" s="334"/>
      <c r="QU17" s="334"/>
      <c r="QV17" s="334"/>
      <c r="QW17" s="334"/>
      <c r="QX17" s="334"/>
      <c r="QY17" s="334"/>
      <c r="QZ17" s="334"/>
      <c r="RA17" s="334"/>
      <c r="RB17" s="334"/>
      <c r="RC17" s="334"/>
      <c r="RD17" s="334"/>
      <c r="RE17" s="334"/>
      <c r="RF17" s="334"/>
      <c r="RG17" s="334"/>
      <c r="RH17" s="334"/>
      <c r="RI17" s="334"/>
      <c r="RJ17" s="334"/>
      <c r="RK17" s="334"/>
      <c r="RL17" s="334"/>
      <c r="RM17" s="334"/>
      <c r="RN17" s="334"/>
      <c r="RO17" s="334"/>
      <c r="RP17" s="334"/>
      <c r="RQ17" s="334"/>
      <c r="RR17" s="334"/>
      <c r="RS17" s="334"/>
      <c r="RT17" s="334"/>
      <c r="RU17" s="334"/>
      <c r="RV17" s="334"/>
      <c r="RW17" s="334"/>
      <c r="RX17" s="334"/>
      <c r="RY17" s="334"/>
      <c r="RZ17" s="334"/>
      <c r="SA17" s="334"/>
      <c r="SB17" s="334"/>
      <c r="SC17" s="334"/>
      <c r="SD17" s="334"/>
      <c r="SE17" s="334"/>
      <c r="SF17" s="334"/>
      <c r="SG17" s="334"/>
      <c r="SH17" s="334"/>
      <c r="SI17" s="334"/>
      <c r="SJ17" s="334"/>
      <c r="SK17" s="334"/>
      <c r="SL17" s="334"/>
      <c r="SM17" s="334"/>
      <c r="SN17" s="334"/>
      <c r="SO17" s="334"/>
      <c r="SP17" s="334"/>
      <c r="SQ17" s="334"/>
      <c r="SR17" s="334"/>
      <c r="SS17" s="334"/>
      <c r="ST17" s="334"/>
      <c r="SU17" s="334"/>
      <c r="SV17" s="334"/>
      <c r="SW17" s="334"/>
      <c r="SX17" s="334"/>
      <c r="SY17" s="334"/>
      <c r="SZ17" s="334"/>
      <c r="TA17" s="334"/>
      <c r="TB17" s="334"/>
      <c r="TC17" s="334"/>
      <c r="TD17" s="334"/>
      <c r="TE17" s="334"/>
      <c r="TF17" s="334"/>
      <c r="TG17" s="334"/>
      <c r="TH17" s="334"/>
      <c r="TI17" s="334"/>
      <c r="TJ17" s="334"/>
      <c r="TK17" s="334"/>
      <c r="TL17" s="334"/>
      <c r="TM17" s="334"/>
      <c r="TN17" s="334"/>
      <c r="TO17" s="334"/>
      <c r="TP17" s="334"/>
      <c r="TQ17" s="334"/>
      <c r="TR17" s="334"/>
      <c r="TS17" s="334"/>
      <c r="TT17" s="334"/>
      <c r="TU17" s="334"/>
      <c r="TV17" s="334"/>
      <c r="TW17" s="334"/>
      <c r="TX17" s="334"/>
      <c r="TY17" s="334"/>
      <c r="TZ17" s="334"/>
      <c r="UA17" s="334"/>
      <c r="UB17" s="334"/>
      <c r="UC17" s="334"/>
      <c r="UD17" s="334"/>
      <c r="UE17" s="334"/>
      <c r="UF17" s="334"/>
      <c r="UG17" s="334"/>
      <c r="UH17" s="334"/>
      <c r="UI17" s="334"/>
      <c r="UJ17" s="334"/>
      <c r="UK17" s="334"/>
      <c r="UL17" s="334"/>
      <c r="UM17" s="334"/>
      <c r="UN17" s="334"/>
      <c r="UO17" s="334"/>
      <c r="UP17" s="334"/>
      <c r="UQ17" s="334"/>
      <c r="UR17" s="334"/>
      <c r="US17" s="334"/>
      <c r="UT17" s="334"/>
      <c r="UU17" s="334"/>
      <c r="UV17" s="334"/>
      <c r="UW17" s="334"/>
      <c r="UX17" s="334"/>
      <c r="UY17" s="334"/>
      <c r="UZ17" s="334"/>
      <c r="VA17" s="334"/>
      <c r="VB17" s="334"/>
      <c r="VC17" s="334"/>
      <c r="VD17" s="334"/>
      <c r="VE17" s="334"/>
      <c r="VF17" s="334"/>
      <c r="VG17" s="334"/>
    </row>
    <row r="18" spans="1:579" s="15" customFormat="1">
      <c r="A18"/>
      <c r="B18" s="183">
        <v>45760</v>
      </c>
      <c r="C18" s="183" t="s">
        <v>198</v>
      </c>
      <c r="D18" s="195">
        <v>1073.5612500000607</v>
      </c>
      <c r="E18" s="195">
        <v>26.853600000002189</v>
      </c>
      <c r="F18" s="196">
        <f t="shared" si="0"/>
        <v>1100.4148500000629</v>
      </c>
      <c r="G18" s="11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 s="334"/>
      <c r="NX18" s="334"/>
      <c r="NY18" s="334"/>
      <c r="NZ18" s="334"/>
      <c r="OA18" s="334"/>
      <c r="OB18" s="334"/>
      <c r="OC18" s="334"/>
      <c r="OD18" s="334"/>
      <c r="OE18" s="334"/>
      <c r="OF18" s="334"/>
      <c r="OG18" s="334"/>
      <c r="OH18" s="334"/>
      <c r="OI18" s="334"/>
      <c r="OJ18" s="334"/>
      <c r="OK18" s="334"/>
      <c r="OL18" s="334"/>
      <c r="OM18" s="334"/>
      <c r="ON18" s="334"/>
      <c r="OO18" s="334"/>
      <c r="OP18" s="334"/>
      <c r="OQ18" s="334"/>
      <c r="OR18" s="334"/>
      <c r="OS18" s="334"/>
      <c r="OT18" s="334"/>
      <c r="OU18" s="334"/>
      <c r="OV18" s="334"/>
      <c r="OW18" s="334"/>
      <c r="OX18" s="334"/>
      <c r="OY18" s="334"/>
      <c r="OZ18" s="334"/>
      <c r="PA18" s="334"/>
      <c r="PB18" s="334"/>
      <c r="PC18" s="334"/>
      <c r="PD18" s="334"/>
      <c r="PE18" s="334"/>
      <c r="PF18" s="334"/>
      <c r="PG18" s="334"/>
      <c r="PH18" s="334"/>
      <c r="PI18" s="334"/>
      <c r="PJ18" s="334"/>
      <c r="PK18" s="334"/>
      <c r="PL18" s="334"/>
      <c r="PM18" s="334"/>
      <c r="PN18" s="334"/>
      <c r="PO18" s="334"/>
      <c r="PP18" s="334"/>
      <c r="PQ18" s="334"/>
      <c r="PR18" s="334"/>
      <c r="PS18" s="334"/>
      <c r="PT18" s="334"/>
      <c r="PU18" s="334"/>
      <c r="PV18" s="334"/>
      <c r="PW18" s="334"/>
      <c r="PX18" s="334"/>
      <c r="PY18" s="334"/>
      <c r="PZ18" s="334"/>
      <c r="QA18" s="334"/>
      <c r="QB18" s="334"/>
      <c r="QC18" s="334"/>
      <c r="QD18" s="334"/>
      <c r="QE18" s="334"/>
      <c r="QF18" s="334"/>
      <c r="QG18" s="334"/>
      <c r="QH18" s="334"/>
      <c r="QI18" s="334"/>
      <c r="QJ18" s="334"/>
      <c r="QK18" s="334"/>
      <c r="QL18" s="334"/>
      <c r="QM18" s="334"/>
      <c r="QN18" s="334"/>
      <c r="QO18" s="334"/>
      <c r="QP18" s="334"/>
      <c r="QQ18" s="334"/>
      <c r="QR18" s="334"/>
      <c r="QS18" s="334"/>
      <c r="QT18" s="334"/>
      <c r="QU18" s="334"/>
      <c r="QV18" s="334"/>
      <c r="QW18" s="334"/>
      <c r="QX18" s="334"/>
      <c r="QY18" s="334"/>
      <c r="QZ18" s="334"/>
      <c r="RA18" s="334"/>
      <c r="RB18" s="334"/>
      <c r="RC18" s="334"/>
      <c r="RD18" s="334"/>
      <c r="RE18" s="334"/>
      <c r="RF18" s="334"/>
      <c r="RG18" s="334"/>
      <c r="RH18" s="334"/>
      <c r="RI18" s="334"/>
      <c r="RJ18" s="334"/>
      <c r="RK18" s="334"/>
      <c r="RL18" s="334"/>
      <c r="RM18" s="334"/>
      <c r="RN18" s="334"/>
      <c r="RO18" s="334"/>
      <c r="RP18" s="334"/>
      <c r="RQ18" s="334"/>
      <c r="RR18" s="334"/>
      <c r="RS18" s="334"/>
      <c r="RT18" s="334"/>
      <c r="RU18" s="334"/>
      <c r="RV18" s="334"/>
      <c r="RW18" s="334"/>
      <c r="RX18" s="334"/>
      <c r="RY18" s="334"/>
      <c r="RZ18" s="334"/>
      <c r="SA18" s="334"/>
      <c r="SB18" s="334"/>
      <c r="SC18" s="334"/>
      <c r="SD18" s="334"/>
      <c r="SE18" s="334"/>
      <c r="SF18" s="334"/>
      <c r="SG18" s="334"/>
      <c r="SH18" s="334"/>
      <c r="SI18" s="334"/>
      <c r="SJ18" s="334"/>
      <c r="SK18" s="334"/>
      <c r="SL18" s="334"/>
      <c r="SM18" s="334"/>
      <c r="SN18" s="334"/>
      <c r="SO18" s="334"/>
      <c r="SP18" s="334"/>
      <c r="SQ18" s="334"/>
      <c r="SR18" s="334"/>
      <c r="SS18" s="334"/>
      <c r="ST18" s="334"/>
      <c r="SU18" s="334"/>
      <c r="SV18" s="334"/>
      <c r="SW18" s="334"/>
      <c r="SX18" s="334"/>
      <c r="SY18" s="334"/>
      <c r="SZ18" s="334"/>
      <c r="TA18" s="334"/>
      <c r="TB18" s="334"/>
      <c r="TC18" s="334"/>
      <c r="TD18" s="334"/>
      <c r="TE18" s="334"/>
      <c r="TF18" s="334"/>
      <c r="TG18" s="334"/>
      <c r="TH18" s="334"/>
      <c r="TI18" s="334"/>
      <c r="TJ18" s="334"/>
      <c r="TK18" s="334"/>
      <c r="TL18" s="334"/>
      <c r="TM18" s="334"/>
      <c r="TN18" s="334"/>
      <c r="TO18" s="334"/>
      <c r="TP18" s="334"/>
      <c r="TQ18" s="334"/>
      <c r="TR18" s="334"/>
      <c r="TS18" s="334"/>
      <c r="TT18" s="334"/>
      <c r="TU18" s="334"/>
      <c r="TV18" s="334"/>
      <c r="TW18" s="334"/>
      <c r="TX18" s="334"/>
      <c r="TY18" s="334"/>
      <c r="TZ18" s="334"/>
      <c r="UA18" s="334"/>
      <c r="UB18" s="334"/>
      <c r="UC18" s="334"/>
      <c r="UD18" s="334"/>
      <c r="UE18" s="334"/>
      <c r="UF18" s="334"/>
      <c r="UG18" s="334"/>
      <c r="UH18" s="334"/>
      <c r="UI18" s="334"/>
      <c r="UJ18" s="334"/>
      <c r="UK18" s="334"/>
      <c r="UL18" s="334"/>
      <c r="UM18" s="334"/>
      <c r="UN18" s="334"/>
      <c r="UO18" s="334"/>
      <c r="UP18" s="334"/>
      <c r="UQ18" s="334"/>
      <c r="UR18" s="334"/>
      <c r="US18" s="334"/>
      <c r="UT18" s="334"/>
      <c r="UU18" s="334"/>
      <c r="UV18" s="334"/>
      <c r="UW18" s="334"/>
      <c r="UX18" s="334"/>
      <c r="UY18" s="334"/>
      <c r="UZ18" s="334"/>
      <c r="VA18" s="334"/>
      <c r="VB18" s="334"/>
      <c r="VC18" s="334"/>
      <c r="VD18" s="334"/>
      <c r="VE18" s="334"/>
      <c r="VF18" s="334"/>
      <c r="VG18" s="334"/>
    </row>
    <row r="19" spans="1:579">
      <c r="B19" s="58">
        <v>45761</v>
      </c>
      <c r="C19" s="58" t="s">
        <v>192</v>
      </c>
      <c r="D19" s="160">
        <v>387.21500000005756</v>
      </c>
      <c r="E19" s="160">
        <v>8.6576000000018389</v>
      </c>
      <c r="F19" s="145">
        <f t="shared" si="0"/>
        <v>395.87260000005938</v>
      </c>
      <c r="G19" s="11"/>
      <c r="NW19" s="334"/>
      <c r="NX19" s="334"/>
      <c r="NY19" s="334"/>
      <c r="NZ19" s="334"/>
      <c r="OA19" s="334"/>
      <c r="OB19" s="334"/>
      <c r="OC19" s="334"/>
      <c r="OD19" s="334"/>
      <c r="OE19" s="334"/>
      <c r="OF19" s="334"/>
      <c r="OG19" s="334"/>
      <c r="OH19" s="334"/>
      <c r="OI19" s="334"/>
      <c r="OJ19" s="334"/>
      <c r="OK19" s="334"/>
      <c r="OL19" s="334"/>
      <c r="OM19" s="334"/>
      <c r="ON19" s="334"/>
      <c r="OO19" s="334"/>
      <c r="OP19" s="334"/>
      <c r="OQ19" s="334"/>
      <c r="OR19" s="334"/>
      <c r="OS19" s="334"/>
      <c r="OT19" s="334"/>
      <c r="OU19" s="334"/>
      <c r="OV19" s="334"/>
      <c r="OW19" s="334"/>
      <c r="OX19" s="334"/>
      <c r="OY19" s="334"/>
      <c r="OZ19" s="334"/>
      <c r="PA19" s="334"/>
      <c r="PB19" s="334"/>
      <c r="PC19" s="334"/>
      <c r="PD19" s="334"/>
      <c r="PE19" s="334"/>
      <c r="PF19" s="334"/>
      <c r="PG19" s="334"/>
      <c r="PH19" s="334"/>
      <c r="PI19" s="334"/>
      <c r="PJ19" s="334"/>
      <c r="PK19" s="334"/>
      <c r="PL19" s="334"/>
      <c r="PM19" s="334"/>
      <c r="PN19" s="334"/>
      <c r="PO19" s="334"/>
      <c r="PP19" s="334"/>
      <c r="PQ19" s="334"/>
      <c r="PR19" s="334"/>
      <c r="PS19" s="334"/>
      <c r="PT19" s="334"/>
      <c r="PU19" s="334"/>
      <c r="PV19" s="334"/>
      <c r="PW19" s="334"/>
      <c r="PX19" s="334"/>
      <c r="PY19" s="334"/>
      <c r="PZ19" s="334"/>
      <c r="QA19" s="334"/>
      <c r="QB19" s="334"/>
      <c r="QC19" s="334"/>
      <c r="QD19" s="334"/>
      <c r="QE19" s="334"/>
      <c r="QF19" s="334"/>
      <c r="QG19" s="334"/>
      <c r="QH19" s="334"/>
      <c r="QI19" s="334"/>
      <c r="QJ19" s="334"/>
      <c r="QK19" s="334"/>
      <c r="QL19" s="334"/>
      <c r="QM19" s="334"/>
      <c r="QN19" s="334"/>
      <c r="QO19" s="334"/>
      <c r="QP19" s="334"/>
      <c r="QQ19" s="334"/>
      <c r="QR19" s="334"/>
      <c r="QS19" s="334"/>
      <c r="QT19" s="334"/>
      <c r="QU19" s="334"/>
      <c r="QV19" s="334"/>
      <c r="QW19" s="334"/>
      <c r="QX19" s="334"/>
      <c r="QY19" s="334"/>
      <c r="QZ19" s="334"/>
      <c r="RA19" s="334"/>
      <c r="RB19" s="334"/>
      <c r="RC19" s="334"/>
      <c r="RD19" s="334"/>
      <c r="RE19" s="334"/>
      <c r="RF19" s="334"/>
      <c r="RG19" s="334"/>
      <c r="RH19" s="334"/>
      <c r="RI19" s="334"/>
      <c r="RJ19" s="334"/>
      <c r="RK19" s="334"/>
      <c r="RL19" s="334"/>
      <c r="RM19" s="334"/>
      <c r="RN19" s="334"/>
      <c r="RO19" s="334"/>
      <c r="RP19" s="334"/>
      <c r="RQ19" s="334"/>
      <c r="RR19" s="334"/>
      <c r="RS19" s="334"/>
      <c r="RT19" s="334"/>
      <c r="RU19" s="334"/>
      <c r="RV19" s="334"/>
      <c r="RW19" s="334"/>
      <c r="RX19" s="334"/>
      <c r="RY19" s="334"/>
      <c r="RZ19" s="334"/>
      <c r="SA19" s="334"/>
      <c r="SB19" s="334"/>
      <c r="SC19" s="334"/>
      <c r="SD19" s="334"/>
      <c r="SE19" s="334"/>
      <c r="SF19" s="334"/>
      <c r="SG19" s="334"/>
      <c r="SH19" s="334"/>
      <c r="SI19" s="334"/>
      <c r="SJ19" s="334"/>
      <c r="SK19" s="334"/>
      <c r="SL19" s="334"/>
      <c r="SM19" s="334"/>
      <c r="SN19" s="334"/>
      <c r="SO19" s="334"/>
      <c r="SP19" s="334"/>
      <c r="SQ19" s="334"/>
      <c r="SR19" s="334"/>
      <c r="SS19" s="334"/>
      <c r="ST19" s="334"/>
      <c r="SU19" s="334"/>
      <c r="SV19" s="334"/>
      <c r="SW19" s="334"/>
      <c r="SX19" s="334"/>
      <c r="SY19" s="334"/>
      <c r="SZ19" s="334"/>
      <c r="TA19" s="334"/>
      <c r="TB19" s="334"/>
      <c r="TC19" s="334"/>
      <c r="TD19" s="334"/>
      <c r="TE19" s="334"/>
      <c r="TF19" s="334"/>
      <c r="TG19" s="334"/>
      <c r="TH19" s="334"/>
      <c r="TI19" s="334"/>
      <c r="TJ19" s="334"/>
      <c r="TK19" s="334"/>
      <c r="TL19" s="334"/>
      <c r="TM19" s="334"/>
      <c r="TN19" s="334"/>
      <c r="TO19" s="334"/>
      <c r="TP19" s="334"/>
      <c r="TQ19" s="334"/>
      <c r="TR19" s="334"/>
      <c r="TS19" s="334"/>
      <c r="TT19" s="334"/>
      <c r="TU19" s="334"/>
      <c r="TV19" s="334"/>
      <c r="TW19" s="334"/>
      <c r="TX19" s="334"/>
      <c r="TY19" s="334"/>
      <c r="TZ19" s="334"/>
      <c r="UA19" s="334"/>
      <c r="UB19" s="334"/>
      <c r="UC19" s="334"/>
      <c r="UD19" s="334"/>
      <c r="UE19" s="334"/>
      <c r="UF19" s="334"/>
      <c r="UG19" s="334"/>
      <c r="UH19" s="334"/>
      <c r="UI19" s="334"/>
      <c r="UJ19" s="334"/>
      <c r="UK19" s="334"/>
      <c r="UL19" s="334"/>
      <c r="UM19" s="334"/>
      <c r="UN19" s="334"/>
      <c r="UO19" s="334"/>
      <c r="UP19" s="334"/>
      <c r="UQ19" s="334"/>
      <c r="UR19" s="334"/>
      <c r="US19" s="334"/>
      <c r="UT19" s="334"/>
      <c r="UU19" s="334"/>
      <c r="UV19" s="334"/>
      <c r="UW19" s="334"/>
      <c r="UX19" s="334"/>
      <c r="UY19" s="334"/>
      <c r="UZ19" s="334"/>
      <c r="VA19" s="334"/>
      <c r="VB19" s="334"/>
      <c r="VC19" s="334"/>
      <c r="VD19" s="334"/>
      <c r="VE19" s="334"/>
      <c r="VF19" s="334"/>
      <c r="VG19" s="334"/>
    </row>
    <row r="20" spans="1:579">
      <c r="B20" s="58">
        <v>45762</v>
      </c>
      <c r="C20" s="58" t="s">
        <v>193</v>
      </c>
      <c r="D20" s="160">
        <v>1064.2674999999897</v>
      </c>
      <c r="E20" s="160">
        <v>166.95199999999488</v>
      </c>
      <c r="F20" s="145">
        <f t="shared" si="0"/>
        <v>1231.2194999999847</v>
      </c>
      <c r="G20" s="11"/>
      <c r="J20" s="44"/>
    </row>
    <row r="21" spans="1:579">
      <c r="B21" s="58">
        <v>45763</v>
      </c>
      <c r="C21" s="58" t="s">
        <v>194</v>
      </c>
      <c r="D21" s="160">
        <v>1357.9400000000196</v>
      </c>
      <c r="E21" s="160">
        <v>154.93519999999145</v>
      </c>
      <c r="F21" s="145">
        <f t="shared" si="0"/>
        <v>1512.8752000000111</v>
      </c>
      <c r="G21" s="11"/>
    </row>
    <row r="22" spans="1:579">
      <c r="B22" s="58">
        <v>45764</v>
      </c>
      <c r="C22" s="58" t="s">
        <v>195</v>
      </c>
      <c r="D22" s="160">
        <v>1508.2537500000083</v>
      </c>
      <c r="E22" s="160">
        <v>171.18080000000597</v>
      </c>
      <c r="F22" s="145">
        <f t="shared" si="0"/>
        <v>1679.4345500000143</v>
      </c>
      <c r="G22" s="11"/>
    </row>
    <row r="23" spans="1:579">
      <c r="B23" s="58">
        <v>45765</v>
      </c>
      <c r="C23" s="58" t="s">
        <v>196</v>
      </c>
      <c r="D23" s="160">
        <v>1337.7037499999626</v>
      </c>
      <c r="E23" s="160">
        <v>166.81919999998703</v>
      </c>
      <c r="F23" s="145">
        <f t="shared" si="0"/>
        <v>1504.5229499999496</v>
      </c>
      <c r="G23" s="11"/>
    </row>
    <row r="24" spans="1:579">
      <c r="B24" s="58">
        <v>45766</v>
      </c>
      <c r="C24" s="58" t="s">
        <v>197</v>
      </c>
      <c r="D24" s="160">
        <v>1091.1787499999807</v>
      </c>
      <c r="E24" s="160">
        <v>162.21600000000268</v>
      </c>
      <c r="F24" s="145">
        <f t="shared" si="0"/>
        <v>1253.3947499999833</v>
      </c>
      <c r="G24" s="235"/>
      <c r="H24" s="236"/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</row>
    <row r="25" spans="1:579" s="15" customFormat="1">
      <c r="B25" s="183">
        <v>45767</v>
      </c>
      <c r="C25" s="183" t="s">
        <v>198</v>
      </c>
      <c r="D25" s="195">
        <v>467.92750000007243</v>
      </c>
      <c r="E25" s="195">
        <v>34.932800000020656</v>
      </c>
      <c r="F25" s="196">
        <f t="shared" si="0"/>
        <v>502.8603000000931</v>
      </c>
      <c r="G25" s="235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</row>
    <row r="26" spans="1:579">
      <c r="B26" s="58">
        <v>45768</v>
      </c>
      <c r="C26" s="58" t="s">
        <v>192</v>
      </c>
      <c r="D26" s="160">
        <v>1057.1137499999195</v>
      </c>
      <c r="E26" s="160">
        <v>219.7335999999853</v>
      </c>
      <c r="F26" s="145">
        <f t="shared" si="0"/>
        <v>1276.8473499999047</v>
      </c>
      <c r="G26" s="235"/>
      <c r="H26" s="236"/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</row>
    <row r="27" spans="1:579">
      <c r="B27" s="58">
        <v>45769</v>
      </c>
      <c r="C27" s="58" t="s">
        <v>193</v>
      </c>
      <c r="D27" s="160">
        <v>1590.3387500000183</v>
      </c>
      <c r="E27" s="160">
        <v>174.40840000000549</v>
      </c>
      <c r="F27" s="145">
        <f t="shared" si="0"/>
        <v>1764.7471500000238</v>
      </c>
      <c r="G27" s="11"/>
    </row>
    <row r="28" spans="1:579">
      <c r="B28" s="58">
        <v>45770</v>
      </c>
      <c r="C28" s="58" t="s">
        <v>194</v>
      </c>
      <c r="D28" s="160">
        <v>1524.6862499999766</v>
      </c>
      <c r="E28" s="160">
        <v>180.1659999999986</v>
      </c>
      <c r="F28" s="145">
        <f t="shared" si="0"/>
        <v>1704.8522499999751</v>
      </c>
      <c r="G28" s="11"/>
    </row>
    <row r="29" spans="1:579">
      <c r="B29" s="58">
        <v>45771</v>
      </c>
      <c r="C29" s="58" t="s">
        <v>195</v>
      </c>
      <c r="D29" s="160">
        <v>1415.6962499999313</v>
      </c>
      <c r="E29" s="160">
        <v>182.67519999999902</v>
      </c>
      <c r="F29" s="145">
        <f t="shared" si="0"/>
        <v>1598.3714499999303</v>
      </c>
      <c r="G29" s="11"/>
    </row>
    <row r="30" spans="1:579">
      <c r="B30" s="58">
        <v>45772</v>
      </c>
      <c r="C30" s="58" t="s">
        <v>196</v>
      </c>
      <c r="D30" s="160">
        <v>1575.407500000058</v>
      </c>
      <c r="E30" s="160">
        <v>180.50119999999296</v>
      </c>
      <c r="F30" s="145">
        <f t="shared" si="0"/>
        <v>1755.9087000000509</v>
      </c>
      <c r="G30" s="11"/>
    </row>
    <row r="31" spans="1:579">
      <c r="B31" s="58">
        <v>45773</v>
      </c>
      <c r="C31" s="58" t="s">
        <v>197</v>
      </c>
      <c r="D31" s="160">
        <v>1060.1475000001205</v>
      </c>
      <c r="E31" s="160">
        <v>183.48520000001415</v>
      </c>
      <c r="F31" s="145">
        <f t="shared" si="0"/>
        <v>1243.6327000001347</v>
      </c>
      <c r="G31" s="11"/>
    </row>
    <row r="32" spans="1:579">
      <c r="B32" s="183">
        <v>45774</v>
      </c>
      <c r="C32" s="183" t="s">
        <v>198</v>
      </c>
      <c r="D32" s="195">
        <v>416.94999999996003</v>
      </c>
      <c r="E32" s="195">
        <v>29.013199999996576</v>
      </c>
      <c r="F32" s="196">
        <f t="shared" si="0"/>
        <v>445.9631999999566</v>
      </c>
      <c r="G32" s="11"/>
    </row>
    <row r="33" spans="2:7">
      <c r="B33" s="58">
        <v>45775</v>
      </c>
      <c r="C33" s="58" t="s">
        <v>192</v>
      </c>
      <c r="D33" s="160">
        <v>937.62749999988557</v>
      </c>
      <c r="E33" s="160">
        <v>168.71840000000432</v>
      </c>
      <c r="F33" s="145">
        <f t="shared" si="0"/>
        <v>1106.34589999989</v>
      </c>
      <c r="G33" s="11"/>
    </row>
    <row r="34" spans="2:7">
      <c r="B34" s="58">
        <v>45776</v>
      </c>
      <c r="C34" s="58" t="s">
        <v>193</v>
      </c>
      <c r="D34" s="160">
        <v>1469.4037500001336</v>
      </c>
      <c r="E34" s="160">
        <v>176.10879999998551</v>
      </c>
      <c r="F34" s="145">
        <f t="shared" si="0"/>
        <v>1645.5125500001191</v>
      </c>
      <c r="G34" s="11"/>
    </row>
    <row r="35" spans="2:7">
      <c r="B35" s="58">
        <v>45777</v>
      </c>
      <c r="C35" s="58" t="s">
        <v>194</v>
      </c>
      <c r="D35" s="160">
        <v>1045.7637499998968</v>
      </c>
      <c r="E35" s="160">
        <v>167.76640000000248</v>
      </c>
      <c r="F35" s="145">
        <f t="shared" si="0"/>
        <v>1213.5301499998993</v>
      </c>
      <c r="G35" s="11"/>
    </row>
    <row r="36" spans="2:7">
      <c r="B36" s="58"/>
      <c r="C36" s="58"/>
      <c r="D36" s="160"/>
      <c r="E36" s="160"/>
      <c r="F36" s="145">
        <f t="shared" si="0"/>
        <v>0</v>
      </c>
      <c r="G36" s="11"/>
    </row>
    <row r="37" spans="2:7" ht="30" customHeight="1">
      <c r="B37" s="130" t="s">
        <v>7</v>
      </c>
      <c r="C37" s="130"/>
      <c r="D37" s="126">
        <f t="shared" ref="D37:E37" si="1">SUM(D6:D36)</f>
        <v>35184.61374999996</v>
      </c>
      <c r="E37" s="126">
        <f t="shared" si="1"/>
        <v>4319.9104000000079</v>
      </c>
      <c r="F37" s="146">
        <f>SUM(F6:F36)</f>
        <v>39504.524149999961</v>
      </c>
      <c r="G37" s="11"/>
    </row>
    <row r="38" spans="2:7" ht="20.25" customHeight="1">
      <c r="B38" s="337" t="s">
        <v>185</v>
      </c>
      <c r="C38" s="337"/>
      <c r="D38" s="337"/>
      <c r="E38" s="337"/>
      <c r="F38" s="180"/>
    </row>
    <row r="39" spans="2:7" ht="18.75">
      <c r="B39" s="336" t="s">
        <v>186</v>
      </c>
      <c r="C39" s="336"/>
      <c r="D39" s="336"/>
      <c r="E39" s="336"/>
      <c r="F39" s="179">
        <f>F37+F38</f>
        <v>39504.524149999961</v>
      </c>
    </row>
    <row r="40" spans="2:7">
      <c r="D40"/>
      <c r="E40"/>
    </row>
    <row r="41" spans="2:7">
      <c r="D41"/>
      <c r="E41"/>
    </row>
    <row r="42" spans="2:7">
      <c r="E42" s="17"/>
    </row>
    <row r="43" spans="2:7">
      <c r="E43" s="17"/>
    </row>
    <row r="44" spans="2:7">
      <c r="E44" s="17"/>
    </row>
    <row r="45" spans="2:7">
      <c r="E45" s="17"/>
    </row>
    <row r="46" spans="2:7">
      <c r="E46" s="17"/>
    </row>
    <row r="47" spans="2:7">
      <c r="E47" s="17"/>
    </row>
    <row r="48" spans="2:7">
      <c r="E48" s="17"/>
    </row>
    <row r="49" spans="5:5">
      <c r="E49" s="17"/>
    </row>
    <row r="50" spans="5:5">
      <c r="E50" s="17"/>
    </row>
    <row r="51" spans="5:5">
      <c r="E51" s="17"/>
    </row>
    <row r="52" spans="5:5">
      <c r="E52" s="17"/>
    </row>
    <row r="53" spans="5:5">
      <c r="E53" s="17"/>
    </row>
    <row r="54" spans="5:5">
      <c r="E54" s="17"/>
    </row>
    <row r="55" spans="5:5">
      <c r="E55" s="17"/>
    </row>
    <row r="56" spans="5:5">
      <c r="E56" s="17"/>
    </row>
    <row r="57" spans="5:5">
      <c r="E57" s="17"/>
    </row>
    <row r="58" spans="5:5">
      <c r="E58" s="17"/>
    </row>
    <row r="59" spans="5:5">
      <c r="E59" s="17"/>
    </row>
    <row r="60" spans="5:5">
      <c r="E60" s="17"/>
    </row>
    <row r="61" spans="5:5">
      <c r="E61" s="17"/>
    </row>
    <row r="62" spans="5:5">
      <c r="E62" s="17"/>
    </row>
    <row r="63" spans="5:5">
      <c r="E63" s="17"/>
    </row>
    <row r="64" spans="5:5">
      <c r="E64" s="17"/>
    </row>
    <row r="65" spans="5:5">
      <c r="E65" s="17"/>
    </row>
    <row r="66" spans="5:5">
      <c r="E66" s="17"/>
    </row>
    <row r="67" spans="5:5">
      <c r="E67" s="17"/>
    </row>
    <row r="68" spans="5:5">
      <c r="E68" s="17"/>
    </row>
    <row r="69" spans="5:5">
      <c r="E69" s="17"/>
    </row>
    <row r="70" spans="5:5">
      <c r="E70" s="17"/>
    </row>
    <row r="71" spans="5:5">
      <c r="E71" s="17"/>
    </row>
    <row r="419" spans="4:5">
      <c r="D419" s="17">
        <v>1</v>
      </c>
      <c r="E419" s="43">
        <v>1</v>
      </c>
    </row>
  </sheetData>
  <mergeCells count="4">
    <mergeCell ref="B4:F4"/>
    <mergeCell ref="NW11:VG19"/>
    <mergeCell ref="B38:E38"/>
    <mergeCell ref="B39:E39"/>
  </mergeCells>
  <phoneticPr fontId="91" type="noConversion"/>
  <pageMargins left="0.7" right="0.7" top="0.75" bottom="0.75" header="0.3" footer="0.3"/>
  <pageSetup scale="5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6B71-4786-4E7A-BE02-14DFF7C3D24B}">
  <sheetPr>
    <tabColor theme="8" tint="0.39997558519241921"/>
    <pageSetUpPr fitToPage="1"/>
  </sheetPr>
  <dimension ref="A1:VH419"/>
  <sheetViews>
    <sheetView zoomScaleNormal="100" workbookViewId="0">
      <pane xSplit="3" ySplit="5" topLeftCell="D21" activePane="bottomRight" state="frozen"/>
      <selection pane="topRight" activeCell="D1" sqref="D1"/>
      <selection pane="bottomLeft" activeCell="A6" sqref="A6"/>
      <selection pane="bottomRight" activeCell="U32" sqref="U32"/>
    </sheetView>
  </sheetViews>
  <sheetFormatPr defaultRowHeight="15"/>
  <cols>
    <col min="2" max="2" width="8.7109375" style="73" customWidth="1"/>
    <col min="3" max="3" width="7.140625" style="73" customWidth="1"/>
    <col min="4" max="4" width="10.7109375" style="17" customWidth="1"/>
    <col min="5" max="6" width="14.85546875" style="43" customWidth="1"/>
    <col min="7" max="7" width="10.7109375" customWidth="1"/>
    <col min="11" max="11" width="11.5703125" bestFit="1" customWidth="1"/>
  </cols>
  <sheetData>
    <row r="1" spans="1:580">
      <c r="E1" s="17"/>
      <c r="F1" s="17"/>
    </row>
    <row r="2" spans="1:580">
      <c r="E2" s="17"/>
      <c r="F2" s="17"/>
    </row>
    <row r="3" spans="1:580">
      <c r="E3" s="17"/>
      <c r="F3" s="17"/>
    </row>
    <row r="4" spans="1:580" ht="21" customHeight="1">
      <c r="B4" s="331" t="s">
        <v>211</v>
      </c>
      <c r="C4" s="332"/>
      <c r="D4" s="332"/>
      <c r="E4" s="332"/>
      <c r="F4" s="332"/>
      <c r="G4" s="333"/>
      <c r="H4" s="11"/>
    </row>
    <row r="5" spans="1:580" ht="34.5" customHeight="1">
      <c r="B5" s="127" t="s">
        <v>0</v>
      </c>
      <c r="C5" s="241" t="s">
        <v>149</v>
      </c>
      <c r="D5" s="128" t="s">
        <v>212</v>
      </c>
      <c r="E5" s="128" t="s">
        <v>213</v>
      </c>
      <c r="F5" s="128" t="s">
        <v>215</v>
      </c>
      <c r="G5" s="129" t="s">
        <v>7</v>
      </c>
      <c r="H5" s="235"/>
      <c r="I5" s="236"/>
      <c r="J5" s="236"/>
      <c r="K5" s="236"/>
      <c r="L5" s="236"/>
      <c r="M5" s="236"/>
      <c r="N5" s="236"/>
      <c r="O5" s="236"/>
    </row>
    <row r="6" spans="1:580">
      <c r="B6" s="58">
        <v>45748</v>
      </c>
      <c r="C6" s="58" t="s">
        <v>193</v>
      </c>
      <c r="D6" s="160">
        <v>747.4800000001178</v>
      </c>
      <c r="E6" s="160">
        <v>139.39840000000899</v>
      </c>
      <c r="F6" s="160">
        <v>501.27020000000005</v>
      </c>
      <c r="G6" s="145">
        <f>SUM(D6:F6)</f>
        <v>1388.1486000001269</v>
      </c>
      <c r="H6" s="11"/>
      <c r="J6" s="44">
        <v>1751.187000000017</v>
      </c>
      <c r="K6">
        <v>429</v>
      </c>
      <c r="L6" s="44">
        <f>J6-K6-E6</f>
        <v>1182.788600000008</v>
      </c>
      <c r="M6" s="44"/>
    </row>
    <row r="7" spans="1:580">
      <c r="B7" s="58">
        <v>45749</v>
      </c>
      <c r="C7" s="58" t="s">
        <v>194</v>
      </c>
      <c r="D7" s="160">
        <v>1178.5899999998837</v>
      </c>
      <c r="E7" s="160">
        <v>292.94720000001251</v>
      </c>
      <c r="F7" s="160">
        <v>706.89039999999761</v>
      </c>
      <c r="G7" s="145">
        <f t="shared" ref="G7:G36" si="0">SUM(D7:F7)</f>
        <v>2178.427599999894</v>
      </c>
      <c r="H7" s="11"/>
      <c r="J7" s="44">
        <v>2640.8639999999873</v>
      </c>
      <c r="K7">
        <v>651</v>
      </c>
      <c r="L7" s="44">
        <f t="shared" ref="L7:L14" si="1">J7-K7-E7</f>
        <v>1696.9167999999747</v>
      </c>
      <c r="M7" s="44"/>
    </row>
    <row r="8" spans="1:580">
      <c r="B8" s="58">
        <v>45750</v>
      </c>
      <c r="C8" s="58" t="s">
        <v>195</v>
      </c>
      <c r="D8" s="160">
        <v>1215.8500000001095</v>
      </c>
      <c r="E8" s="160">
        <v>320.09200000001005</v>
      </c>
      <c r="F8" s="160">
        <v>943.31940000000145</v>
      </c>
      <c r="G8" s="145">
        <f t="shared" si="0"/>
        <v>2479.2614000001213</v>
      </c>
      <c r="H8" s="11"/>
      <c r="J8" s="44">
        <v>2404.9249999999774</v>
      </c>
      <c r="K8">
        <v>620</v>
      </c>
      <c r="L8" s="44">
        <f t="shared" si="1"/>
        <v>1464.8329999999673</v>
      </c>
      <c r="M8" s="44"/>
    </row>
    <row r="9" spans="1:580">
      <c r="B9" s="58">
        <v>45751</v>
      </c>
      <c r="C9" s="58" t="s">
        <v>196</v>
      </c>
      <c r="D9" s="160">
        <v>1114.8899999998921</v>
      </c>
      <c r="E9" s="160">
        <v>338.41280000000262</v>
      </c>
      <c r="F9" s="160">
        <v>1062.5346000000009</v>
      </c>
      <c r="G9" s="145">
        <f t="shared" si="0"/>
        <v>2515.8373999998958</v>
      </c>
      <c r="H9" s="11"/>
      <c r="J9" s="44">
        <v>2449.3770000000213</v>
      </c>
      <c r="K9">
        <v>628</v>
      </c>
      <c r="L9" s="44">
        <f t="shared" si="1"/>
        <v>1482.9642000000188</v>
      </c>
      <c r="M9" s="44"/>
    </row>
    <row r="10" spans="1:580">
      <c r="B10" s="58">
        <v>45752</v>
      </c>
      <c r="C10" s="58" t="s">
        <v>197</v>
      </c>
      <c r="D10" s="160">
        <v>1071.3700000000008</v>
      </c>
      <c r="E10" s="160">
        <v>343.37680000000285</v>
      </c>
      <c r="F10" s="160">
        <v>964.16059999999948</v>
      </c>
      <c r="G10" s="145">
        <f t="shared" si="0"/>
        <v>2378.9074000000028</v>
      </c>
      <c r="H10" s="11"/>
      <c r="J10" s="44">
        <v>264.03100000000586</v>
      </c>
      <c r="K10">
        <v>1</v>
      </c>
      <c r="L10" s="44">
        <f t="shared" si="1"/>
        <v>-80.345799999996984</v>
      </c>
      <c r="M10" s="44"/>
    </row>
    <row r="11" spans="1:580" s="15" customFormat="1">
      <c r="A11"/>
      <c r="B11" s="183">
        <v>45753</v>
      </c>
      <c r="C11" s="183" t="s">
        <v>198</v>
      </c>
      <c r="D11" s="195">
        <v>159.72999999999956</v>
      </c>
      <c r="E11" s="195">
        <v>60.740799999989108</v>
      </c>
      <c r="F11" s="195">
        <v>9.6000000000008185</v>
      </c>
      <c r="G11" s="196">
        <f t="shared" si="0"/>
        <v>230.0707999999895</v>
      </c>
      <c r="H11" s="11"/>
      <c r="I11"/>
      <c r="J11" s="44">
        <v>2343.429999999998</v>
      </c>
      <c r="K11">
        <v>618</v>
      </c>
      <c r="L11" s="44">
        <f t="shared" si="1"/>
        <v>1664.6892000000089</v>
      </c>
      <c r="M11" s="44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 s="334"/>
      <c r="NY11" s="334"/>
      <c r="NZ11" s="334"/>
      <c r="OA11" s="334"/>
      <c r="OB11" s="334"/>
      <c r="OC11" s="334"/>
      <c r="OD11" s="334"/>
      <c r="OE11" s="334"/>
      <c r="OF11" s="334"/>
      <c r="OG11" s="334"/>
      <c r="OH11" s="334"/>
      <c r="OI11" s="334"/>
      <c r="OJ11" s="334"/>
      <c r="OK11" s="334"/>
      <c r="OL11" s="334"/>
      <c r="OM11" s="334"/>
      <c r="ON11" s="334"/>
      <c r="OO11" s="334"/>
      <c r="OP11" s="334"/>
      <c r="OQ11" s="334"/>
      <c r="OR11" s="334"/>
      <c r="OS11" s="334"/>
      <c r="OT11" s="334"/>
      <c r="OU11" s="334"/>
      <c r="OV11" s="334"/>
      <c r="OW11" s="334"/>
      <c r="OX11" s="334"/>
      <c r="OY11" s="334"/>
      <c r="OZ11" s="334"/>
      <c r="PA11" s="334"/>
      <c r="PB11" s="334"/>
      <c r="PC11" s="334"/>
      <c r="PD11" s="334"/>
      <c r="PE11" s="334"/>
      <c r="PF11" s="334"/>
      <c r="PG11" s="334"/>
      <c r="PH11" s="334"/>
      <c r="PI11" s="334"/>
      <c r="PJ11" s="334"/>
      <c r="PK11" s="334"/>
      <c r="PL11" s="334"/>
      <c r="PM11" s="334"/>
      <c r="PN11" s="334"/>
      <c r="PO11" s="334"/>
      <c r="PP11" s="334"/>
      <c r="PQ11" s="334"/>
      <c r="PR11" s="334"/>
      <c r="PS11" s="334"/>
      <c r="PT11" s="334"/>
      <c r="PU11" s="334"/>
      <c r="PV11" s="334"/>
      <c r="PW11" s="334"/>
      <c r="PX11" s="334"/>
      <c r="PY11" s="334"/>
      <c r="PZ11" s="334"/>
      <c r="QA11" s="334"/>
      <c r="QB11" s="334"/>
      <c r="QC11" s="334"/>
      <c r="QD11" s="334"/>
      <c r="QE11" s="334"/>
      <c r="QF11" s="334"/>
      <c r="QG11" s="334"/>
      <c r="QH11" s="334"/>
      <c r="QI11" s="334"/>
      <c r="QJ11" s="334"/>
      <c r="QK11" s="334"/>
      <c r="QL11" s="334"/>
      <c r="QM11" s="334"/>
      <c r="QN11" s="334"/>
      <c r="QO11" s="334"/>
      <c r="QP11" s="334"/>
      <c r="QQ11" s="334"/>
      <c r="QR11" s="334"/>
      <c r="QS11" s="334"/>
      <c r="QT11" s="334"/>
      <c r="QU11" s="334"/>
      <c r="QV11" s="334"/>
      <c r="QW11" s="334"/>
      <c r="QX11" s="334"/>
      <c r="QY11" s="334"/>
      <c r="QZ11" s="334"/>
      <c r="RA11" s="334"/>
      <c r="RB11" s="334"/>
      <c r="RC11" s="334"/>
      <c r="RD11" s="334"/>
      <c r="RE11" s="334"/>
      <c r="RF11" s="334"/>
      <c r="RG11" s="334"/>
      <c r="RH11" s="334"/>
      <c r="RI11" s="334"/>
      <c r="RJ11" s="334"/>
      <c r="RK11" s="334"/>
      <c r="RL11" s="334"/>
      <c r="RM11" s="334"/>
      <c r="RN11" s="334"/>
      <c r="RO11" s="334"/>
      <c r="RP11" s="334"/>
      <c r="RQ11" s="334"/>
      <c r="RR11" s="334"/>
      <c r="RS11" s="334"/>
      <c r="RT11" s="334"/>
      <c r="RU11" s="334"/>
      <c r="RV11" s="334"/>
      <c r="RW11" s="334"/>
      <c r="RX11" s="334"/>
      <c r="RY11" s="334"/>
      <c r="RZ11" s="334"/>
      <c r="SA11" s="334"/>
      <c r="SB11" s="334"/>
      <c r="SC11" s="334"/>
      <c r="SD11" s="334"/>
      <c r="SE11" s="334"/>
      <c r="SF11" s="334"/>
      <c r="SG11" s="334"/>
      <c r="SH11" s="334"/>
      <c r="SI11" s="334"/>
      <c r="SJ11" s="334"/>
      <c r="SK11" s="334"/>
      <c r="SL11" s="334"/>
      <c r="SM11" s="334"/>
      <c r="SN11" s="334"/>
      <c r="SO11" s="334"/>
      <c r="SP11" s="334"/>
      <c r="SQ11" s="334"/>
      <c r="SR11" s="334"/>
      <c r="SS11" s="334"/>
      <c r="ST11" s="334"/>
      <c r="SU11" s="334"/>
      <c r="SV11" s="334"/>
      <c r="SW11" s="334"/>
      <c r="SX11" s="334"/>
      <c r="SY11" s="334"/>
      <c r="SZ11" s="334"/>
      <c r="TA11" s="334"/>
      <c r="TB11" s="334"/>
      <c r="TC11" s="334"/>
      <c r="TD11" s="334"/>
      <c r="TE11" s="334"/>
      <c r="TF11" s="334"/>
      <c r="TG11" s="334"/>
      <c r="TH11" s="334"/>
      <c r="TI11" s="334"/>
      <c r="TJ11" s="334"/>
      <c r="TK11" s="334"/>
      <c r="TL11" s="334"/>
      <c r="TM11" s="334"/>
      <c r="TN11" s="334"/>
      <c r="TO11" s="334"/>
      <c r="TP11" s="334"/>
      <c r="TQ11" s="334"/>
      <c r="TR11" s="334"/>
      <c r="TS11" s="334"/>
      <c r="TT11" s="334"/>
      <c r="TU11" s="334"/>
      <c r="TV11" s="334"/>
      <c r="TW11" s="334"/>
      <c r="TX11" s="334"/>
      <c r="TY11" s="334"/>
      <c r="TZ11" s="334"/>
      <c r="UA11" s="334"/>
      <c r="UB11" s="334"/>
      <c r="UC11" s="334"/>
      <c r="UD11" s="334"/>
      <c r="UE11" s="334"/>
      <c r="UF11" s="334"/>
      <c r="UG11" s="334"/>
      <c r="UH11" s="334"/>
      <c r="UI11" s="334"/>
      <c r="UJ11" s="334"/>
      <c r="UK11" s="334"/>
      <c r="UL11" s="334"/>
      <c r="UM11" s="334"/>
      <c r="UN11" s="334"/>
      <c r="UO11" s="334"/>
      <c r="UP11" s="334"/>
      <c r="UQ11" s="334"/>
      <c r="UR11" s="334"/>
      <c r="US11" s="334"/>
      <c r="UT11" s="334"/>
      <c r="UU11" s="334"/>
      <c r="UV11" s="334"/>
      <c r="UW11" s="334"/>
      <c r="UX11" s="334"/>
      <c r="UY11" s="334"/>
      <c r="UZ11" s="334"/>
      <c r="VA11" s="334"/>
      <c r="VB11" s="334"/>
      <c r="VC11" s="334"/>
      <c r="VD11" s="334"/>
      <c r="VE11" s="334"/>
      <c r="VF11" s="334"/>
      <c r="VG11" s="334"/>
      <c r="VH11" s="334"/>
    </row>
    <row r="12" spans="1:580" s="15" customFormat="1">
      <c r="A12"/>
      <c r="B12" s="58">
        <v>45754</v>
      </c>
      <c r="C12" s="58" t="s">
        <v>192</v>
      </c>
      <c r="D12" s="160">
        <v>1430.3700000001063</v>
      </c>
      <c r="E12" s="160">
        <v>344.29519999997456</v>
      </c>
      <c r="F12" s="160">
        <v>988.43999999999994</v>
      </c>
      <c r="G12" s="145">
        <f t="shared" si="0"/>
        <v>2763.1052000000809</v>
      </c>
      <c r="H12" s="11"/>
      <c r="I12"/>
      <c r="J12" s="44">
        <v>2503.1799999999953</v>
      </c>
      <c r="K12">
        <v>625</v>
      </c>
      <c r="L12" s="44">
        <f t="shared" si="1"/>
        <v>1533.8848000000207</v>
      </c>
      <c r="M12" s="4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 s="334"/>
      <c r="NY12" s="334"/>
      <c r="NZ12" s="334"/>
      <c r="OA12" s="334"/>
      <c r="OB12" s="334"/>
      <c r="OC12" s="334"/>
      <c r="OD12" s="334"/>
      <c r="OE12" s="334"/>
      <c r="OF12" s="334"/>
      <c r="OG12" s="334"/>
      <c r="OH12" s="334"/>
      <c r="OI12" s="334"/>
      <c r="OJ12" s="334"/>
      <c r="OK12" s="334"/>
      <c r="OL12" s="334"/>
      <c r="OM12" s="334"/>
      <c r="ON12" s="334"/>
      <c r="OO12" s="334"/>
      <c r="OP12" s="334"/>
      <c r="OQ12" s="334"/>
      <c r="OR12" s="334"/>
      <c r="OS12" s="334"/>
      <c r="OT12" s="334"/>
      <c r="OU12" s="334"/>
      <c r="OV12" s="334"/>
      <c r="OW12" s="334"/>
      <c r="OX12" s="334"/>
      <c r="OY12" s="334"/>
      <c r="OZ12" s="334"/>
      <c r="PA12" s="334"/>
      <c r="PB12" s="334"/>
      <c r="PC12" s="334"/>
      <c r="PD12" s="334"/>
      <c r="PE12" s="334"/>
      <c r="PF12" s="334"/>
      <c r="PG12" s="334"/>
      <c r="PH12" s="334"/>
      <c r="PI12" s="334"/>
      <c r="PJ12" s="334"/>
      <c r="PK12" s="334"/>
      <c r="PL12" s="334"/>
      <c r="PM12" s="334"/>
      <c r="PN12" s="334"/>
      <c r="PO12" s="334"/>
      <c r="PP12" s="334"/>
      <c r="PQ12" s="334"/>
      <c r="PR12" s="334"/>
      <c r="PS12" s="334"/>
      <c r="PT12" s="334"/>
      <c r="PU12" s="334"/>
      <c r="PV12" s="334"/>
      <c r="PW12" s="334"/>
      <c r="PX12" s="334"/>
      <c r="PY12" s="334"/>
      <c r="PZ12" s="334"/>
      <c r="QA12" s="334"/>
      <c r="QB12" s="334"/>
      <c r="QC12" s="334"/>
      <c r="QD12" s="334"/>
      <c r="QE12" s="334"/>
      <c r="QF12" s="334"/>
      <c r="QG12" s="334"/>
      <c r="QH12" s="334"/>
      <c r="QI12" s="334"/>
      <c r="QJ12" s="334"/>
      <c r="QK12" s="334"/>
      <c r="QL12" s="334"/>
      <c r="QM12" s="334"/>
      <c r="QN12" s="334"/>
      <c r="QO12" s="334"/>
      <c r="QP12" s="334"/>
      <c r="QQ12" s="334"/>
      <c r="QR12" s="334"/>
      <c r="QS12" s="334"/>
      <c r="QT12" s="334"/>
      <c r="QU12" s="334"/>
      <c r="QV12" s="334"/>
      <c r="QW12" s="334"/>
      <c r="QX12" s="334"/>
      <c r="QY12" s="334"/>
      <c r="QZ12" s="334"/>
      <c r="RA12" s="334"/>
      <c r="RB12" s="334"/>
      <c r="RC12" s="334"/>
      <c r="RD12" s="334"/>
      <c r="RE12" s="334"/>
      <c r="RF12" s="334"/>
      <c r="RG12" s="334"/>
      <c r="RH12" s="334"/>
      <c r="RI12" s="334"/>
      <c r="RJ12" s="334"/>
      <c r="RK12" s="334"/>
      <c r="RL12" s="334"/>
      <c r="RM12" s="334"/>
      <c r="RN12" s="334"/>
      <c r="RO12" s="334"/>
      <c r="RP12" s="334"/>
      <c r="RQ12" s="334"/>
      <c r="RR12" s="334"/>
      <c r="RS12" s="334"/>
      <c r="RT12" s="334"/>
      <c r="RU12" s="334"/>
      <c r="RV12" s="334"/>
      <c r="RW12" s="334"/>
      <c r="RX12" s="334"/>
      <c r="RY12" s="334"/>
      <c r="RZ12" s="334"/>
      <c r="SA12" s="334"/>
      <c r="SB12" s="334"/>
      <c r="SC12" s="334"/>
      <c r="SD12" s="334"/>
      <c r="SE12" s="334"/>
      <c r="SF12" s="334"/>
      <c r="SG12" s="334"/>
      <c r="SH12" s="334"/>
      <c r="SI12" s="334"/>
      <c r="SJ12" s="334"/>
      <c r="SK12" s="334"/>
      <c r="SL12" s="334"/>
      <c r="SM12" s="334"/>
      <c r="SN12" s="334"/>
      <c r="SO12" s="334"/>
      <c r="SP12" s="334"/>
      <c r="SQ12" s="334"/>
      <c r="SR12" s="334"/>
      <c r="SS12" s="334"/>
      <c r="ST12" s="334"/>
      <c r="SU12" s="334"/>
      <c r="SV12" s="334"/>
      <c r="SW12" s="334"/>
      <c r="SX12" s="334"/>
      <c r="SY12" s="334"/>
      <c r="SZ12" s="334"/>
      <c r="TA12" s="334"/>
      <c r="TB12" s="334"/>
      <c r="TC12" s="334"/>
      <c r="TD12" s="334"/>
      <c r="TE12" s="334"/>
      <c r="TF12" s="334"/>
      <c r="TG12" s="334"/>
      <c r="TH12" s="334"/>
      <c r="TI12" s="334"/>
      <c r="TJ12" s="334"/>
      <c r="TK12" s="334"/>
      <c r="TL12" s="334"/>
      <c r="TM12" s="334"/>
      <c r="TN12" s="334"/>
      <c r="TO12" s="334"/>
      <c r="TP12" s="334"/>
      <c r="TQ12" s="334"/>
      <c r="TR12" s="334"/>
      <c r="TS12" s="334"/>
      <c r="TT12" s="334"/>
      <c r="TU12" s="334"/>
      <c r="TV12" s="334"/>
      <c r="TW12" s="334"/>
      <c r="TX12" s="334"/>
      <c r="TY12" s="334"/>
      <c r="TZ12" s="334"/>
      <c r="UA12" s="334"/>
      <c r="UB12" s="334"/>
      <c r="UC12" s="334"/>
      <c r="UD12" s="334"/>
      <c r="UE12" s="334"/>
      <c r="UF12" s="334"/>
      <c r="UG12" s="334"/>
      <c r="UH12" s="334"/>
      <c r="UI12" s="334"/>
      <c r="UJ12" s="334"/>
      <c r="UK12" s="334"/>
      <c r="UL12" s="334"/>
      <c r="UM12" s="334"/>
      <c r="UN12" s="334"/>
      <c r="UO12" s="334"/>
      <c r="UP12" s="334"/>
      <c r="UQ12" s="334"/>
      <c r="UR12" s="334"/>
      <c r="US12" s="334"/>
      <c r="UT12" s="334"/>
      <c r="UU12" s="334"/>
      <c r="UV12" s="334"/>
      <c r="UW12" s="334"/>
      <c r="UX12" s="334"/>
      <c r="UY12" s="334"/>
      <c r="UZ12" s="334"/>
      <c r="VA12" s="334"/>
      <c r="VB12" s="334"/>
      <c r="VC12" s="334"/>
      <c r="VD12" s="334"/>
      <c r="VE12" s="334"/>
      <c r="VF12" s="334"/>
      <c r="VG12" s="334"/>
      <c r="VH12" s="334"/>
    </row>
    <row r="13" spans="1:580" s="15" customFormat="1">
      <c r="A13"/>
      <c r="B13" s="58">
        <v>45755</v>
      </c>
      <c r="C13" s="58" t="s">
        <v>193</v>
      </c>
      <c r="D13" s="160">
        <v>1243.4099999999999</v>
      </c>
      <c r="E13" s="160">
        <v>331.976800000004</v>
      </c>
      <c r="F13" s="160">
        <v>1031.6089999999986</v>
      </c>
      <c r="G13" s="145">
        <f t="shared" si="0"/>
        <v>2606.9958000000024</v>
      </c>
      <c r="H13" s="11"/>
      <c r="I13"/>
      <c r="J13" s="44">
        <v>2386.1050000000205</v>
      </c>
      <c r="K13">
        <v>650</v>
      </c>
      <c r="L13" s="44">
        <f t="shared" si="1"/>
        <v>1404.1282000000165</v>
      </c>
      <c r="M13" s="44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 s="334"/>
      <c r="NY13" s="334"/>
      <c r="NZ13" s="334"/>
      <c r="OA13" s="334"/>
      <c r="OB13" s="334"/>
      <c r="OC13" s="334"/>
      <c r="OD13" s="334"/>
      <c r="OE13" s="334"/>
      <c r="OF13" s="334"/>
      <c r="OG13" s="334"/>
      <c r="OH13" s="334"/>
      <c r="OI13" s="334"/>
      <c r="OJ13" s="334"/>
      <c r="OK13" s="334"/>
      <c r="OL13" s="334"/>
      <c r="OM13" s="334"/>
      <c r="ON13" s="334"/>
      <c r="OO13" s="334"/>
      <c r="OP13" s="334"/>
      <c r="OQ13" s="334"/>
      <c r="OR13" s="334"/>
      <c r="OS13" s="334"/>
      <c r="OT13" s="334"/>
      <c r="OU13" s="334"/>
      <c r="OV13" s="334"/>
      <c r="OW13" s="334"/>
      <c r="OX13" s="334"/>
      <c r="OY13" s="334"/>
      <c r="OZ13" s="334"/>
      <c r="PA13" s="334"/>
      <c r="PB13" s="334"/>
      <c r="PC13" s="334"/>
      <c r="PD13" s="334"/>
      <c r="PE13" s="334"/>
      <c r="PF13" s="334"/>
      <c r="PG13" s="334"/>
      <c r="PH13" s="334"/>
      <c r="PI13" s="334"/>
      <c r="PJ13" s="334"/>
      <c r="PK13" s="334"/>
      <c r="PL13" s="334"/>
      <c r="PM13" s="334"/>
      <c r="PN13" s="334"/>
      <c r="PO13" s="334"/>
      <c r="PP13" s="334"/>
      <c r="PQ13" s="334"/>
      <c r="PR13" s="334"/>
      <c r="PS13" s="334"/>
      <c r="PT13" s="334"/>
      <c r="PU13" s="334"/>
      <c r="PV13" s="334"/>
      <c r="PW13" s="334"/>
      <c r="PX13" s="334"/>
      <c r="PY13" s="334"/>
      <c r="PZ13" s="334"/>
      <c r="QA13" s="334"/>
      <c r="QB13" s="334"/>
      <c r="QC13" s="334"/>
      <c r="QD13" s="334"/>
      <c r="QE13" s="334"/>
      <c r="QF13" s="334"/>
      <c r="QG13" s="334"/>
      <c r="QH13" s="334"/>
      <c r="QI13" s="334"/>
      <c r="QJ13" s="334"/>
      <c r="QK13" s="334"/>
      <c r="QL13" s="334"/>
      <c r="QM13" s="334"/>
      <c r="QN13" s="334"/>
      <c r="QO13" s="334"/>
      <c r="QP13" s="334"/>
      <c r="QQ13" s="334"/>
      <c r="QR13" s="334"/>
      <c r="QS13" s="334"/>
      <c r="QT13" s="334"/>
      <c r="QU13" s="334"/>
      <c r="QV13" s="334"/>
      <c r="QW13" s="334"/>
      <c r="QX13" s="334"/>
      <c r="QY13" s="334"/>
      <c r="QZ13" s="334"/>
      <c r="RA13" s="334"/>
      <c r="RB13" s="334"/>
      <c r="RC13" s="334"/>
      <c r="RD13" s="334"/>
      <c r="RE13" s="334"/>
      <c r="RF13" s="334"/>
      <c r="RG13" s="334"/>
      <c r="RH13" s="334"/>
      <c r="RI13" s="334"/>
      <c r="RJ13" s="334"/>
      <c r="RK13" s="334"/>
      <c r="RL13" s="334"/>
      <c r="RM13" s="334"/>
      <c r="RN13" s="334"/>
      <c r="RO13" s="334"/>
      <c r="RP13" s="334"/>
      <c r="RQ13" s="334"/>
      <c r="RR13" s="334"/>
      <c r="RS13" s="334"/>
      <c r="RT13" s="334"/>
      <c r="RU13" s="334"/>
      <c r="RV13" s="334"/>
      <c r="RW13" s="334"/>
      <c r="RX13" s="334"/>
      <c r="RY13" s="334"/>
      <c r="RZ13" s="334"/>
      <c r="SA13" s="334"/>
      <c r="SB13" s="334"/>
      <c r="SC13" s="334"/>
      <c r="SD13" s="334"/>
      <c r="SE13" s="334"/>
      <c r="SF13" s="334"/>
      <c r="SG13" s="334"/>
      <c r="SH13" s="334"/>
      <c r="SI13" s="334"/>
      <c r="SJ13" s="334"/>
      <c r="SK13" s="334"/>
      <c r="SL13" s="334"/>
      <c r="SM13" s="334"/>
      <c r="SN13" s="334"/>
      <c r="SO13" s="334"/>
      <c r="SP13" s="334"/>
      <c r="SQ13" s="334"/>
      <c r="SR13" s="334"/>
      <c r="SS13" s="334"/>
      <c r="ST13" s="334"/>
      <c r="SU13" s="334"/>
      <c r="SV13" s="334"/>
      <c r="SW13" s="334"/>
      <c r="SX13" s="334"/>
      <c r="SY13" s="334"/>
      <c r="SZ13" s="334"/>
      <c r="TA13" s="334"/>
      <c r="TB13" s="334"/>
      <c r="TC13" s="334"/>
      <c r="TD13" s="334"/>
      <c r="TE13" s="334"/>
      <c r="TF13" s="334"/>
      <c r="TG13" s="334"/>
      <c r="TH13" s="334"/>
      <c r="TI13" s="334"/>
      <c r="TJ13" s="334"/>
      <c r="TK13" s="334"/>
      <c r="TL13" s="334"/>
      <c r="TM13" s="334"/>
      <c r="TN13" s="334"/>
      <c r="TO13" s="334"/>
      <c r="TP13" s="334"/>
      <c r="TQ13" s="334"/>
      <c r="TR13" s="334"/>
      <c r="TS13" s="334"/>
      <c r="TT13" s="334"/>
      <c r="TU13" s="334"/>
      <c r="TV13" s="334"/>
      <c r="TW13" s="334"/>
      <c r="TX13" s="334"/>
      <c r="TY13" s="334"/>
      <c r="TZ13" s="334"/>
      <c r="UA13" s="334"/>
      <c r="UB13" s="334"/>
      <c r="UC13" s="334"/>
      <c r="UD13" s="334"/>
      <c r="UE13" s="334"/>
      <c r="UF13" s="334"/>
      <c r="UG13" s="334"/>
      <c r="UH13" s="334"/>
      <c r="UI13" s="334"/>
      <c r="UJ13" s="334"/>
      <c r="UK13" s="334"/>
      <c r="UL13" s="334"/>
      <c r="UM13" s="334"/>
      <c r="UN13" s="334"/>
      <c r="UO13" s="334"/>
      <c r="UP13" s="334"/>
      <c r="UQ13" s="334"/>
      <c r="UR13" s="334"/>
      <c r="US13" s="334"/>
      <c r="UT13" s="334"/>
      <c r="UU13" s="334"/>
      <c r="UV13" s="334"/>
      <c r="UW13" s="334"/>
      <c r="UX13" s="334"/>
      <c r="UY13" s="334"/>
      <c r="UZ13" s="334"/>
      <c r="VA13" s="334"/>
      <c r="VB13" s="334"/>
      <c r="VC13" s="334"/>
      <c r="VD13" s="334"/>
      <c r="VE13" s="334"/>
      <c r="VF13" s="334"/>
      <c r="VG13" s="334"/>
      <c r="VH13" s="334"/>
    </row>
    <row r="14" spans="1:580" s="15" customFormat="1">
      <c r="A14"/>
      <c r="B14" s="58">
        <v>45756</v>
      </c>
      <c r="C14" s="58" t="s">
        <v>194</v>
      </c>
      <c r="D14" s="160">
        <v>1241.6599999998889</v>
      </c>
      <c r="E14" s="160">
        <v>344.70880000000238</v>
      </c>
      <c r="F14" s="160">
        <v>876.43660000000057</v>
      </c>
      <c r="G14" s="145">
        <f t="shared" si="0"/>
        <v>2462.805399999892</v>
      </c>
      <c r="H14" s="11"/>
      <c r="I14"/>
      <c r="J14" s="44">
        <v>2779.5199999998854</v>
      </c>
      <c r="K14">
        <v>697</v>
      </c>
      <c r="L14" s="44">
        <f t="shared" si="1"/>
        <v>1737.811199999883</v>
      </c>
      <c r="M14" s="4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 s="334"/>
      <c r="NY14" s="334"/>
      <c r="NZ14" s="334"/>
      <c r="OA14" s="334"/>
      <c r="OB14" s="334"/>
      <c r="OC14" s="334"/>
      <c r="OD14" s="334"/>
      <c r="OE14" s="334"/>
      <c r="OF14" s="334"/>
      <c r="OG14" s="334"/>
      <c r="OH14" s="334"/>
      <c r="OI14" s="334"/>
      <c r="OJ14" s="334"/>
      <c r="OK14" s="334"/>
      <c r="OL14" s="334"/>
      <c r="OM14" s="334"/>
      <c r="ON14" s="334"/>
      <c r="OO14" s="334"/>
      <c r="OP14" s="334"/>
      <c r="OQ14" s="334"/>
      <c r="OR14" s="334"/>
      <c r="OS14" s="334"/>
      <c r="OT14" s="334"/>
      <c r="OU14" s="334"/>
      <c r="OV14" s="334"/>
      <c r="OW14" s="334"/>
      <c r="OX14" s="334"/>
      <c r="OY14" s="334"/>
      <c r="OZ14" s="334"/>
      <c r="PA14" s="334"/>
      <c r="PB14" s="334"/>
      <c r="PC14" s="334"/>
      <c r="PD14" s="334"/>
      <c r="PE14" s="334"/>
      <c r="PF14" s="334"/>
      <c r="PG14" s="334"/>
      <c r="PH14" s="334"/>
      <c r="PI14" s="334"/>
      <c r="PJ14" s="334"/>
      <c r="PK14" s="334"/>
      <c r="PL14" s="334"/>
      <c r="PM14" s="334"/>
      <c r="PN14" s="334"/>
      <c r="PO14" s="334"/>
      <c r="PP14" s="334"/>
      <c r="PQ14" s="334"/>
      <c r="PR14" s="334"/>
      <c r="PS14" s="334"/>
      <c r="PT14" s="334"/>
      <c r="PU14" s="334"/>
      <c r="PV14" s="334"/>
      <c r="PW14" s="334"/>
      <c r="PX14" s="334"/>
      <c r="PY14" s="334"/>
      <c r="PZ14" s="334"/>
      <c r="QA14" s="334"/>
      <c r="QB14" s="334"/>
      <c r="QC14" s="334"/>
      <c r="QD14" s="334"/>
      <c r="QE14" s="334"/>
      <c r="QF14" s="334"/>
      <c r="QG14" s="334"/>
      <c r="QH14" s="334"/>
      <c r="QI14" s="334"/>
      <c r="QJ14" s="334"/>
      <c r="QK14" s="334"/>
      <c r="QL14" s="334"/>
      <c r="QM14" s="334"/>
      <c r="QN14" s="334"/>
      <c r="QO14" s="334"/>
      <c r="QP14" s="334"/>
      <c r="QQ14" s="334"/>
      <c r="QR14" s="334"/>
      <c r="QS14" s="334"/>
      <c r="QT14" s="334"/>
      <c r="QU14" s="334"/>
      <c r="QV14" s="334"/>
      <c r="QW14" s="334"/>
      <c r="QX14" s="334"/>
      <c r="QY14" s="334"/>
      <c r="QZ14" s="334"/>
      <c r="RA14" s="334"/>
      <c r="RB14" s="334"/>
      <c r="RC14" s="334"/>
      <c r="RD14" s="334"/>
      <c r="RE14" s="334"/>
      <c r="RF14" s="334"/>
      <c r="RG14" s="334"/>
      <c r="RH14" s="334"/>
      <c r="RI14" s="334"/>
      <c r="RJ14" s="334"/>
      <c r="RK14" s="334"/>
      <c r="RL14" s="334"/>
      <c r="RM14" s="334"/>
      <c r="RN14" s="334"/>
      <c r="RO14" s="334"/>
      <c r="RP14" s="334"/>
      <c r="RQ14" s="334"/>
      <c r="RR14" s="334"/>
      <c r="RS14" s="334"/>
      <c r="RT14" s="334"/>
      <c r="RU14" s="334"/>
      <c r="RV14" s="334"/>
      <c r="RW14" s="334"/>
      <c r="RX14" s="334"/>
      <c r="RY14" s="334"/>
      <c r="RZ14" s="334"/>
      <c r="SA14" s="334"/>
      <c r="SB14" s="334"/>
      <c r="SC14" s="334"/>
      <c r="SD14" s="334"/>
      <c r="SE14" s="334"/>
      <c r="SF14" s="334"/>
      <c r="SG14" s="334"/>
      <c r="SH14" s="334"/>
      <c r="SI14" s="334"/>
      <c r="SJ14" s="334"/>
      <c r="SK14" s="334"/>
      <c r="SL14" s="334"/>
      <c r="SM14" s="334"/>
      <c r="SN14" s="334"/>
      <c r="SO14" s="334"/>
      <c r="SP14" s="334"/>
      <c r="SQ14" s="334"/>
      <c r="SR14" s="334"/>
      <c r="SS14" s="334"/>
      <c r="ST14" s="334"/>
      <c r="SU14" s="334"/>
      <c r="SV14" s="334"/>
      <c r="SW14" s="334"/>
      <c r="SX14" s="334"/>
      <c r="SY14" s="334"/>
      <c r="SZ14" s="334"/>
      <c r="TA14" s="334"/>
      <c r="TB14" s="334"/>
      <c r="TC14" s="334"/>
      <c r="TD14" s="334"/>
      <c r="TE14" s="334"/>
      <c r="TF14" s="334"/>
      <c r="TG14" s="334"/>
      <c r="TH14" s="334"/>
      <c r="TI14" s="334"/>
      <c r="TJ14" s="334"/>
      <c r="TK14" s="334"/>
      <c r="TL14" s="334"/>
      <c r="TM14" s="334"/>
      <c r="TN14" s="334"/>
      <c r="TO14" s="334"/>
      <c r="TP14" s="334"/>
      <c r="TQ14" s="334"/>
      <c r="TR14" s="334"/>
      <c r="TS14" s="334"/>
      <c r="TT14" s="334"/>
      <c r="TU14" s="334"/>
      <c r="TV14" s="334"/>
      <c r="TW14" s="334"/>
      <c r="TX14" s="334"/>
      <c r="TY14" s="334"/>
      <c r="TZ14" s="334"/>
      <c r="UA14" s="334"/>
      <c r="UB14" s="334"/>
      <c r="UC14" s="334"/>
      <c r="UD14" s="334"/>
      <c r="UE14" s="334"/>
      <c r="UF14" s="334"/>
      <c r="UG14" s="334"/>
      <c r="UH14" s="334"/>
      <c r="UI14" s="334"/>
      <c r="UJ14" s="334"/>
      <c r="UK14" s="334"/>
      <c r="UL14" s="334"/>
      <c r="UM14" s="334"/>
      <c r="UN14" s="334"/>
      <c r="UO14" s="334"/>
      <c r="UP14" s="334"/>
      <c r="UQ14" s="334"/>
      <c r="UR14" s="334"/>
      <c r="US14" s="334"/>
      <c r="UT14" s="334"/>
      <c r="UU14" s="334"/>
      <c r="UV14" s="334"/>
      <c r="UW14" s="334"/>
      <c r="UX14" s="334"/>
      <c r="UY14" s="334"/>
      <c r="UZ14" s="334"/>
      <c r="VA14" s="334"/>
      <c r="VB14" s="334"/>
      <c r="VC14" s="334"/>
      <c r="VD14" s="334"/>
      <c r="VE14" s="334"/>
      <c r="VF14" s="334"/>
      <c r="VG14" s="334"/>
      <c r="VH14" s="334"/>
    </row>
    <row r="15" spans="1:580">
      <c r="B15" s="58">
        <v>45757</v>
      </c>
      <c r="C15" s="58" t="s">
        <v>195</v>
      </c>
      <c r="D15" s="160">
        <v>1354.2200000000084</v>
      </c>
      <c r="E15" s="160">
        <v>354.88640000002226</v>
      </c>
      <c r="F15" s="160">
        <v>1047.7558999999992</v>
      </c>
      <c r="G15" s="145">
        <f t="shared" si="0"/>
        <v>2756.8623000000298</v>
      </c>
      <c r="H15" s="235"/>
      <c r="I15" s="236"/>
      <c r="J15" s="236"/>
      <c r="NX15" s="334"/>
      <c r="NY15" s="334"/>
      <c r="NZ15" s="334"/>
      <c r="OA15" s="334"/>
      <c r="OB15" s="334"/>
      <c r="OC15" s="334"/>
      <c r="OD15" s="334"/>
      <c r="OE15" s="334"/>
      <c r="OF15" s="334"/>
      <c r="OG15" s="334"/>
      <c r="OH15" s="334"/>
      <c r="OI15" s="334"/>
      <c r="OJ15" s="334"/>
      <c r="OK15" s="334"/>
      <c r="OL15" s="334"/>
      <c r="OM15" s="334"/>
      <c r="ON15" s="334"/>
      <c r="OO15" s="334"/>
      <c r="OP15" s="334"/>
      <c r="OQ15" s="334"/>
      <c r="OR15" s="334"/>
      <c r="OS15" s="334"/>
      <c r="OT15" s="334"/>
      <c r="OU15" s="334"/>
      <c r="OV15" s="334"/>
      <c r="OW15" s="334"/>
      <c r="OX15" s="334"/>
      <c r="OY15" s="334"/>
      <c r="OZ15" s="334"/>
      <c r="PA15" s="334"/>
      <c r="PB15" s="334"/>
      <c r="PC15" s="334"/>
      <c r="PD15" s="334"/>
      <c r="PE15" s="334"/>
      <c r="PF15" s="334"/>
      <c r="PG15" s="334"/>
      <c r="PH15" s="334"/>
      <c r="PI15" s="334"/>
      <c r="PJ15" s="334"/>
      <c r="PK15" s="334"/>
      <c r="PL15" s="334"/>
      <c r="PM15" s="334"/>
      <c r="PN15" s="334"/>
      <c r="PO15" s="334"/>
      <c r="PP15" s="334"/>
      <c r="PQ15" s="334"/>
      <c r="PR15" s="334"/>
      <c r="PS15" s="334"/>
      <c r="PT15" s="334"/>
      <c r="PU15" s="334"/>
      <c r="PV15" s="334"/>
      <c r="PW15" s="334"/>
      <c r="PX15" s="334"/>
      <c r="PY15" s="334"/>
      <c r="PZ15" s="334"/>
      <c r="QA15" s="334"/>
      <c r="QB15" s="334"/>
      <c r="QC15" s="334"/>
      <c r="QD15" s="334"/>
      <c r="QE15" s="334"/>
      <c r="QF15" s="334"/>
      <c r="QG15" s="334"/>
      <c r="QH15" s="334"/>
      <c r="QI15" s="334"/>
      <c r="QJ15" s="334"/>
      <c r="QK15" s="334"/>
      <c r="QL15" s="334"/>
      <c r="QM15" s="334"/>
      <c r="QN15" s="334"/>
      <c r="QO15" s="334"/>
      <c r="QP15" s="334"/>
      <c r="QQ15" s="334"/>
      <c r="QR15" s="334"/>
      <c r="QS15" s="334"/>
      <c r="QT15" s="334"/>
      <c r="QU15" s="334"/>
      <c r="QV15" s="334"/>
      <c r="QW15" s="334"/>
      <c r="QX15" s="334"/>
      <c r="QY15" s="334"/>
      <c r="QZ15" s="334"/>
      <c r="RA15" s="334"/>
      <c r="RB15" s="334"/>
      <c r="RC15" s="334"/>
      <c r="RD15" s="334"/>
      <c r="RE15" s="334"/>
      <c r="RF15" s="334"/>
      <c r="RG15" s="334"/>
      <c r="RH15" s="334"/>
      <c r="RI15" s="334"/>
      <c r="RJ15" s="334"/>
      <c r="RK15" s="334"/>
      <c r="RL15" s="334"/>
      <c r="RM15" s="334"/>
      <c r="RN15" s="334"/>
      <c r="RO15" s="334"/>
      <c r="RP15" s="334"/>
      <c r="RQ15" s="334"/>
      <c r="RR15" s="334"/>
      <c r="RS15" s="334"/>
      <c r="RT15" s="334"/>
      <c r="RU15" s="334"/>
      <c r="RV15" s="334"/>
      <c r="RW15" s="334"/>
      <c r="RX15" s="334"/>
      <c r="RY15" s="334"/>
      <c r="RZ15" s="334"/>
      <c r="SA15" s="334"/>
      <c r="SB15" s="334"/>
      <c r="SC15" s="334"/>
      <c r="SD15" s="334"/>
      <c r="SE15" s="334"/>
      <c r="SF15" s="334"/>
      <c r="SG15" s="334"/>
      <c r="SH15" s="334"/>
      <c r="SI15" s="334"/>
      <c r="SJ15" s="334"/>
      <c r="SK15" s="334"/>
      <c r="SL15" s="334"/>
      <c r="SM15" s="334"/>
      <c r="SN15" s="334"/>
      <c r="SO15" s="334"/>
      <c r="SP15" s="334"/>
      <c r="SQ15" s="334"/>
      <c r="SR15" s="334"/>
      <c r="SS15" s="334"/>
      <c r="ST15" s="334"/>
      <c r="SU15" s="334"/>
      <c r="SV15" s="334"/>
      <c r="SW15" s="334"/>
      <c r="SX15" s="334"/>
      <c r="SY15" s="334"/>
      <c r="SZ15" s="334"/>
      <c r="TA15" s="334"/>
      <c r="TB15" s="334"/>
      <c r="TC15" s="334"/>
      <c r="TD15" s="334"/>
      <c r="TE15" s="334"/>
      <c r="TF15" s="334"/>
      <c r="TG15" s="334"/>
      <c r="TH15" s="334"/>
      <c r="TI15" s="334"/>
      <c r="TJ15" s="334"/>
      <c r="TK15" s="334"/>
      <c r="TL15" s="334"/>
      <c r="TM15" s="334"/>
      <c r="TN15" s="334"/>
      <c r="TO15" s="334"/>
      <c r="TP15" s="334"/>
      <c r="TQ15" s="334"/>
      <c r="TR15" s="334"/>
      <c r="TS15" s="334"/>
      <c r="TT15" s="334"/>
      <c r="TU15" s="334"/>
      <c r="TV15" s="334"/>
      <c r="TW15" s="334"/>
      <c r="TX15" s="334"/>
      <c r="TY15" s="334"/>
      <c r="TZ15" s="334"/>
      <c r="UA15" s="334"/>
      <c r="UB15" s="334"/>
      <c r="UC15" s="334"/>
      <c r="UD15" s="334"/>
      <c r="UE15" s="334"/>
      <c r="UF15" s="334"/>
      <c r="UG15" s="334"/>
      <c r="UH15" s="334"/>
      <c r="UI15" s="334"/>
      <c r="UJ15" s="334"/>
      <c r="UK15" s="334"/>
      <c r="UL15" s="334"/>
      <c r="UM15" s="334"/>
      <c r="UN15" s="334"/>
      <c r="UO15" s="334"/>
      <c r="UP15" s="334"/>
      <c r="UQ15" s="334"/>
      <c r="UR15" s="334"/>
      <c r="US15" s="334"/>
      <c r="UT15" s="334"/>
      <c r="UU15" s="334"/>
      <c r="UV15" s="334"/>
      <c r="UW15" s="334"/>
      <c r="UX15" s="334"/>
      <c r="UY15" s="334"/>
      <c r="UZ15" s="334"/>
      <c r="VA15" s="334"/>
      <c r="VB15" s="334"/>
      <c r="VC15" s="334"/>
      <c r="VD15" s="334"/>
      <c r="VE15" s="334"/>
      <c r="VF15" s="334"/>
      <c r="VG15" s="334"/>
      <c r="VH15" s="334"/>
    </row>
    <row r="16" spans="1:580" s="15" customFormat="1">
      <c r="B16" s="58">
        <v>45758</v>
      </c>
      <c r="C16" s="58" t="s">
        <v>196</v>
      </c>
      <c r="D16" s="160">
        <v>1330.3800000001029</v>
      </c>
      <c r="E16" s="160">
        <v>357.97840000001599</v>
      </c>
      <c r="F16" s="160">
        <v>1035.4430000000011</v>
      </c>
      <c r="G16" s="145">
        <f t="shared" si="0"/>
        <v>2723.8014000001199</v>
      </c>
      <c r="H16" s="235"/>
      <c r="I16" s="236"/>
      <c r="J16" s="245"/>
      <c r="K16" s="236"/>
      <c r="L16" s="236"/>
      <c r="M16" s="236"/>
      <c r="N16" s="23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 s="334"/>
      <c r="NY16" s="334"/>
      <c r="NZ16" s="334"/>
      <c r="OA16" s="334"/>
      <c r="OB16" s="334"/>
      <c r="OC16" s="334"/>
      <c r="OD16" s="334"/>
      <c r="OE16" s="334"/>
      <c r="OF16" s="334"/>
      <c r="OG16" s="334"/>
      <c r="OH16" s="334"/>
      <c r="OI16" s="334"/>
      <c r="OJ16" s="334"/>
      <c r="OK16" s="334"/>
      <c r="OL16" s="334"/>
      <c r="OM16" s="334"/>
      <c r="ON16" s="334"/>
      <c r="OO16" s="334"/>
      <c r="OP16" s="334"/>
      <c r="OQ16" s="334"/>
      <c r="OR16" s="334"/>
      <c r="OS16" s="334"/>
      <c r="OT16" s="334"/>
      <c r="OU16" s="334"/>
      <c r="OV16" s="334"/>
      <c r="OW16" s="334"/>
      <c r="OX16" s="334"/>
      <c r="OY16" s="334"/>
      <c r="OZ16" s="334"/>
      <c r="PA16" s="334"/>
      <c r="PB16" s="334"/>
      <c r="PC16" s="334"/>
      <c r="PD16" s="334"/>
      <c r="PE16" s="334"/>
      <c r="PF16" s="334"/>
      <c r="PG16" s="334"/>
      <c r="PH16" s="334"/>
      <c r="PI16" s="334"/>
      <c r="PJ16" s="334"/>
      <c r="PK16" s="334"/>
      <c r="PL16" s="334"/>
      <c r="PM16" s="334"/>
      <c r="PN16" s="334"/>
      <c r="PO16" s="334"/>
      <c r="PP16" s="334"/>
      <c r="PQ16" s="334"/>
      <c r="PR16" s="334"/>
      <c r="PS16" s="334"/>
      <c r="PT16" s="334"/>
      <c r="PU16" s="334"/>
      <c r="PV16" s="334"/>
      <c r="PW16" s="334"/>
      <c r="PX16" s="334"/>
      <c r="PY16" s="334"/>
      <c r="PZ16" s="334"/>
      <c r="QA16" s="334"/>
      <c r="QB16" s="334"/>
      <c r="QC16" s="334"/>
      <c r="QD16" s="334"/>
      <c r="QE16" s="334"/>
      <c r="QF16" s="334"/>
      <c r="QG16" s="334"/>
      <c r="QH16" s="334"/>
      <c r="QI16" s="334"/>
      <c r="QJ16" s="334"/>
      <c r="QK16" s="334"/>
      <c r="QL16" s="334"/>
      <c r="QM16" s="334"/>
      <c r="QN16" s="334"/>
      <c r="QO16" s="334"/>
      <c r="QP16" s="334"/>
      <c r="QQ16" s="334"/>
      <c r="QR16" s="334"/>
      <c r="QS16" s="334"/>
      <c r="QT16" s="334"/>
      <c r="QU16" s="334"/>
      <c r="QV16" s="334"/>
      <c r="QW16" s="334"/>
      <c r="QX16" s="334"/>
      <c r="QY16" s="334"/>
      <c r="QZ16" s="334"/>
      <c r="RA16" s="334"/>
      <c r="RB16" s="334"/>
      <c r="RC16" s="334"/>
      <c r="RD16" s="334"/>
      <c r="RE16" s="334"/>
      <c r="RF16" s="334"/>
      <c r="RG16" s="334"/>
      <c r="RH16" s="334"/>
      <c r="RI16" s="334"/>
      <c r="RJ16" s="334"/>
      <c r="RK16" s="334"/>
      <c r="RL16" s="334"/>
      <c r="RM16" s="334"/>
      <c r="RN16" s="334"/>
      <c r="RO16" s="334"/>
      <c r="RP16" s="334"/>
      <c r="RQ16" s="334"/>
      <c r="RR16" s="334"/>
      <c r="RS16" s="334"/>
      <c r="RT16" s="334"/>
      <c r="RU16" s="334"/>
      <c r="RV16" s="334"/>
      <c r="RW16" s="334"/>
      <c r="RX16" s="334"/>
      <c r="RY16" s="334"/>
      <c r="RZ16" s="334"/>
      <c r="SA16" s="334"/>
      <c r="SB16" s="334"/>
      <c r="SC16" s="334"/>
      <c r="SD16" s="334"/>
      <c r="SE16" s="334"/>
      <c r="SF16" s="334"/>
      <c r="SG16" s="334"/>
      <c r="SH16" s="334"/>
      <c r="SI16" s="334"/>
      <c r="SJ16" s="334"/>
      <c r="SK16" s="334"/>
      <c r="SL16" s="334"/>
      <c r="SM16" s="334"/>
      <c r="SN16" s="334"/>
      <c r="SO16" s="334"/>
      <c r="SP16" s="334"/>
      <c r="SQ16" s="334"/>
      <c r="SR16" s="334"/>
      <c r="SS16" s="334"/>
      <c r="ST16" s="334"/>
      <c r="SU16" s="334"/>
      <c r="SV16" s="334"/>
      <c r="SW16" s="334"/>
      <c r="SX16" s="334"/>
      <c r="SY16" s="334"/>
      <c r="SZ16" s="334"/>
      <c r="TA16" s="334"/>
      <c r="TB16" s="334"/>
      <c r="TC16" s="334"/>
      <c r="TD16" s="334"/>
      <c r="TE16" s="334"/>
      <c r="TF16" s="334"/>
      <c r="TG16" s="334"/>
      <c r="TH16" s="334"/>
      <c r="TI16" s="334"/>
      <c r="TJ16" s="334"/>
      <c r="TK16" s="334"/>
      <c r="TL16" s="334"/>
      <c r="TM16" s="334"/>
      <c r="TN16" s="334"/>
      <c r="TO16" s="334"/>
      <c r="TP16" s="334"/>
      <c r="TQ16" s="334"/>
      <c r="TR16" s="334"/>
      <c r="TS16" s="334"/>
      <c r="TT16" s="334"/>
      <c r="TU16" s="334"/>
      <c r="TV16" s="334"/>
      <c r="TW16" s="334"/>
      <c r="TX16" s="334"/>
      <c r="TY16" s="334"/>
      <c r="TZ16" s="334"/>
      <c r="UA16" s="334"/>
      <c r="UB16" s="334"/>
      <c r="UC16" s="334"/>
      <c r="UD16" s="334"/>
      <c r="UE16" s="334"/>
      <c r="UF16" s="334"/>
      <c r="UG16" s="334"/>
      <c r="UH16" s="334"/>
      <c r="UI16" s="334"/>
      <c r="UJ16" s="334"/>
      <c r="UK16" s="334"/>
      <c r="UL16" s="334"/>
      <c r="UM16" s="334"/>
      <c r="UN16" s="334"/>
      <c r="UO16" s="334"/>
      <c r="UP16" s="334"/>
      <c r="UQ16" s="334"/>
      <c r="UR16" s="334"/>
      <c r="US16" s="334"/>
      <c r="UT16" s="334"/>
      <c r="UU16" s="334"/>
      <c r="UV16" s="334"/>
      <c r="UW16" s="334"/>
      <c r="UX16" s="334"/>
      <c r="UY16" s="334"/>
      <c r="UZ16" s="334"/>
      <c r="VA16" s="334"/>
      <c r="VB16" s="334"/>
      <c r="VC16" s="334"/>
      <c r="VD16" s="334"/>
      <c r="VE16" s="334"/>
      <c r="VF16" s="334"/>
      <c r="VG16" s="334"/>
      <c r="VH16" s="334"/>
    </row>
    <row r="17" spans="1:580" s="15" customFormat="1">
      <c r="A17"/>
      <c r="B17" s="58">
        <v>45759</v>
      </c>
      <c r="C17" s="58" t="s">
        <v>197</v>
      </c>
      <c r="D17" s="160">
        <v>1227.3799999998919</v>
      </c>
      <c r="E17" s="160">
        <v>300.75999999998834</v>
      </c>
      <c r="F17" s="160">
        <v>1063.5126999999984</v>
      </c>
      <c r="G17" s="145">
        <f t="shared" si="0"/>
        <v>2591.6526999998787</v>
      </c>
      <c r="H17" s="235"/>
      <c r="I17" s="236"/>
      <c r="J17" s="236"/>
      <c r="K17" s="236"/>
      <c r="L17" s="236"/>
      <c r="M17" s="236"/>
      <c r="N17" s="236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 s="334"/>
      <c r="NY17" s="334"/>
      <c r="NZ17" s="334"/>
      <c r="OA17" s="334"/>
      <c r="OB17" s="334"/>
      <c r="OC17" s="334"/>
      <c r="OD17" s="334"/>
      <c r="OE17" s="334"/>
      <c r="OF17" s="334"/>
      <c r="OG17" s="334"/>
      <c r="OH17" s="334"/>
      <c r="OI17" s="334"/>
      <c r="OJ17" s="334"/>
      <c r="OK17" s="334"/>
      <c r="OL17" s="334"/>
      <c r="OM17" s="334"/>
      <c r="ON17" s="334"/>
      <c r="OO17" s="334"/>
      <c r="OP17" s="334"/>
      <c r="OQ17" s="334"/>
      <c r="OR17" s="334"/>
      <c r="OS17" s="334"/>
      <c r="OT17" s="334"/>
      <c r="OU17" s="334"/>
      <c r="OV17" s="334"/>
      <c r="OW17" s="334"/>
      <c r="OX17" s="334"/>
      <c r="OY17" s="334"/>
      <c r="OZ17" s="334"/>
      <c r="PA17" s="334"/>
      <c r="PB17" s="334"/>
      <c r="PC17" s="334"/>
      <c r="PD17" s="334"/>
      <c r="PE17" s="334"/>
      <c r="PF17" s="334"/>
      <c r="PG17" s="334"/>
      <c r="PH17" s="334"/>
      <c r="PI17" s="334"/>
      <c r="PJ17" s="334"/>
      <c r="PK17" s="334"/>
      <c r="PL17" s="334"/>
      <c r="PM17" s="334"/>
      <c r="PN17" s="334"/>
      <c r="PO17" s="334"/>
      <c r="PP17" s="334"/>
      <c r="PQ17" s="334"/>
      <c r="PR17" s="334"/>
      <c r="PS17" s="334"/>
      <c r="PT17" s="334"/>
      <c r="PU17" s="334"/>
      <c r="PV17" s="334"/>
      <c r="PW17" s="334"/>
      <c r="PX17" s="334"/>
      <c r="PY17" s="334"/>
      <c r="PZ17" s="334"/>
      <c r="QA17" s="334"/>
      <c r="QB17" s="334"/>
      <c r="QC17" s="334"/>
      <c r="QD17" s="334"/>
      <c r="QE17" s="334"/>
      <c r="QF17" s="334"/>
      <c r="QG17" s="334"/>
      <c r="QH17" s="334"/>
      <c r="QI17" s="334"/>
      <c r="QJ17" s="334"/>
      <c r="QK17" s="334"/>
      <c r="QL17" s="334"/>
      <c r="QM17" s="334"/>
      <c r="QN17" s="334"/>
      <c r="QO17" s="334"/>
      <c r="QP17" s="334"/>
      <c r="QQ17" s="334"/>
      <c r="QR17" s="334"/>
      <c r="QS17" s="334"/>
      <c r="QT17" s="334"/>
      <c r="QU17" s="334"/>
      <c r="QV17" s="334"/>
      <c r="QW17" s="334"/>
      <c r="QX17" s="334"/>
      <c r="QY17" s="334"/>
      <c r="QZ17" s="334"/>
      <c r="RA17" s="334"/>
      <c r="RB17" s="334"/>
      <c r="RC17" s="334"/>
      <c r="RD17" s="334"/>
      <c r="RE17" s="334"/>
      <c r="RF17" s="334"/>
      <c r="RG17" s="334"/>
      <c r="RH17" s="334"/>
      <c r="RI17" s="334"/>
      <c r="RJ17" s="334"/>
      <c r="RK17" s="334"/>
      <c r="RL17" s="334"/>
      <c r="RM17" s="334"/>
      <c r="RN17" s="334"/>
      <c r="RO17" s="334"/>
      <c r="RP17" s="334"/>
      <c r="RQ17" s="334"/>
      <c r="RR17" s="334"/>
      <c r="RS17" s="334"/>
      <c r="RT17" s="334"/>
      <c r="RU17" s="334"/>
      <c r="RV17" s="334"/>
      <c r="RW17" s="334"/>
      <c r="RX17" s="334"/>
      <c r="RY17" s="334"/>
      <c r="RZ17" s="334"/>
      <c r="SA17" s="334"/>
      <c r="SB17" s="334"/>
      <c r="SC17" s="334"/>
      <c r="SD17" s="334"/>
      <c r="SE17" s="334"/>
      <c r="SF17" s="334"/>
      <c r="SG17" s="334"/>
      <c r="SH17" s="334"/>
      <c r="SI17" s="334"/>
      <c r="SJ17" s="334"/>
      <c r="SK17" s="334"/>
      <c r="SL17" s="334"/>
      <c r="SM17" s="334"/>
      <c r="SN17" s="334"/>
      <c r="SO17" s="334"/>
      <c r="SP17" s="334"/>
      <c r="SQ17" s="334"/>
      <c r="SR17" s="334"/>
      <c r="SS17" s="334"/>
      <c r="ST17" s="334"/>
      <c r="SU17" s="334"/>
      <c r="SV17" s="334"/>
      <c r="SW17" s="334"/>
      <c r="SX17" s="334"/>
      <c r="SY17" s="334"/>
      <c r="SZ17" s="334"/>
      <c r="TA17" s="334"/>
      <c r="TB17" s="334"/>
      <c r="TC17" s="334"/>
      <c r="TD17" s="334"/>
      <c r="TE17" s="334"/>
      <c r="TF17" s="334"/>
      <c r="TG17" s="334"/>
      <c r="TH17" s="334"/>
      <c r="TI17" s="334"/>
      <c r="TJ17" s="334"/>
      <c r="TK17" s="334"/>
      <c r="TL17" s="334"/>
      <c r="TM17" s="334"/>
      <c r="TN17" s="334"/>
      <c r="TO17" s="334"/>
      <c r="TP17" s="334"/>
      <c r="TQ17" s="334"/>
      <c r="TR17" s="334"/>
      <c r="TS17" s="334"/>
      <c r="TT17" s="334"/>
      <c r="TU17" s="334"/>
      <c r="TV17" s="334"/>
      <c r="TW17" s="334"/>
      <c r="TX17" s="334"/>
      <c r="TY17" s="334"/>
      <c r="TZ17" s="334"/>
      <c r="UA17" s="334"/>
      <c r="UB17" s="334"/>
      <c r="UC17" s="334"/>
      <c r="UD17" s="334"/>
      <c r="UE17" s="334"/>
      <c r="UF17" s="334"/>
      <c r="UG17" s="334"/>
      <c r="UH17" s="334"/>
      <c r="UI17" s="334"/>
      <c r="UJ17" s="334"/>
      <c r="UK17" s="334"/>
      <c r="UL17" s="334"/>
      <c r="UM17" s="334"/>
      <c r="UN17" s="334"/>
      <c r="UO17" s="334"/>
      <c r="UP17" s="334"/>
      <c r="UQ17" s="334"/>
      <c r="UR17" s="334"/>
      <c r="US17" s="334"/>
      <c r="UT17" s="334"/>
      <c r="UU17" s="334"/>
      <c r="UV17" s="334"/>
      <c r="UW17" s="334"/>
      <c r="UX17" s="334"/>
      <c r="UY17" s="334"/>
      <c r="UZ17" s="334"/>
      <c r="VA17" s="334"/>
      <c r="VB17" s="334"/>
      <c r="VC17" s="334"/>
      <c r="VD17" s="334"/>
      <c r="VE17" s="334"/>
      <c r="VF17" s="334"/>
      <c r="VG17" s="334"/>
      <c r="VH17" s="334"/>
    </row>
    <row r="18" spans="1:580" s="15" customFormat="1">
      <c r="A18"/>
      <c r="B18" s="183">
        <v>45760</v>
      </c>
      <c r="C18" s="183" t="s">
        <v>198</v>
      </c>
      <c r="D18" s="195">
        <v>147.91999999999643</v>
      </c>
      <c r="E18" s="195">
        <v>53.707200000004377</v>
      </c>
      <c r="F18" s="195">
        <v>20.220000000001392</v>
      </c>
      <c r="G18" s="196">
        <f t="shared" si="0"/>
        <v>221.8472000000022</v>
      </c>
      <c r="H18" s="1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 s="334"/>
      <c r="NY18" s="334"/>
      <c r="NZ18" s="334"/>
      <c r="OA18" s="334"/>
      <c r="OB18" s="334"/>
      <c r="OC18" s="334"/>
      <c r="OD18" s="334"/>
      <c r="OE18" s="334"/>
      <c r="OF18" s="334"/>
      <c r="OG18" s="334"/>
      <c r="OH18" s="334"/>
      <c r="OI18" s="334"/>
      <c r="OJ18" s="334"/>
      <c r="OK18" s="334"/>
      <c r="OL18" s="334"/>
      <c r="OM18" s="334"/>
      <c r="ON18" s="334"/>
      <c r="OO18" s="334"/>
      <c r="OP18" s="334"/>
      <c r="OQ18" s="334"/>
      <c r="OR18" s="334"/>
      <c r="OS18" s="334"/>
      <c r="OT18" s="334"/>
      <c r="OU18" s="334"/>
      <c r="OV18" s="334"/>
      <c r="OW18" s="334"/>
      <c r="OX18" s="334"/>
      <c r="OY18" s="334"/>
      <c r="OZ18" s="334"/>
      <c r="PA18" s="334"/>
      <c r="PB18" s="334"/>
      <c r="PC18" s="334"/>
      <c r="PD18" s="334"/>
      <c r="PE18" s="334"/>
      <c r="PF18" s="334"/>
      <c r="PG18" s="334"/>
      <c r="PH18" s="334"/>
      <c r="PI18" s="334"/>
      <c r="PJ18" s="334"/>
      <c r="PK18" s="334"/>
      <c r="PL18" s="334"/>
      <c r="PM18" s="334"/>
      <c r="PN18" s="334"/>
      <c r="PO18" s="334"/>
      <c r="PP18" s="334"/>
      <c r="PQ18" s="334"/>
      <c r="PR18" s="334"/>
      <c r="PS18" s="334"/>
      <c r="PT18" s="334"/>
      <c r="PU18" s="334"/>
      <c r="PV18" s="334"/>
      <c r="PW18" s="334"/>
      <c r="PX18" s="334"/>
      <c r="PY18" s="334"/>
      <c r="PZ18" s="334"/>
      <c r="QA18" s="334"/>
      <c r="QB18" s="334"/>
      <c r="QC18" s="334"/>
      <c r="QD18" s="334"/>
      <c r="QE18" s="334"/>
      <c r="QF18" s="334"/>
      <c r="QG18" s="334"/>
      <c r="QH18" s="334"/>
      <c r="QI18" s="334"/>
      <c r="QJ18" s="334"/>
      <c r="QK18" s="334"/>
      <c r="QL18" s="334"/>
      <c r="QM18" s="334"/>
      <c r="QN18" s="334"/>
      <c r="QO18" s="334"/>
      <c r="QP18" s="334"/>
      <c r="QQ18" s="334"/>
      <c r="QR18" s="334"/>
      <c r="QS18" s="334"/>
      <c r="QT18" s="334"/>
      <c r="QU18" s="334"/>
      <c r="QV18" s="334"/>
      <c r="QW18" s="334"/>
      <c r="QX18" s="334"/>
      <c r="QY18" s="334"/>
      <c r="QZ18" s="334"/>
      <c r="RA18" s="334"/>
      <c r="RB18" s="334"/>
      <c r="RC18" s="334"/>
      <c r="RD18" s="334"/>
      <c r="RE18" s="334"/>
      <c r="RF18" s="334"/>
      <c r="RG18" s="334"/>
      <c r="RH18" s="334"/>
      <c r="RI18" s="334"/>
      <c r="RJ18" s="334"/>
      <c r="RK18" s="334"/>
      <c r="RL18" s="334"/>
      <c r="RM18" s="334"/>
      <c r="RN18" s="334"/>
      <c r="RO18" s="334"/>
      <c r="RP18" s="334"/>
      <c r="RQ18" s="334"/>
      <c r="RR18" s="334"/>
      <c r="RS18" s="334"/>
      <c r="RT18" s="334"/>
      <c r="RU18" s="334"/>
      <c r="RV18" s="334"/>
      <c r="RW18" s="334"/>
      <c r="RX18" s="334"/>
      <c r="RY18" s="334"/>
      <c r="RZ18" s="334"/>
      <c r="SA18" s="334"/>
      <c r="SB18" s="334"/>
      <c r="SC18" s="334"/>
      <c r="SD18" s="334"/>
      <c r="SE18" s="334"/>
      <c r="SF18" s="334"/>
      <c r="SG18" s="334"/>
      <c r="SH18" s="334"/>
      <c r="SI18" s="334"/>
      <c r="SJ18" s="334"/>
      <c r="SK18" s="334"/>
      <c r="SL18" s="334"/>
      <c r="SM18" s="334"/>
      <c r="SN18" s="334"/>
      <c r="SO18" s="334"/>
      <c r="SP18" s="334"/>
      <c r="SQ18" s="334"/>
      <c r="SR18" s="334"/>
      <c r="SS18" s="334"/>
      <c r="ST18" s="334"/>
      <c r="SU18" s="334"/>
      <c r="SV18" s="334"/>
      <c r="SW18" s="334"/>
      <c r="SX18" s="334"/>
      <c r="SY18" s="334"/>
      <c r="SZ18" s="334"/>
      <c r="TA18" s="334"/>
      <c r="TB18" s="334"/>
      <c r="TC18" s="334"/>
      <c r="TD18" s="334"/>
      <c r="TE18" s="334"/>
      <c r="TF18" s="334"/>
      <c r="TG18" s="334"/>
      <c r="TH18" s="334"/>
      <c r="TI18" s="334"/>
      <c r="TJ18" s="334"/>
      <c r="TK18" s="334"/>
      <c r="TL18" s="334"/>
      <c r="TM18" s="334"/>
      <c r="TN18" s="334"/>
      <c r="TO18" s="334"/>
      <c r="TP18" s="334"/>
      <c r="TQ18" s="334"/>
      <c r="TR18" s="334"/>
      <c r="TS18" s="334"/>
      <c r="TT18" s="334"/>
      <c r="TU18" s="334"/>
      <c r="TV18" s="334"/>
      <c r="TW18" s="334"/>
      <c r="TX18" s="334"/>
      <c r="TY18" s="334"/>
      <c r="TZ18" s="334"/>
      <c r="UA18" s="334"/>
      <c r="UB18" s="334"/>
      <c r="UC18" s="334"/>
      <c r="UD18" s="334"/>
      <c r="UE18" s="334"/>
      <c r="UF18" s="334"/>
      <c r="UG18" s="334"/>
      <c r="UH18" s="334"/>
      <c r="UI18" s="334"/>
      <c r="UJ18" s="334"/>
      <c r="UK18" s="334"/>
      <c r="UL18" s="334"/>
      <c r="UM18" s="334"/>
      <c r="UN18" s="334"/>
      <c r="UO18" s="334"/>
      <c r="UP18" s="334"/>
      <c r="UQ18" s="334"/>
      <c r="UR18" s="334"/>
      <c r="US18" s="334"/>
      <c r="UT18" s="334"/>
      <c r="UU18" s="334"/>
      <c r="UV18" s="334"/>
      <c r="UW18" s="334"/>
      <c r="UX18" s="334"/>
      <c r="UY18" s="334"/>
      <c r="UZ18" s="334"/>
      <c r="VA18" s="334"/>
      <c r="VB18" s="334"/>
      <c r="VC18" s="334"/>
      <c r="VD18" s="334"/>
      <c r="VE18" s="334"/>
      <c r="VF18" s="334"/>
      <c r="VG18" s="334"/>
      <c r="VH18" s="334"/>
    </row>
    <row r="19" spans="1:580">
      <c r="B19" s="58">
        <v>45761</v>
      </c>
      <c r="C19" s="58" t="s">
        <v>192</v>
      </c>
      <c r="D19" s="160">
        <v>22.260000000005675</v>
      </c>
      <c r="E19" s="160">
        <v>17.315200000003678</v>
      </c>
      <c r="F19" s="160">
        <v>0</v>
      </c>
      <c r="G19" s="145">
        <f t="shared" si="0"/>
        <v>39.575200000009353</v>
      </c>
      <c r="H19" s="11"/>
      <c r="NX19" s="334"/>
      <c r="NY19" s="334"/>
      <c r="NZ19" s="334"/>
      <c r="OA19" s="334"/>
      <c r="OB19" s="334"/>
      <c r="OC19" s="334"/>
      <c r="OD19" s="334"/>
      <c r="OE19" s="334"/>
      <c r="OF19" s="334"/>
      <c r="OG19" s="334"/>
      <c r="OH19" s="334"/>
      <c r="OI19" s="334"/>
      <c r="OJ19" s="334"/>
      <c r="OK19" s="334"/>
      <c r="OL19" s="334"/>
      <c r="OM19" s="334"/>
      <c r="ON19" s="334"/>
      <c r="OO19" s="334"/>
      <c r="OP19" s="334"/>
      <c r="OQ19" s="334"/>
      <c r="OR19" s="334"/>
      <c r="OS19" s="334"/>
      <c r="OT19" s="334"/>
      <c r="OU19" s="334"/>
      <c r="OV19" s="334"/>
      <c r="OW19" s="334"/>
      <c r="OX19" s="334"/>
      <c r="OY19" s="334"/>
      <c r="OZ19" s="334"/>
      <c r="PA19" s="334"/>
      <c r="PB19" s="334"/>
      <c r="PC19" s="334"/>
      <c r="PD19" s="334"/>
      <c r="PE19" s="334"/>
      <c r="PF19" s="334"/>
      <c r="PG19" s="334"/>
      <c r="PH19" s="334"/>
      <c r="PI19" s="334"/>
      <c r="PJ19" s="334"/>
      <c r="PK19" s="334"/>
      <c r="PL19" s="334"/>
      <c r="PM19" s="334"/>
      <c r="PN19" s="334"/>
      <c r="PO19" s="334"/>
      <c r="PP19" s="334"/>
      <c r="PQ19" s="334"/>
      <c r="PR19" s="334"/>
      <c r="PS19" s="334"/>
      <c r="PT19" s="334"/>
      <c r="PU19" s="334"/>
      <c r="PV19" s="334"/>
      <c r="PW19" s="334"/>
      <c r="PX19" s="334"/>
      <c r="PY19" s="334"/>
      <c r="PZ19" s="334"/>
      <c r="QA19" s="334"/>
      <c r="QB19" s="334"/>
      <c r="QC19" s="334"/>
      <c r="QD19" s="334"/>
      <c r="QE19" s="334"/>
      <c r="QF19" s="334"/>
      <c r="QG19" s="334"/>
      <c r="QH19" s="334"/>
      <c r="QI19" s="334"/>
      <c r="QJ19" s="334"/>
      <c r="QK19" s="334"/>
      <c r="QL19" s="334"/>
      <c r="QM19" s="334"/>
      <c r="QN19" s="334"/>
      <c r="QO19" s="334"/>
      <c r="QP19" s="334"/>
      <c r="QQ19" s="334"/>
      <c r="QR19" s="334"/>
      <c r="QS19" s="334"/>
      <c r="QT19" s="334"/>
      <c r="QU19" s="334"/>
      <c r="QV19" s="334"/>
      <c r="QW19" s="334"/>
      <c r="QX19" s="334"/>
      <c r="QY19" s="334"/>
      <c r="QZ19" s="334"/>
      <c r="RA19" s="334"/>
      <c r="RB19" s="334"/>
      <c r="RC19" s="334"/>
      <c r="RD19" s="334"/>
      <c r="RE19" s="334"/>
      <c r="RF19" s="334"/>
      <c r="RG19" s="334"/>
      <c r="RH19" s="334"/>
      <c r="RI19" s="334"/>
      <c r="RJ19" s="334"/>
      <c r="RK19" s="334"/>
      <c r="RL19" s="334"/>
      <c r="RM19" s="334"/>
      <c r="RN19" s="334"/>
      <c r="RO19" s="334"/>
      <c r="RP19" s="334"/>
      <c r="RQ19" s="334"/>
      <c r="RR19" s="334"/>
      <c r="RS19" s="334"/>
      <c r="RT19" s="334"/>
      <c r="RU19" s="334"/>
      <c r="RV19" s="334"/>
      <c r="RW19" s="334"/>
      <c r="RX19" s="334"/>
      <c r="RY19" s="334"/>
      <c r="RZ19" s="334"/>
      <c r="SA19" s="334"/>
      <c r="SB19" s="334"/>
      <c r="SC19" s="334"/>
      <c r="SD19" s="334"/>
      <c r="SE19" s="334"/>
      <c r="SF19" s="334"/>
      <c r="SG19" s="334"/>
      <c r="SH19" s="334"/>
      <c r="SI19" s="334"/>
      <c r="SJ19" s="334"/>
      <c r="SK19" s="334"/>
      <c r="SL19" s="334"/>
      <c r="SM19" s="334"/>
      <c r="SN19" s="334"/>
      <c r="SO19" s="334"/>
      <c r="SP19" s="334"/>
      <c r="SQ19" s="334"/>
      <c r="SR19" s="334"/>
      <c r="SS19" s="334"/>
      <c r="ST19" s="334"/>
      <c r="SU19" s="334"/>
      <c r="SV19" s="334"/>
      <c r="SW19" s="334"/>
      <c r="SX19" s="334"/>
      <c r="SY19" s="334"/>
      <c r="SZ19" s="334"/>
      <c r="TA19" s="334"/>
      <c r="TB19" s="334"/>
      <c r="TC19" s="334"/>
      <c r="TD19" s="334"/>
      <c r="TE19" s="334"/>
      <c r="TF19" s="334"/>
      <c r="TG19" s="334"/>
      <c r="TH19" s="334"/>
      <c r="TI19" s="334"/>
      <c r="TJ19" s="334"/>
      <c r="TK19" s="334"/>
      <c r="TL19" s="334"/>
      <c r="TM19" s="334"/>
      <c r="TN19" s="334"/>
      <c r="TO19" s="334"/>
      <c r="TP19" s="334"/>
      <c r="TQ19" s="334"/>
      <c r="TR19" s="334"/>
      <c r="TS19" s="334"/>
      <c r="TT19" s="334"/>
      <c r="TU19" s="334"/>
      <c r="TV19" s="334"/>
      <c r="TW19" s="334"/>
      <c r="TX19" s="334"/>
      <c r="TY19" s="334"/>
      <c r="TZ19" s="334"/>
      <c r="UA19" s="334"/>
      <c r="UB19" s="334"/>
      <c r="UC19" s="334"/>
      <c r="UD19" s="334"/>
      <c r="UE19" s="334"/>
      <c r="UF19" s="334"/>
      <c r="UG19" s="334"/>
      <c r="UH19" s="334"/>
      <c r="UI19" s="334"/>
      <c r="UJ19" s="334"/>
      <c r="UK19" s="334"/>
      <c r="UL19" s="334"/>
      <c r="UM19" s="334"/>
      <c r="UN19" s="334"/>
      <c r="UO19" s="334"/>
      <c r="UP19" s="334"/>
      <c r="UQ19" s="334"/>
      <c r="UR19" s="334"/>
      <c r="US19" s="334"/>
      <c r="UT19" s="334"/>
      <c r="UU19" s="334"/>
      <c r="UV19" s="334"/>
      <c r="UW19" s="334"/>
      <c r="UX19" s="334"/>
      <c r="UY19" s="334"/>
      <c r="UZ19" s="334"/>
      <c r="VA19" s="334"/>
      <c r="VB19" s="334"/>
      <c r="VC19" s="334"/>
      <c r="VD19" s="334"/>
      <c r="VE19" s="334"/>
      <c r="VF19" s="334"/>
      <c r="VG19" s="334"/>
      <c r="VH19" s="334"/>
    </row>
    <row r="20" spans="1:580">
      <c r="B20" s="58">
        <v>45762</v>
      </c>
      <c r="C20" s="58" t="s">
        <v>193</v>
      </c>
      <c r="D20" s="160">
        <v>1521.1899999999987</v>
      </c>
      <c r="E20" s="160">
        <v>333.90399999998976</v>
      </c>
      <c r="F20" s="160">
        <v>1065.8161999999988</v>
      </c>
      <c r="G20" s="145">
        <f t="shared" si="0"/>
        <v>2920.9101999999875</v>
      </c>
      <c r="H20" s="11"/>
      <c r="K20" s="44"/>
    </row>
    <row r="21" spans="1:580">
      <c r="B21" s="58">
        <v>45763</v>
      </c>
      <c r="C21" s="58" t="s">
        <v>194</v>
      </c>
      <c r="D21" s="160">
        <v>1289.4399999999987</v>
      </c>
      <c r="E21" s="160">
        <v>309.87039999998291</v>
      </c>
      <c r="F21" s="160">
        <v>1042.0042000000008</v>
      </c>
      <c r="G21" s="145">
        <f t="shared" si="0"/>
        <v>2641.3145999999824</v>
      </c>
      <c r="H21" s="11"/>
    </row>
    <row r="22" spans="1:580">
      <c r="B22" s="58">
        <v>45764</v>
      </c>
      <c r="C22" s="58" t="s">
        <v>195</v>
      </c>
      <c r="D22" s="160">
        <v>1392.1400000001104</v>
      </c>
      <c r="E22" s="160">
        <v>342.36160000001195</v>
      </c>
      <c r="F22" s="160">
        <v>1088.9845999999984</v>
      </c>
      <c r="G22" s="145">
        <f t="shared" si="0"/>
        <v>2823.4862000001208</v>
      </c>
      <c r="H22" s="11"/>
    </row>
    <row r="23" spans="1:580">
      <c r="B23" s="58">
        <v>45765</v>
      </c>
      <c r="C23" s="58" t="s">
        <v>196</v>
      </c>
      <c r="D23" s="160">
        <v>1355.0599999999959</v>
      </c>
      <c r="E23" s="160">
        <v>333.63839999997407</v>
      </c>
      <c r="F23" s="160">
        <v>1092.9606000000001</v>
      </c>
      <c r="G23" s="145">
        <f t="shared" si="0"/>
        <v>2781.6589999999701</v>
      </c>
      <c r="H23" s="11"/>
      <c r="K23" s="44"/>
    </row>
    <row r="24" spans="1:580">
      <c r="B24" s="58">
        <v>45766</v>
      </c>
      <c r="C24" s="58" t="s">
        <v>197</v>
      </c>
      <c r="D24" s="160">
        <v>1247.5700000000106</v>
      </c>
      <c r="E24" s="160">
        <v>324.43200000000536</v>
      </c>
      <c r="F24" s="160">
        <v>1108.7274000000007</v>
      </c>
      <c r="G24" s="145">
        <f t="shared" si="0"/>
        <v>2680.7294000000165</v>
      </c>
      <c r="H24" s="235"/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</row>
    <row r="25" spans="1:580" s="15" customFormat="1">
      <c r="B25" s="183">
        <v>45767</v>
      </c>
      <c r="C25" s="183" t="s">
        <v>198</v>
      </c>
      <c r="D25" s="195">
        <v>181.85999999988417</v>
      </c>
      <c r="E25" s="195">
        <v>69.865600000041312</v>
      </c>
      <c r="F25" s="195">
        <v>17.459999999999809</v>
      </c>
      <c r="G25" s="196">
        <f t="shared" si="0"/>
        <v>269.18559999992527</v>
      </c>
      <c r="H25" s="23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</row>
    <row r="26" spans="1:580">
      <c r="B26" s="58">
        <v>45768</v>
      </c>
      <c r="C26" s="58" t="s">
        <v>192</v>
      </c>
      <c r="D26" s="160">
        <v>1309.4900000001089</v>
      </c>
      <c r="E26" s="160">
        <v>439.4671999999706</v>
      </c>
      <c r="F26" s="160">
        <v>1102.1117000000013</v>
      </c>
      <c r="G26" s="145">
        <f t="shared" si="0"/>
        <v>2851.0689000000807</v>
      </c>
      <c r="H26" s="235"/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</row>
    <row r="27" spans="1:580">
      <c r="B27" s="58">
        <v>45769</v>
      </c>
      <c r="C27" s="58" t="s">
        <v>193</v>
      </c>
      <c r="D27" s="160">
        <v>1330.4399999999969</v>
      </c>
      <c r="E27" s="160">
        <v>348.81680000001097</v>
      </c>
      <c r="F27" s="160">
        <v>1105.3047999999967</v>
      </c>
      <c r="G27" s="145">
        <f t="shared" si="0"/>
        <v>2784.5616000000045</v>
      </c>
      <c r="H27" s="11"/>
    </row>
    <row r="28" spans="1:580">
      <c r="B28" s="58">
        <v>45770</v>
      </c>
      <c r="C28" s="58" t="s">
        <v>194</v>
      </c>
      <c r="D28" s="160">
        <v>1613.4299999998912</v>
      </c>
      <c r="E28" s="160">
        <v>360.33199999999721</v>
      </c>
      <c r="F28" s="160">
        <v>966.62910000000295</v>
      </c>
      <c r="G28" s="145">
        <f t="shared" si="0"/>
        <v>2940.3910999998911</v>
      </c>
      <c r="H28" s="11"/>
    </row>
    <row r="29" spans="1:580">
      <c r="B29" s="58">
        <v>45771</v>
      </c>
      <c r="C29" s="58" t="s">
        <v>195</v>
      </c>
      <c r="D29" s="160">
        <v>1594.9800000001087</v>
      </c>
      <c r="E29" s="160">
        <v>365.35039999999805</v>
      </c>
      <c r="F29" s="160">
        <v>1101.1443999999992</v>
      </c>
      <c r="G29" s="145">
        <f t="shared" si="0"/>
        <v>3061.4748000001059</v>
      </c>
      <c r="H29" s="11"/>
    </row>
    <row r="30" spans="1:580">
      <c r="B30" s="58">
        <v>45772</v>
      </c>
      <c r="C30" s="58" t="s">
        <v>196</v>
      </c>
      <c r="D30" s="160">
        <v>1638.499999999889</v>
      </c>
      <c r="E30" s="160">
        <v>361.00239999998593</v>
      </c>
      <c r="F30" s="160">
        <v>1070.0990999999985</v>
      </c>
      <c r="G30" s="145">
        <f t="shared" si="0"/>
        <v>3069.6014999998733</v>
      </c>
      <c r="H30" s="11"/>
    </row>
    <row r="31" spans="1:580">
      <c r="B31" s="58">
        <v>45773</v>
      </c>
      <c r="C31" s="58" t="s">
        <v>197</v>
      </c>
      <c r="D31" s="160">
        <v>1386.5000000001182</v>
      </c>
      <c r="E31" s="160">
        <v>366.97040000002829</v>
      </c>
      <c r="F31" s="160">
        <v>1115.7483000000016</v>
      </c>
      <c r="G31" s="145">
        <f t="shared" si="0"/>
        <v>2869.2187000001481</v>
      </c>
      <c r="H31" s="11"/>
    </row>
    <row r="32" spans="1:580">
      <c r="B32" s="183">
        <v>45774</v>
      </c>
      <c r="C32" s="183" t="s">
        <v>198</v>
      </c>
      <c r="D32" s="195">
        <v>159.80999999988853</v>
      </c>
      <c r="E32" s="195">
        <v>58.026399999993153</v>
      </c>
      <c r="F32" s="195">
        <v>68.879999999999654</v>
      </c>
      <c r="G32" s="196">
        <f t="shared" si="0"/>
        <v>286.71639999988133</v>
      </c>
      <c r="H32" s="11"/>
    </row>
    <row r="33" spans="2:8">
      <c r="B33" s="58">
        <v>45775</v>
      </c>
      <c r="C33" s="58" t="s">
        <v>192</v>
      </c>
      <c r="D33" s="160">
        <v>1536.2100000001119</v>
      </c>
      <c r="E33" s="160">
        <v>337.43680000000865</v>
      </c>
      <c r="F33" s="160">
        <v>1053.6748</v>
      </c>
      <c r="G33" s="145">
        <f t="shared" si="0"/>
        <v>2927.3216000001203</v>
      </c>
      <c r="H33" s="11"/>
    </row>
    <row r="34" spans="2:8">
      <c r="B34" s="58">
        <v>45776</v>
      </c>
      <c r="C34" s="58" t="s">
        <v>193</v>
      </c>
      <c r="D34" s="160">
        <v>1494.8099999999995</v>
      </c>
      <c r="E34" s="160">
        <v>352.21759999997101</v>
      </c>
      <c r="F34" s="160">
        <v>1088.6644999999999</v>
      </c>
      <c r="G34" s="145">
        <f t="shared" si="0"/>
        <v>2935.6920999999702</v>
      </c>
      <c r="H34" s="11"/>
    </row>
    <row r="35" spans="2:8">
      <c r="B35" s="58">
        <v>45777</v>
      </c>
      <c r="C35" s="58" t="s">
        <v>194</v>
      </c>
      <c r="D35" s="160">
        <v>1683.6199999998807</v>
      </c>
      <c r="E35" s="160">
        <v>335.53280000000495</v>
      </c>
      <c r="F35" s="160">
        <v>1087.7838000000002</v>
      </c>
      <c r="G35" s="145">
        <f t="shared" si="0"/>
        <v>3106.9365999998859</v>
      </c>
      <c r="H35" s="11"/>
    </row>
    <row r="36" spans="2:8">
      <c r="B36" s="58"/>
      <c r="C36" s="58"/>
      <c r="D36" s="160"/>
      <c r="E36" s="160"/>
      <c r="F36" s="160"/>
      <c r="G36" s="145">
        <f t="shared" si="0"/>
        <v>0</v>
      </c>
      <c r="H36" s="11"/>
    </row>
    <row r="37" spans="2:8" ht="30" customHeight="1">
      <c r="B37" s="130" t="s">
        <v>7</v>
      </c>
      <c r="C37" s="130"/>
      <c r="D37" s="126">
        <f t="shared" ref="D37:E37" si="2">SUM(D6:D36)</f>
        <v>34220.55999999999</v>
      </c>
      <c r="E37" s="126">
        <f t="shared" si="2"/>
        <v>8639.8208000000159</v>
      </c>
      <c r="F37" s="126">
        <f>SUM(F6:F36)</f>
        <v>25427.1859</v>
      </c>
      <c r="G37" s="146">
        <f>SUM(G6:G36)</f>
        <v>68287.566700000025</v>
      </c>
      <c r="H37" s="11"/>
    </row>
    <row r="38" spans="2:8" ht="20.25" customHeight="1">
      <c r="B38" s="337" t="s">
        <v>185</v>
      </c>
      <c r="C38" s="337"/>
      <c r="D38" s="337"/>
      <c r="E38" s="337"/>
      <c r="F38" s="274"/>
      <c r="G38" s="180"/>
    </row>
    <row r="39" spans="2:8" ht="18.75">
      <c r="B39" s="336" t="s">
        <v>216</v>
      </c>
      <c r="C39" s="336"/>
      <c r="D39" s="336"/>
      <c r="E39" s="336"/>
      <c r="F39" s="273"/>
      <c r="G39" s="179">
        <f>G37+G38</f>
        <v>68287.566700000025</v>
      </c>
    </row>
    <row r="40" spans="2:8">
      <c r="D40"/>
      <c r="E40"/>
      <c r="F40"/>
    </row>
    <row r="41" spans="2:8">
      <c r="D41"/>
      <c r="E41"/>
      <c r="F41"/>
    </row>
    <row r="42" spans="2:8">
      <c r="E42" s="17"/>
      <c r="F42" s="17"/>
    </row>
    <row r="43" spans="2:8">
      <c r="E43" s="17"/>
      <c r="F43" s="17"/>
    </row>
    <row r="44" spans="2:8">
      <c r="E44" s="17"/>
      <c r="F44" s="17"/>
    </row>
    <row r="45" spans="2:8">
      <c r="E45" s="17"/>
      <c r="F45" s="17"/>
    </row>
    <row r="46" spans="2:8">
      <c r="E46" s="17"/>
      <c r="F46" s="17"/>
    </row>
    <row r="47" spans="2:8">
      <c r="E47" s="17"/>
      <c r="F47" s="17"/>
    </row>
    <row r="48" spans="2:8">
      <c r="E48" s="17"/>
      <c r="F48" s="17"/>
    </row>
    <row r="49" spans="5:6">
      <c r="E49" s="17"/>
      <c r="F49" s="17"/>
    </row>
    <row r="50" spans="5:6">
      <c r="E50" s="17"/>
      <c r="F50" s="17"/>
    </row>
    <row r="51" spans="5:6">
      <c r="E51" s="17"/>
      <c r="F51" s="17"/>
    </row>
    <row r="52" spans="5:6">
      <c r="E52" s="17"/>
      <c r="F52" s="17"/>
    </row>
    <row r="53" spans="5:6">
      <c r="E53" s="17"/>
      <c r="F53" s="17"/>
    </row>
    <row r="54" spans="5:6">
      <c r="E54" s="17"/>
      <c r="F54" s="17"/>
    </row>
    <row r="55" spans="5:6">
      <c r="E55" s="17"/>
      <c r="F55" s="17"/>
    </row>
    <row r="56" spans="5:6">
      <c r="E56" s="17"/>
      <c r="F56" s="17"/>
    </row>
    <row r="57" spans="5:6">
      <c r="E57" s="17"/>
      <c r="F57" s="17"/>
    </row>
    <row r="58" spans="5:6">
      <c r="E58" s="17"/>
      <c r="F58" s="17"/>
    </row>
    <row r="59" spans="5:6">
      <c r="E59" s="17"/>
      <c r="F59" s="17"/>
    </row>
    <row r="60" spans="5:6">
      <c r="E60" s="17"/>
      <c r="F60" s="17"/>
    </row>
    <row r="61" spans="5:6">
      <c r="E61" s="17"/>
      <c r="F61" s="17"/>
    </row>
    <row r="62" spans="5:6">
      <c r="E62" s="17"/>
      <c r="F62" s="17"/>
    </row>
    <row r="63" spans="5:6">
      <c r="E63" s="17"/>
      <c r="F63" s="17"/>
    </row>
    <row r="64" spans="5:6">
      <c r="E64" s="17"/>
      <c r="F64" s="17"/>
    </row>
    <row r="65" spans="5:6">
      <c r="E65" s="17"/>
      <c r="F65" s="17"/>
    </row>
    <row r="66" spans="5:6">
      <c r="E66" s="17"/>
      <c r="F66" s="17"/>
    </row>
    <row r="67" spans="5:6">
      <c r="E67" s="17"/>
      <c r="F67" s="17"/>
    </row>
    <row r="68" spans="5:6">
      <c r="E68" s="17"/>
      <c r="F68" s="17"/>
    </row>
    <row r="69" spans="5:6">
      <c r="E69" s="17"/>
      <c r="F69" s="17"/>
    </row>
    <row r="70" spans="5:6">
      <c r="E70" s="17"/>
      <c r="F70" s="17"/>
    </row>
    <row r="71" spans="5:6">
      <c r="E71" s="17"/>
      <c r="F71" s="17"/>
    </row>
    <row r="419" spans="4:5">
      <c r="D419" s="17">
        <v>1</v>
      </c>
      <c r="E419" s="43">
        <v>1</v>
      </c>
    </row>
  </sheetData>
  <mergeCells count="4">
    <mergeCell ref="B4:G4"/>
    <mergeCell ref="NX11:VH19"/>
    <mergeCell ref="B38:E38"/>
    <mergeCell ref="B39:E39"/>
  </mergeCells>
  <phoneticPr fontId="91" type="noConversion"/>
  <pageMargins left="0.7" right="0.7" top="0.75" bottom="0.75" header="0.3" footer="0.3"/>
  <pageSetup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Summary</vt:lpstr>
      <vt:lpstr>units overall</vt:lpstr>
      <vt:lpstr>HT Split up</vt:lpstr>
      <vt:lpstr>Machines Pump &amp; inj</vt:lpstr>
      <vt:lpstr>HFO</vt:lpstr>
      <vt:lpstr>HSD</vt:lpstr>
      <vt:lpstr>DG Usage</vt:lpstr>
      <vt:lpstr>Graph</vt:lpstr>
      <vt:lpstr>Other Areas</vt:lpstr>
      <vt:lpstr>CRNHB split up</vt:lpstr>
      <vt:lpstr>Inline split up</vt:lpstr>
      <vt:lpstr>HT insourcing</vt:lpstr>
      <vt:lpstr>CTA</vt:lpstr>
      <vt:lpstr>'CRNHB split up'!Print_Area</vt:lpstr>
      <vt:lpstr>CTA!Print_Area</vt:lpstr>
      <vt:lpstr>'DG Usage'!Print_Area</vt:lpstr>
      <vt:lpstr>HFO!Print_Area</vt:lpstr>
      <vt:lpstr>'HT insourcing'!Print_Area</vt:lpstr>
      <vt:lpstr>'HT Split up'!Print_Area</vt:lpstr>
      <vt:lpstr>'Inline split up'!Print_Area</vt:lpstr>
      <vt:lpstr>'Machines Pump &amp; inj'!Print_Area</vt:lpstr>
      <vt:lpstr>Summary!Print_Area</vt:lpstr>
      <vt:lpstr>'units overall'!Print_Area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Silambarasan I.</dc:creator>
  <cp:lastModifiedBy>Silambarasan I</cp:lastModifiedBy>
  <cp:lastPrinted>2024-06-06T07:17:08Z</cp:lastPrinted>
  <dcterms:created xsi:type="dcterms:W3CDTF">2006-09-16T00:00:00Z</dcterms:created>
  <dcterms:modified xsi:type="dcterms:W3CDTF">2025-05-08T10:00:17Z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